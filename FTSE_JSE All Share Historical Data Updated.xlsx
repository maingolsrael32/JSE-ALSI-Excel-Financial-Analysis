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ngo Israel\Downloads\"/>
    </mc:Choice>
  </mc:AlternateContent>
  <xr:revisionPtr revIDLastSave="0" documentId="13_ncr:1_{9224194E-BD92-4F3E-B047-CA80CEC36450}" xr6:coauthVersionLast="47" xr6:coauthVersionMax="47" xr10:uidLastSave="{00000000-0000-0000-0000-000000000000}"/>
  <bookViews>
    <workbookView xWindow="-110" yWindow="-110" windowWidth="19420" windowHeight="11500" xr2:uid="{36AF6E11-BB14-4742-88E4-2762FE86EBA5}"/>
  </bookViews>
  <sheets>
    <sheet name="FTSE_JSE All Share Historical D" sheetId="1" r:id="rId1"/>
  </sheets>
  <definedNames>
    <definedName name="_xlchart.v1.0" hidden="1">'FTSE_JSE All Share Historical D'!$C$2:$C$2603</definedName>
    <definedName name="_xlchart.v1.1" hidden="1">'FTSE_JSE All Share Historical D'!$I$2616</definedName>
    <definedName name="_xlchart.v1.2" hidden="1">'FTSE_JSE All Share Historical D'!$H$2663</definedName>
    <definedName name="_xlchart.v1.3" hidden="1">'FTSE_JSE All Share Historical D'!$I$3:$I$2603</definedName>
    <definedName name="_xlchart.v1.4" hidden="1">'FTSE_JSE All Share Historical D'!$H$2663</definedName>
    <definedName name="_xlchart.v1.5" hidden="1">'FTSE_JSE All Share Historical D'!$I$3:$I$2603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13" i="1" l="1"/>
  <c r="I2613" i="1"/>
  <c r="C2613" i="1"/>
  <c r="H2612" i="1"/>
  <c r="I2612" i="1"/>
  <c r="C2612" i="1"/>
  <c r="H2611" i="1"/>
  <c r="I2611" i="1"/>
  <c r="C2611" i="1"/>
  <c r="H2610" i="1"/>
  <c r="I2610" i="1"/>
  <c r="C2610" i="1"/>
  <c r="H2609" i="1"/>
  <c r="I2609" i="1"/>
  <c r="C2609" i="1"/>
  <c r="H2608" i="1"/>
  <c r="I2608" i="1"/>
  <c r="C2608" i="1"/>
  <c r="H2607" i="1"/>
  <c r="I2607" i="1"/>
  <c r="C2607" i="1"/>
  <c r="D2606" i="1"/>
  <c r="E2606" i="1"/>
  <c r="F2606" i="1"/>
  <c r="G2606" i="1"/>
  <c r="H2606" i="1"/>
  <c r="I2606" i="1"/>
  <c r="J2606" i="1"/>
  <c r="K2606" i="1"/>
  <c r="L2606" i="1"/>
  <c r="M2606" i="1"/>
  <c r="N2606" i="1"/>
  <c r="C260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" i="1"/>
  <c r="L105" i="1" l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2475" i="1"/>
  <c r="L2477" i="1"/>
  <c r="L2479" i="1"/>
  <c r="L2481" i="1"/>
  <c r="L2483" i="1"/>
  <c r="L2486" i="1"/>
  <c r="L2488" i="1"/>
  <c r="L2490" i="1"/>
  <c r="L2492" i="1"/>
  <c r="L2494" i="1"/>
  <c r="L2496" i="1"/>
  <c r="L2498" i="1"/>
  <c r="L2500" i="1"/>
  <c r="L2502" i="1"/>
  <c r="L2504" i="1"/>
  <c r="L2506" i="1"/>
  <c r="L2509" i="1"/>
  <c r="L2511" i="1"/>
  <c r="L2513" i="1"/>
  <c r="L2515" i="1"/>
  <c r="L2517" i="1"/>
  <c r="L2519" i="1"/>
  <c r="L2521" i="1"/>
  <c r="L2523" i="1"/>
  <c r="L2525" i="1"/>
  <c r="L2527" i="1"/>
  <c r="L2529" i="1"/>
  <c r="L2531" i="1"/>
  <c r="L2533" i="1"/>
  <c r="L2535" i="1"/>
  <c r="L2537" i="1"/>
  <c r="L2539" i="1"/>
  <c r="L2541" i="1"/>
  <c r="L2543" i="1"/>
  <c r="L2545" i="1"/>
  <c r="L2547" i="1"/>
  <c r="L2549" i="1"/>
  <c r="L2551" i="1"/>
  <c r="L2553" i="1"/>
  <c r="L2555" i="1"/>
  <c r="L2557" i="1"/>
  <c r="L2559" i="1"/>
  <c r="L2561" i="1"/>
  <c r="L2563" i="1"/>
  <c r="L2565" i="1"/>
  <c r="L2567" i="1"/>
  <c r="L2569" i="1"/>
  <c r="L2571" i="1"/>
  <c r="L2573" i="1"/>
  <c r="L2575" i="1"/>
  <c r="L2577" i="1"/>
  <c r="L2579" i="1"/>
  <c r="L2581" i="1"/>
  <c r="L2583" i="1"/>
  <c r="L2585" i="1"/>
  <c r="L2587" i="1"/>
  <c r="L2589" i="1"/>
  <c r="L2591" i="1"/>
  <c r="L2593" i="1"/>
  <c r="L2595" i="1"/>
  <c r="L2597" i="1"/>
  <c r="L2598" i="1"/>
  <c r="L2600" i="1"/>
  <c r="L2602" i="1"/>
  <c r="K45" i="1"/>
  <c r="K47" i="1"/>
  <c r="K49" i="1"/>
  <c r="K52" i="1"/>
  <c r="K54" i="1"/>
  <c r="K56" i="1"/>
  <c r="K58" i="1"/>
  <c r="K59" i="1"/>
  <c r="K61" i="1"/>
  <c r="K63" i="1"/>
  <c r="K65" i="1"/>
  <c r="K67" i="1"/>
  <c r="K70" i="1"/>
  <c r="K71" i="1"/>
  <c r="K73" i="1"/>
  <c r="K75" i="1"/>
  <c r="K77" i="1"/>
  <c r="K79" i="1"/>
  <c r="K81" i="1"/>
  <c r="K83" i="1"/>
  <c r="K85" i="1"/>
  <c r="K87" i="1"/>
  <c r="K89" i="1"/>
  <c r="K91" i="1"/>
  <c r="K93" i="1"/>
  <c r="K95" i="1"/>
  <c r="K97" i="1"/>
  <c r="K99" i="1"/>
  <c r="K101" i="1"/>
  <c r="K103" i="1"/>
  <c r="K105" i="1"/>
  <c r="K107" i="1"/>
  <c r="K109" i="1"/>
  <c r="K111" i="1"/>
  <c r="K112" i="1"/>
  <c r="K114" i="1"/>
  <c r="K116" i="1"/>
  <c r="K118" i="1"/>
  <c r="K120" i="1"/>
  <c r="K122" i="1"/>
  <c r="K125" i="1"/>
  <c r="K127" i="1"/>
  <c r="K129" i="1"/>
  <c r="K131" i="1"/>
  <c r="K133" i="1"/>
  <c r="K135" i="1"/>
  <c r="K137" i="1"/>
  <c r="K139" i="1"/>
  <c r="K141" i="1"/>
  <c r="K143" i="1"/>
  <c r="K145" i="1"/>
  <c r="K147" i="1"/>
  <c r="K149" i="1"/>
  <c r="K151" i="1"/>
  <c r="K153" i="1"/>
  <c r="K155" i="1"/>
  <c r="K157" i="1"/>
  <c r="K159" i="1"/>
  <c r="K161" i="1"/>
  <c r="K163" i="1"/>
  <c r="K165" i="1"/>
  <c r="K167" i="1"/>
  <c r="K169" i="1"/>
  <c r="K171" i="1"/>
  <c r="K173" i="1"/>
  <c r="K175" i="1"/>
  <c r="K177" i="1"/>
  <c r="K179" i="1"/>
  <c r="K181" i="1"/>
  <c r="K183" i="1"/>
  <c r="K185" i="1"/>
  <c r="K187" i="1"/>
  <c r="K188" i="1"/>
  <c r="K191" i="1"/>
  <c r="K193" i="1"/>
  <c r="K195" i="1"/>
  <c r="K197" i="1"/>
  <c r="K199" i="1"/>
  <c r="K201" i="1"/>
  <c r="K203" i="1"/>
  <c r="K205" i="1"/>
  <c r="K207" i="1"/>
  <c r="K209" i="1"/>
  <c r="K211" i="1"/>
  <c r="K213" i="1"/>
  <c r="K215" i="1"/>
  <c r="K217" i="1"/>
  <c r="K219" i="1"/>
  <c r="K221" i="1"/>
  <c r="K223" i="1"/>
  <c r="K224" i="1"/>
  <c r="K226" i="1"/>
  <c r="K228" i="1"/>
  <c r="K230" i="1"/>
  <c r="K232" i="1"/>
  <c r="K235" i="1"/>
  <c r="K237" i="1"/>
  <c r="K238" i="1"/>
  <c r="K240" i="1"/>
  <c r="K242" i="1"/>
  <c r="K244" i="1"/>
  <c r="K246" i="1"/>
  <c r="K248" i="1"/>
  <c r="K250" i="1"/>
  <c r="K252" i="1"/>
  <c r="K254" i="1"/>
  <c r="K289" i="1"/>
  <c r="K291" i="1"/>
  <c r="K293" i="1"/>
  <c r="K295" i="1"/>
  <c r="K297" i="1"/>
  <c r="K299" i="1"/>
  <c r="K301" i="1"/>
  <c r="K303" i="1"/>
  <c r="K305" i="1"/>
  <c r="K307" i="1"/>
  <c r="K309" i="1"/>
  <c r="K311" i="1"/>
  <c r="K313" i="1"/>
  <c r="K316" i="1"/>
  <c r="K318" i="1"/>
  <c r="K319" i="1"/>
  <c r="K321" i="1"/>
  <c r="K323" i="1"/>
  <c r="K325" i="1"/>
  <c r="K327" i="1"/>
  <c r="K329" i="1"/>
  <c r="K331" i="1"/>
  <c r="K333" i="1"/>
  <c r="K335" i="1"/>
  <c r="K336" i="1"/>
  <c r="K338" i="1"/>
  <c r="K340" i="1"/>
  <c r="K342" i="1"/>
  <c r="K344" i="1"/>
  <c r="K346" i="1"/>
  <c r="K348" i="1"/>
  <c r="K350" i="1"/>
  <c r="K352" i="1"/>
  <c r="K354" i="1"/>
  <c r="K356" i="1"/>
  <c r="K358" i="1"/>
  <c r="K360" i="1"/>
  <c r="K362" i="1"/>
  <c r="K364" i="1"/>
  <c r="K366" i="1"/>
  <c r="K368" i="1"/>
  <c r="K370" i="1"/>
  <c r="K372" i="1"/>
  <c r="K374" i="1"/>
  <c r="K376" i="1"/>
  <c r="K378" i="1"/>
  <c r="K380" i="1"/>
  <c r="K382" i="1"/>
  <c r="K384" i="1"/>
  <c r="K386" i="1"/>
  <c r="K388" i="1"/>
  <c r="K390" i="1"/>
  <c r="K392" i="1"/>
  <c r="K394" i="1"/>
  <c r="K396" i="1"/>
  <c r="K398" i="1"/>
  <c r="K400" i="1"/>
  <c r="K402" i="1"/>
  <c r="K404" i="1"/>
  <c r="K406" i="1"/>
  <c r="K408" i="1"/>
  <c r="K410" i="1"/>
  <c r="K412" i="1"/>
  <c r="K414" i="1"/>
  <c r="K416" i="1"/>
  <c r="K418" i="1"/>
  <c r="K420" i="1"/>
  <c r="K422" i="1"/>
  <c r="K424" i="1"/>
  <c r="K426" i="1"/>
  <c r="K428" i="1"/>
  <c r="K430" i="1"/>
  <c r="K432" i="1"/>
  <c r="K434" i="1"/>
  <c r="K436" i="1"/>
  <c r="K438" i="1"/>
  <c r="K440" i="1"/>
  <c r="K442" i="1"/>
  <c r="K444" i="1"/>
  <c r="K446" i="1"/>
  <c r="K448" i="1"/>
  <c r="K450" i="1"/>
  <c r="K452" i="1"/>
  <c r="K454" i="1"/>
  <c r="K456" i="1"/>
  <c r="K458" i="1"/>
  <c r="K460" i="1"/>
  <c r="K462" i="1"/>
  <c r="K464" i="1"/>
  <c r="K466" i="1"/>
  <c r="K468" i="1"/>
  <c r="K470" i="1"/>
  <c r="K472" i="1"/>
  <c r="K474" i="1"/>
  <c r="K476" i="1"/>
  <c r="K478" i="1"/>
  <c r="K480" i="1"/>
  <c r="K481" i="1"/>
  <c r="K483" i="1"/>
  <c r="K485" i="1"/>
  <c r="K487" i="1"/>
  <c r="K489" i="1"/>
  <c r="K491" i="1"/>
  <c r="K493" i="1"/>
  <c r="K495" i="1"/>
  <c r="K497" i="1"/>
  <c r="K499" i="1"/>
  <c r="K500" i="1"/>
  <c r="K502" i="1"/>
  <c r="K504" i="1"/>
  <c r="K506" i="1"/>
  <c r="K508" i="1"/>
  <c r="K510" i="1"/>
  <c r="K512" i="1"/>
  <c r="K514" i="1"/>
  <c r="K516" i="1"/>
  <c r="K518" i="1"/>
  <c r="K520" i="1"/>
  <c r="K522" i="1"/>
  <c r="K524" i="1"/>
  <c r="K526" i="1"/>
  <c r="K528" i="1"/>
  <c r="K530" i="1"/>
  <c r="K532" i="1"/>
  <c r="K534" i="1"/>
  <c r="K536" i="1"/>
  <c r="K538" i="1"/>
  <c r="K540" i="1"/>
  <c r="K542" i="1"/>
  <c r="K544" i="1"/>
  <c r="K546" i="1"/>
  <c r="K549" i="1"/>
  <c r="K551" i="1"/>
  <c r="K553" i="1"/>
  <c r="K555" i="1"/>
  <c r="K557" i="1"/>
  <c r="K559" i="1"/>
  <c r="K561" i="1"/>
  <c r="K563" i="1"/>
  <c r="K565" i="1"/>
  <c r="K566" i="1"/>
  <c r="K568" i="1"/>
  <c r="K570" i="1"/>
  <c r="K572" i="1"/>
  <c r="K574" i="1"/>
  <c r="K576" i="1"/>
  <c r="K578" i="1"/>
  <c r="K580" i="1"/>
  <c r="K582" i="1"/>
  <c r="K584" i="1"/>
  <c r="K586" i="1"/>
  <c r="K588" i="1"/>
  <c r="K591" i="1"/>
  <c r="K593" i="1"/>
  <c r="K595" i="1"/>
  <c r="K597" i="1"/>
  <c r="K599" i="1"/>
  <c r="K600" i="1"/>
  <c r="K602" i="1"/>
  <c r="K604" i="1"/>
  <c r="K606" i="1"/>
  <c r="K608" i="1"/>
  <c r="K610" i="1"/>
  <c r="K612" i="1"/>
  <c r="K615" i="1"/>
  <c r="K617" i="1"/>
  <c r="K619" i="1"/>
  <c r="K621" i="1"/>
  <c r="K623" i="1"/>
  <c r="K625" i="1"/>
  <c r="K627" i="1"/>
  <c r="K629" i="1"/>
  <c r="K631" i="1"/>
  <c r="K633" i="1"/>
  <c r="K635" i="1"/>
  <c r="K637" i="1"/>
  <c r="K639" i="1"/>
  <c r="K641" i="1"/>
  <c r="K643" i="1"/>
  <c r="K645" i="1"/>
  <c r="K647" i="1"/>
  <c r="K649" i="1"/>
  <c r="K651" i="1"/>
  <c r="K653" i="1"/>
  <c r="K655" i="1"/>
  <c r="K657" i="1"/>
  <c r="K659" i="1"/>
  <c r="K661" i="1"/>
  <c r="K663" i="1"/>
  <c r="K665" i="1"/>
  <c r="K667" i="1"/>
  <c r="K669" i="1"/>
  <c r="K671" i="1"/>
  <c r="K673" i="1"/>
  <c r="K675" i="1"/>
  <c r="K677" i="1"/>
  <c r="K679" i="1"/>
  <c r="K681" i="1"/>
  <c r="K683" i="1"/>
  <c r="K685" i="1"/>
  <c r="K687" i="1"/>
  <c r="K689" i="1"/>
  <c r="K691" i="1"/>
  <c r="K693" i="1"/>
  <c r="K695" i="1"/>
  <c r="K697" i="1"/>
  <c r="K699" i="1"/>
  <c r="K701" i="1"/>
  <c r="K703" i="1"/>
  <c r="K705" i="1"/>
  <c r="K707" i="1"/>
  <c r="K709" i="1"/>
  <c r="K711" i="1"/>
  <c r="K713" i="1"/>
  <c r="K715" i="1"/>
  <c r="K717" i="1"/>
  <c r="K719" i="1"/>
  <c r="K721" i="1"/>
  <c r="K723" i="1"/>
  <c r="K725" i="1"/>
  <c r="K727" i="1"/>
  <c r="K729" i="1"/>
  <c r="K731" i="1"/>
  <c r="K733" i="1"/>
  <c r="K735" i="1"/>
  <c r="K737" i="1"/>
  <c r="K739" i="1"/>
  <c r="K741" i="1"/>
  <c r="K743" i="1"/>
  <c r="K745" i="1"/>
  <c r="K747" i="1"/>
  <c r="K749" i="1"/>
  <c r="K751" i="1"/>
  <c r="K753" i="1"/>
  <c r="K755" i="1"/>
  <c r="K757" i="1"/>
  <c r="K759" i="1"/>
  <c r="K760" i="1"/>
  <c r="K762" i="1"/>
  <c r="K764" i="1"/>
  <c r="K766" i="1"/>
  <c r="K768" i="1"/>
  <c r="K770" i="1"/>
  <c r="K772" i="1"/>
  <c r="K774" i="1"/>
  <c r="K776" i="1"/>
  <c r="K778" i="1"/>
  <c r="K780" i="1"/>
  <c r="K782" i="1"/>
  <c r="K784" i="1"/>
  <c r="K786" i="1"/>
  <c r="K789" i="1"/>
  <c r="K791" i="1"/>
  <c r="K793" i="1"/>
  <c r="K795" i="1"/>
  <c r="K797" i="1"/>
  <c r="K799" i="1"/>
  <c r="K801" i="1"/>
  <c r="K803" i="1"/>
  <c r="K805" i="1"/>
  <c r="K807" i="1"/>
  <c r="K809" i="1"/>
  <c r="K811" i="1"/>
  <c r="K813" i="1"/>
  <c r="K815" i="1"/>
  <c r="K817" i="1"/>
  <c r="K819" i="1"/>
  <c r="K821" i="1"/>
  <c r="K823" i="1"/>
  <c r="K824" i="1"/>
  <c r="K826" i="1"/>
  <c r="K829" i="1"/>
  <c r="K831" i="1"/>
  <c r="K833" i="1"/>
  <c r="K835" i="1"/>
  <c r="K837" i="1"/>
  <c r="K839" i="1"/>
  <c r="K841" i="1"/>
  <c r="K843" i="1"/>
  <c r="K845" i="1"/>
  <c r="K847" i="1"/>
  <c r="K849" i="1"/>
  <c r="K851" i="1"/>
  <c r="K853" i="1"/>
  <c r="K855" i="1"/>
  <c r="K857" i="1"/>
  <c r="K859" i="1"/>
  <c r="K861" i="1"/>
  <c r="K863" i="1"/>
  <c r="K865" i="1"/>
  <c r="K867" i="1"/>
  <c r="K868" i="1"/>
  <c r="K870" i="1"/>
  <c r="K872" i="1"/>
  <c r="K874" i="1"/>
  <c r="K876" i="1"/>
  <c r="K878" i="1"/>
  <c r="K880" i="1"/>
  <c r="K882" i="1"/>
  <c r="K884" i="1"/>
  <c r="K886" i="1"/>
  <c r="K888" i="1"/>
  <c r="K890" i="1"/>
  <c r="K892" i="1"/>
  <c r="K894" i="1"/>
  <c r="K896" i="1"/>
  <c r="K898" i="1"/>
  <c r="K900" i="1"/>
  <c r="K902" i="1"/>
  <c r="K904" i="1"/>
  <c r="K906" i="1"/>
  <c r="K908" i="1"/>
  <c r="K910" i="1"/>
  <c r="K912" i="1"/>
  <c r="K914" i="1"/>
  <c r="K916" i="1"/>
  <c r="K918" i="1"/>
  <c r="K920" i="1"/>
  <c r="K922" i="1"/>
  <c r="K924" i="1"/>
  <c r="K926" i="1"/>
  <c r="K928" i="1"/>
  <c r="K930" i="1"/>
  <c r="K932" i="1"/>
  <c r="K934" i="1"/>
  <c r="K936" i="1"/>
  <c r="K938" i="1"/>
  <c r="K940" i="1"/>
  <c r="K942" i="1"/>
  <c r="K944" i="1"/>
  <c r="K946" i="1"/>
  <c r="K948" i="1"/>
  <c r="K950" i="1"/>
  <c r="K952" i="1"/>
  <c r="K954" i="1"/>
  <c r="K956" i="1"/>
  <c r="K958" i="1"/>
  <c r="K960" i="1"/>
  <c r="K962" i="1"/>
  <c r="K964" i="1"/>
  <c r="K966" i="1"/>
  <c r="K968" i="1"/>
  <c r="K970" i="1"/>
  <c r="K972" i="1"/>
  <c r="K973" i="1"/>
  <c r="K975" i="1"/>
  <c r="K977" i="1"/>
  <c r="K979" i="1"/>
  <c r="K981" i="1"/>
  <c r="K983" i="1"/>
  <c r="K985" i="1"/>
  <c r="K987" i="1"/>
  <c r="K989" i="1"/>
  <c r="K991" i="1"/>
  <c r="K993" i="1"/>
  <c r="K994" i="1"/>
  <c r="K996" i="1"/>
  <c r="K999" i="1"/>
  <c r="K1001" i="1"/>
  <c r="K1003" i="1"/>
  <c r="K1005" i="1"/>
  <c r="K1007" i="1"/>
  <c r="K1009" i="1"/>
  <c r="K1011" i="1"/>
  <c r="K1013" i="1"/>
  <c r="K1015" i="1"/>
  <c r="K1017" i="1"/>
  <c r="K1019" i="1"/>
  <c r="K1020" i="1"/>
  <c r="K1022" i="1"/>
  <c r="K1024" i="1"/>
  <c r="K1026" i="1"/>
  <c r="K1028" i="1"/>
  <c r="K1030" i="1"/>
  <c r="K1032" i="1"/>
  <c r="K1034" i="1"/>
  <c r="K1037" i="1"/>
  <c r="K1039" i="1"/>
  <c r="K1040" i="1"/>
  <c r="K1042" i="1"/>
  <c r="K1044" i="1"/>
  <c r="K1046" i="1"/>
  <c r="K1048" i="1"/>
  <c r="K1050" i="1"/>
  <c r="K1052" i="1"/>
  <c r="K1054" i="1"/>
  <c r="K1056" i="1"/>
  <c r="K1058" i="1"/>
  <c r="K1060" i="1"/>
  <c r="K1062" i="1"/>
  <c r="K1064" i="1"/>
  <c r="K1066" i="1"/>
  <c r="K1068" i="1"/>
  <c r="K1070" i="1"/>
  <c r="K1072" i="1"/>
  <c r="K1074" i="1"/>
  <c r="K1076" i="1"/>
  <c r="K1078" i="1"/>
  <c r="K1080" i="1"/>
  <c r="K1082" i="1"/>
  <c r="K1084" i="1"/>
  <c r="K1086" i="1"/>
  <c r="K1088" i="1"/>
  <c r="K1090" i="1"/>
  <c r="K1092" i="1"/>
  <c r="K1094" i="1"/>
  <c r="K1096" i="1"/>
  <c r="K1098" i="1"/>
  <c r="K1100" i="1"/>
  <c r="K1102" i="1"/>
  <c r="K1104" i="1"/>
  <c r="K1106" i="1"/>
  <c r="K1109" i="1"/>
  <c r="K1111" i="1"/>
  <c r="K1113" i="1"/>
  <c r="K1115" i="1"/>
  <c r="K1117" i="1"/>
  <c r="K1119" i="1"/>
  <c r="K1121" i="1"/>
  <c r="K1123" i="1"/>
  <c r="K1125" i="1"/>
  <c r="K1126" i="1"/>
  <c r="K1128" i="1"/>
  <c r="K1130" i="1"/>
  <c r="K1132" i="1"/>
  <c r="K1134" i="1"/>
  <c r="K1136" i="1"/>
  <c r="K1138" i="1"/>
  <c r="K1140" i="1"/>
  <c r="K1142" i="1"/>
  <c r="K1144" i="1"/>
  <c r="K1146" i="1"/>
  <c r="K1148" i="1"/>
  <c r="K1150" i="1"/>
  <c r="K1152" i="1"/>
  <c r="K1154" i="1"/>
  <c r="K1156" i="1"/>
  <c r="K1158" i="1"/>
  <c r="K1160" i="1"/>
  <c r="K1162" i="1"/>
  <c r="K1165" i="1"/>
  <c r="K1167" i="1"/>
  <c r="K1169" i="1"/>
  <c r="K1171" i="1"/>
  <c r="K1173" i="1"/>
  <c r="K1175" i="1"/>
  <c r="K1177" i="1"/>
  <c r="K1179" i="1"/>
  <c r="K1181" i="1"/>
  <c r="K1183" i="1"/>
  <c r="K1185" i="1"/>
  <c r="K1187" i="1"/>
  <c r="K1189" i="1"/>
  <c r="K1191" i="1"/>
  <c r="K1193" i="1"/>
  <c r="K1195" i="1"/>
  <c r="K1197" i="1"/>
  <c r="K1199" i="1"/>
  <c r="K1201" i="1"/>
  <c r="K1202" i="1"/>
  <c r="K1204" i="1"/>
  <c r="K1206" i="1"/>
  <c r="K1208" i="1"/>
  <c r="K1210" i="1"/>
  <c r="K1212" i="1"/>
  <c r="K1214" i="1"/>
  <c r="K1216" i="1"/>
  <c r="K1218" i="1"/>
  <c r="K1220" i="1"/>
  <c r="K1222" i="1"/>
  <c r="K1224" i="1"/>
  <c r="K1226" i="1"/>
  <c r="K1228" i="1"/>
  <c r="K1230" i="1"/>
  <c r="K1232" i="1"/>
  <c r="K1234" i="1"/>
  <c r="K1236" i="1"/>
  <c r="K1238" i="1"/>
  <c r="K1240" i="1"/>
  <c r="K1242" i="1"/>
  <c r="K1244" i="1"/>
  <c r="K1246" i="1"/>
  <c r="K1248" i="1"/>
  <c r="K1250" i="1"/>
  <c r="K1252" i="1"/>
  <c r="K1254" i="1"/>
  <c r="K1256" i="1"/>
  <c r="K1258" i="1"/>
  <c r="K1260" i="1"/>
  <c r="K1262" i="1"/>
  <c r="K1264" i="1"/>
  <c r="K1267" i="1"/>
  <c r="K1269" i="1"/>
  <c r="K1271" i="1"/>
  <c r="K1273" i="1"/>
  <c r="K1274" i="1"/>
  <c r="K1276" i="1"/>
  <c r="K1278" i="1"/>
  <c r="K1281" i="1"/>
  <c r="K1283" i="1"/>
  <c r="K1285" i="1"/>
  <c r="K1287" i="1"/>
  <c r="K1289" i="1"/>
  <c r="K1291" i="1"/>
  <c r="K1293" i="1"/>
  <c r="K1295" i="1"/>
  <c r="K1297" i="1"/>
  <c r="K1299" i="1"/>
  <c r="K1301" i="1"/>
  <c r="K1303" i="1"/>
  <c r="K1305" i="1"/>
  <c r="K1307" i="1"/>
  <c r="K1309" i="1"/>
  <c r="K1311" i="1"/>
  <c r="K1313" i="1"/>
  <c r="K1315" i="1"/>
  <c r="K1317" i="1"/>
  <c r="K1319" i="1"/>
  <c r="K1321" i="1"/>
  <c r="K1323" i="1"/>
  <c r="K1325" i="1"/>
  <c r="K1327" i="1"/>
  <c r="K1329" i="1"/>
  <c r="K1331" i="1"/>
  <c r="K1333" i="1"/>
  <c r="K1335" i="1"/>
  <c r="K1337" i="1"/>
  <c r="K1339" i="1"/>
  <c r="K1341" i="1"/>
  <c r="K1343" i="1"/>
  <c r="K1345" i="1"/>
  <c r="K1347" i="1"/>
  <c r="K1349" i="1"/>
  <c r="K1351" i="1"/>
  <c r="K1353" i="1"/>
  <c r="K1355" i="1"/>
  <c r="K1356" i="1"/>
  <c r="K1358" i="1"/>
  <c r="K1360" i="1"/>
  <c r="K1362" i="1"/>
  <c r="K1364" i="1"/>
  <c r="K1366" i="1"/>
  <c r="K1368" i="1"/>
  <c r="K1370" i="1"/>
  <c r="K1372" i="1"/>
  <c r="K1374" i="1"/>
  <c r="K1376" i="1"/>
  <c r="K1378" i="1"/>
  <c r="K1380" i="1"/>
  <c r="K1382" i="1"/>
  <c r="K1384" i="1"/>
  <c r="K1386" i="1"/>
  <c r="K1388" i="1"/>
  <c r="K1390" i="1"/>
  <c r="K1392" i="1"/>
  <c r="K1394" i="1"/>
  <c r="K1396" i="1"/>
  <c r="K1398" i="1"/>
  <c r="K1400" i="1"/>
  <c r="K1402" i="1"/>
  <c r="K1404" i="1"/>
  <c r="K1406" i="1"/>
  <c r="K1408" i="1"/>
  <c r="K1410" i="1"/>
  <c r="K1412" i="1"/>
  <c r="K1414" i="1"/>
  <c r="K1416" i="1"/>
  <c r="K1418" i="1"/>
  <c r="K1420" i="1"/>
  <c r="K1422" i="1"/>
  <c r="K1424" i="1"/>
  <c r="K1426" i="1"/>
  <c r="K1428" i="1"/>
  <c r="K1430" i="1"/>
  <c r="K1432" i="1"/>
  <c r="K1435" i="1"/>
  <c r="K1437" i="1"/>
  <c r="K1439" i="1"/>
  <c r="K1441" i="1"/>
  <c r="K1443" i="1"/>
  <c r="K1445" i="1"/>
  <c r="K1447" i="1"/>
  <c r="K1449" i="1"/>
  <c r="K1451" i="1"/>
  <c r="K1453" i="1"/>
  <c r="K1455" i="1"/>
  <c r="K1457" i="1"/>
  <c r="K1459" i="1"/>
  <c r="K1461" i="1"/>
  <c r="K1462" i="1"/>
  <c r="K1464" i="1"/>
  <c r="K1467" i="1"/>
  <c r="K1469" i="1"/>
  <c r="K1471" i="1"/>
  <c r="K1472" i="1"/>
  <c r="K1475" i="1"/>
  <c r="K1477" i="1"/>
  <c r="K1479" i="1"/>
  <c r="K1481" i="1"/>
  <c r="K1483" i="1"/>
  <c r="K1485" i="1"/>
  <c r="K1487" i="1"/>
  <c r="K1489" i="1"/>
  <c r="K1491" i="1"/>
  <c r="K1493" i="1"/>
  <c r="K1495" i="1"/>
  <c r="K1497" i="1"/>
  <c r="K1499" i="1"/>
  <c r="K1501" i="1"/>
  <c r="K1503" i="1"/>
  <c r="K1505" i="1"/>
  <c r="K1507" i="1"/>
  <c r="K1509" i="1"/>
  <c r="K1511" i="1"/>
  <c r="K1513" i="1"/>
  <c r="K1515" i="1"/>
  <c r="K1517" i="1"/>
  <c r="K1519" i="1"/>
  <c r="K1521" i="1"/>
  <c r="K1523" i="1"/>
  <c r="K1525" i="1"/>
  <c r="K1527" i="1"/>
  <c r="K1529" i="1"/>
  <c r="K1531" i="1"/>
  <c r="K1533" i="1"/>
  <c r="K1535" i="1"/>
  <c r="K1537" i="1"/>
  <c r="K1539" i="1"/>
  <c r="K1541" i="1"/>
  <c r="K1543" i="1"/>
  <c r="K1545" i="1"/>
  <c r="K1546" i="1"/>
  <c r="K1548" i="1"/>
  <c r="K1550" i="1"/>
  <c r="K1553" i="1"/>
  <c r="K1554" i="1"/>
  <c r="K1556" i="1"/>
  <c r="K1558" i="1"/>
  <c r="K1560" i="1"/>
  <c r="K1562" i="1"/>
  <c r="K1564" i="1"/>
  <c r="K1566" i="1"/>
  <c r="K1568" i="1"/>
  <c r="K1570" i="1"/>
  <c r="K1572" i="1"/>
  <c r="K1574" i="1"/>
  <c r="K1576" i="1"/>
  <c r="K1578" i="1"/>
  <c r="K1580" i="1"/>
  <c r="K1582" i="1"/>
  <c r="K1584" i="1"/>
  <c r="K1586" i="1"/>
  <c r="K1588" i="1"/>
  <c r="K1590" i="1"/>
  <c r="K1592" i="1"/>
  <c r="K1594" i="1"/>
  <c r="K1596" i="1"/>
  <c r="K1598" i="1"/>
  <c r="K1600" i="1"/>
  <c r="K1602" i="1"/>
  <c r="K1604" i="1"/>
  <c r="K1606" i="1"/>
  <c r="K1608" i="1"/>
  <c r="K1610" i="1"/>
  <c r="K1612" i="1"/>
  <c r="K1614" i="1"/>
  <c r="K1616" i="1"/>
  <c r="K1618" i="1"/>
  <c r="K1620" i="1"/>
  <c r="K1622" i="1"/>
  <c r="K1624" i="1"/>
  <c r="K1626" i="1"/>
  <c r="K1628" i="1"/>
  <c r="K1630" i="1"/>
  <c r="K1632" i="1"/>
  <c r="K1634" i="1"/>
  <c r="K1636" i="1"/>
  <c r="K1638" i="1"/>
  <c r="K1640" i="1"/>
  <c r="K1642" i="1"/>
  <c r="K1644" i="1"/>
  <c r="K1646" i="1"/>
  <c r="K1648" i="1"/>
  <c r="K1650" i="1"/>
  <c r="K1653" i="1"/>
  <c r="K1655" i="1"/>
  <c r="K1656" i="1"/>
  <c r="K1658" i="1"/>
  <c r="K1660" i="1"/>
  <c r="K1662" i="1"/>
  <c r="K1664" i="1"/>
  <c r="K1666" i="1"/>
  <c r="K1668" i="1"/>
  <c r="K1670" i="1"/>
  <c r="K1672" i="1"/>
  <c r="K1675" i="1"/>
  <c r="K1677" i="1"/>
  <c r="K1679" i="1"/>
  <c r="K1681" i="1"/>
  <c r="K1683" i="1"/>
  <c r="K1685" i="1"/>
  <c r="K1687" i="1"/>
  <c r="K1689" i="1"/>
  <c r="K1691" i="1"/>
  <c r="K1693" i="1"/>
  <c r="K1695" i="1"/>
  <c r="K1697" i="1"/>
  <c r="K1699" i="1"/>
  <c r="K1701" i="1"/>
  <c r="K1702" i="1"/>
  <c r="K1704" i="1"/>
  <c r="K1706" i="1"/>
  <c r="K1708" i="1"/>
  <c r="K1710" i="1"/>
  <c r="K1712" i="1"/>
  <c r="K1714" i="1"/>
  <c r="K1717" i="1"/>
  <c r="K1719" i="1"/>
  <c r="K1721" i="1"/>
  <c r="K1723" i="1"/>
  <c r="K1725" i="1"/>
  <c r="K1727" i="1"/>
  <c r="K1729" i="1"/>
  <c r="K1731" i="1"/>
  <c r="K1733" i="1"/>
  <c r="K1735" i="1"/>
  <c r="K1737" i="1"/>
  <c r="K1738" i="1"/>
  <c r="K1740" i="1"/>
  <c r="K1742" i="1"/>
  <c r="K1744" i="1"/>
  <c r="K1746" i="1"/>
  <c r="K1748" i="1"/>
  <c r="K1750" i="1"/>
  <c r="K1752" i="1"/>
  <c r="K1754" i="1"/>
  <c r="K1756" i="1"/>
  <c r="K1758" i="1"/>
  <c r="K1760" i="1"/>
  <c r="K1762" i="1"/>
  <c r="K1764" i="1"/>
  <c r="K1766" i="1"/>
  <c r="K1768" i="1"/>
  <c r="K1771" i="1"/>
  <c r="K1773" i="1"/>
  <c r="K1775" i="1"/>
  <c r="K1777" i="1"/>
  <c r="K1779" i="1"/>
  <c r="K1781" i="1"/>
  <c r="K1783" i="1"/>
  <c r="K1785" i="1"/>
  <c r="K1787" i="1"/>
  <c r="K1789" i="1"/>
  <c r="K1791" i="1"/>
  <c r="K1793" i="1"/>
  <c r="K1795" i="1"/>
  <c r="K1797" i="1"/>
  <c r="K1799" i="1"/>
  <c r="K1801" i="1"/>
  <c r="K1803" i="1"/>
  <c r="K1805" i="1"/>
  <c r="K1807" i="1"/>
  <c r="K1809" i="1"/>
  <c r="K1811" i="1"/>
  <c r="K1813" i="1"/>
  <c r="K1815" i="1"/>
  <c r="K1817" i="1"/>
  <c r="K1819" i="1"/>
  <c r="K1821" i="1"/>
  <c r="K1822" i="1"/>
  <c r="K1825" i="1"/>
  <c r="K1827" i="1"/>
  <c r="K1828" i="1"/>
  <c r="K1830" i="1"/>
  <c r="K1832" i="1"/>
  <c r="K1834" i="1"/>
  <c r="K1836" i="1"/>
  <c r="K1838" i="1"/>
  <c r="K1840" i="1"/>
  <c r="K1842" i="1"/>
  <c r="K1844" i="1"/>
  <c r="K1846" i="1"/>
  <c r="K1848" i="1"/>
  <c r="K1850" i="1"/>
  <c r="K1852" i="1"/>
  <c r="K1854" i="1"/>
  <c r="K1856" i="1"/>
  <c r="K1858" i="1"/>
  <c r="K1860" i="1"/>
  <c r="K1862" i="1"/>
  <c r="K1864" i="1"/>
  <c r="K1866" i="1"/>
  <c r="K1868" i="1"/>
  <c r="K1870" i="1"/>
  <c r="K1872" i="1"/>
  <c r="K1874" i="1"/>
  <c r="K1876" i="1"/>
  <c r="K1878" i="1"/>
  <c r="K1880" i="1"/>
  <c r="K1882" i="1"/>
  <c r="K1884" i="1"/>
  <c r="K1886" i="1"/>
  <c r="K1888" i="1"/>
  <c r="K1890" i="1"/>
  <c r="K1892" i="1"/>
  <c r="K1894" i="1"/>
  <c r="K1896" i="1"/>
  <c r="K1898" i="1"/>
  <c r="K1900" i="1"/>
  <c r="K1902" i="1"/>
  <c r="K1904" i="1"/>
  <c r="K1906" i="1"/>
  <c r="K1908" i="1"/>
  <c r="K1910" i="1"/>
  <c r="K1912" i="1"/>
  <c r="K1914" i="1"/>
  <c r="K1916" i="1"/>
  <c r="K1918" i="1"/>
  <c r="K1920" i="1"/>
  <c r="K1922" i="1"/>
  <c r="K1924" i="1"/>
  <c r="K1926" i="1"/>
  <c r="K1929" i="1"/>
  <c r="K1931" i="1"/>
  <c r="K1933" i="1"/>
  <c r="K1935" i="1"/>
  <c r="K1937" i="1"/>
  <c r="K1939" i="1"/>
  <c r="K1941" i="1"/>
  <c r="K1943" i="1"/>
  <c r="K1945" i="1"/>
  <c r="K1947" i="1"/>
  <c r="K1949" i="1"/>
  <c r="K1951" i="1"/>
  <c r="K1953" i="1"/>
  <c r="K1955" i="1"/>
  <c r="K1957" i="1"/>
  <c r="K1959" i="1"/>
  <c r="K1961" i="1"/>
  <c r="K1963" i="1"/>
  <c r="K1965" i="1"/>
  <c r="K1967" i="1"/>
  <c r="K1969" i="1"/>
  <c r="K1971" i="1"/>
  <c r="K1973" i="1"/>
  <c r="K1975" i="1"/>
  <c r="K1977" i="1"/>
  <c r="K1979" i="1"/>
  <c r="K1981" i="1"/>
  <c r="K1983" i="1"/>
  <c r="K1985" i="1"/>
  <c r="K1987" i="1"/>
  <c r="K1989" i="1"/>
  <c r="K1991" i="1"/>
  <c r="K1993" i="1"/>
  <c r="K1995" i="1"/>
  <c r="K1997" i="1"/>
  <c r="K1999" i="1"/>
  <c r="K2001" i="1"/>
  <c r="K2003" i="1"/>
  <c r="K2005" i="1"/>
  <c r="K2007" i="1"/>
  <c r="K2009" i="1"/>
  <c r="K2011" i="1"/>
  <c r="K2013" i="1"/>
  <c r="K2015" i="1"/>
  <c r="K2017" i="1"/>
  <c r="K2019" i="1"/>
  <c r="K2021" i="1"/>
  <c r="K2023" i="1"/>
  <c r="K2025" i="1"/>
  <c r="K2027" i="1"/>
  <c r="K2029" i="1"/>
  <c r="K2031" i="1"/>
  <c r="K2033" i="1"/>
  <c r="K2035" i="1"/>
  <c r="K2037" i="1"/>
  <c r="K2039" i="1"/>
  <c r="K2041" i="1"/>
  <c r="K2043" i="1"/>
  <c r="K2045" i="1"/>
  <c r="K2047" i="1"/>
  <c r="K2049" i="1"/>
  <c r="K2051" i="1"/>
  <c r="K2053" i="1"/>
  <c r="K2055" i="1"/>
  <c r="K2057" i="1"/>
  <c r="K2059" i="1"/>
  <c r="K2061" i="1"/>
  <c r="K2063" i="1"/>
  <c r="K2065" i="1"/>
  <c r="K2067" i="1"/>
  <c r="K2069" i="1"/>
  <c r="K2071" i="1"/>
  <c r="K2073" i="1"/>
  <c r="K2075" i="1"/>
  <c r="K2077" i="1"/>
  <c r="K2079" i="1"/>
  <c r="K2081" i="1"/>
  <c r="K2083" i="1"/>
  <c r="K2085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62" i="1"/>
  <c r="K2164" i="1"/>
  <c r="K2166" i="1"/>
  <c r="K2168" i="1"/>
  <c r="K2170" i="1"/>
  <c r="K2172" i="1"/>
  <c r="K2174" i="1"/>
  <c r="K2176" i="1"/>
  <c r="K2178" i="1"/>
  <c r="K2180" i="1"/>
  <c r="K2182" i="1"/>
  <c r="K2185" i="1"/>
  <c r="K2187" i="1"/>
  <c r="K2188" i="1"/>
  <c r="K2190" i="1"/>
  <c r="K2192" i="1"/>
  <c r="K2194" i="1"/>
  <c r="K2196" i="1"/>
  <c r="K2198" i="1"/>
  <c r="K2201" i="1"/>
  <c r="K2203" i="1"/>
  <c r="K2205" i="1"/>
  <c r="K2207" i="1"/>
  <c r="K2209" i="1"/>
  <c r="K2211" i="1"/>
  <c r="K2213" i="1"/>
  <c r="K2215" i="1"/>
  <c r="K2217" i="1"/>
  <c r="K2219" i="1"/>
  <c r="K2221" i="1"/>
  <c r="K2223" i="1"/>
  <c r="K2225" i="1"/>
  <c r="K2227" i="1"/>
  <c r="K2229" i="1"/>
  <c r="K2231" i="1"/>
  <c r="K2233" i="1"/>
  <c r="K2235" i="1"/>
  <c r="K2237" i="1"/>
  <c r="K2239" i="1"/>
  <c r="K2241" i="1"/>
  <c r="K2243" i="1"/>
  <c r="K2245" i="1"/>
  <c r="K2247" i="1"/>
  <c r="K2249" i="1"/>
  <c r="K2251" i="1"/>
  <c r="K2253" i="1"/>
  <c r="K2255" i="1"/>
  <c r="K2257" i="1"/>
  <c r="K2259" i="1"/>
  <c r="K2261" i="1"/>
  <c r="K2263" i="1"/>
  <c r="K2265" i="1"/>
  <c r="K2267" i="1"/>
  <c r="K2269" i="1"/>
  <c r="K2271" i="1"/>
  <c r="K2273" i="1"/>
  <c r="K2275" i="1"/>
  <c r="K2277" i="1"/>
  <c r="K2279" i="1"/>
  <c r="K2281" i="1"/>
  <c r="K2283" i="1"/>
  <c r="K2285" i="1"/>
  <c r="K2287" i="1"/>
  <c r="K2289" i="1"/>
  <c r="K2291" i="1"/>
  <c r="K2293" i="1"/>
  <c r="K2295" i="1"/>
  <c r="K2297" i="1"/>
  <c r="K2299" i="1"/>
  <c r="K2301" i="1"/>
  <c r="K2303" i="1"/>
  <c r="K2305" i="1"/>
  <c r="K2307" i="1"/>
  <c r="K2308" i="1"/>
  <c r="K2310" i="1"/>
  <c r="K2312" i="1"/>
  <c r="K2314" i="1"/>
  <c r="K2316" i="1"/>
  <c r="K2318" i="1"/>
  <c r="K2320" i="1"/>
  <c r="K2322" i="1"/>
  <c r="K2324" i="1"/>
  <c r="K2326" i="1"/>
  <c r="K2328" i="1"/>
  <c r="K2330" i="1"/>
  <c r="K2332" i="1"/>
  <c r="K2334" i="1"/>
  <c r="K2336" i="1"/>
  <c r="K2338" i="1"/>
  <c r="K2340" i="1"/>
  <c r="K2342" i="1"/>
  <c r="K2344" i="1"/>
  <c r="K2346" i="1"/>
  <c r="K2348" i="1"/>
  <c r="K2350" i="1"/>
  <c r="K2353" i="1"/>
  <c r="K2355" i="1"/>
  <c r="K2357" i="1"/>
  <c r="K2358" i="1"/>
  <c r="K2360" i="1"/>
  <c r="K2362" i="1"/>
  <c r="K2364" i="1"/>
  <c r="K2366" i="1"/>
  <c r="K2368" i="1"/>
  <c r="K2370" i="1"/>
  <c r="K2372" i="1"/>
  <c r="K2374" i="1"/>
  <c r="K2376" i="1"/>
  <c r="K2378" i="1"/>
  <c r="K2380" i="1"/>
  <c r="K2383" i="1"/>
  <c r="K2385" i="1"/>
  <c r="K2387" i="1"/>
  <c r="K2389" i="1"/>
  <c r="K2390" i="1"/>
  <c r="K2391" i="1"/>
  <c r="K2392" i="1"/>
  <c r="K2393" i="1"/>
  <c r="K2395" i="1"/>
  <c r="K2397" i="1"/>
  <c r="K2399" i="1"/>
  <c r="K2401" i="1"/>
  <c r="K2403" i="1"/>
  <c r="K2404" i="1"/>
  <c r="K2406" i="1"/>
  <c r="K2408" i="1"/>
  <c r="K2410" i="1"/>
  <c r="K2412" i="1"/>
  <c r="K2414" i="1"/>
  <c r="K2416" i="1"/>
  <c r="K2419" i="1"/>
  <c r="K2421" i="1"/>
  <c r="K2423" i="1"/>
  <c r="K2425" i="1"/>
  <c r="K2427" i="1"/>
  <c r="K2429" i="1"/>
  <c r="K2431" i="1"/>
  <c r="K2433" i="1"/>
  <c r="K2435" i="1"/>
  <c r="K2437" i="1"/>
  <c r="K2438" i="1"/>
  <c r="K2440" i="1"/>
  <c r="K2442" i="1"/>
  <c r="K2444" i="1"/>
  <c r="K2446" i="1"/>
  <c r="K2448" i="1"/>
  <c r="K2450" i="1"/>
  <c r="K2452" i="1"/>
  <c r="K2454" i="1"/>
  <c r="K2456" i="1"/>
  <c r="K2458" i="1"/>
  <c r="K2460" i="1"/>
  <c r="K2462" i="1"/>
  <c r="K2464" i="1"/>
  <c r="K2467" i="1"/>
  <c r="K2469" i="1"/>
  <c r="K2471" i="1"/>
  <c r="K2473" i="1"/>
  <c r="K2475" i="1"/>
  <c r="K2477" i="1"/>
  <c r="K2479" i="1"/>
  <c r="K2484" i="1"/>
  <c r="K2486" i="1"/>
  <c r="K2488" i="1"/>
  <c r="K2490" i="1"/>
  <c r="K2492" i="1"/>
  <c r="K2494" i="1"/>
  <c r="K2496" i="1"/>
  <c r="K2498" i="1"/>
  <c r="K2500" i="1"/>
  <c r="K2502" i="1"/>
  <c r="K2504" i="1"/>
  <c r="K2506" i="1"/>
  <c r="K2508" i="1"/>
  <c r="K2510" i="1"/>
  <c r="K2512" i="1"/>
  <c r="K2514" i="1"/>
  <c r="K2516" i="1"/>
  <c r="K2518" i="1"/>
  <c r="K2520" i="1"/>
  <c r="K2522" i="1"/>
  <c r="K2524" i="1"/>
  <c r="K2526" i="1"/>
  <c r="K2528" i="1"/>
  <c r="K2530" i="1"/>
  <c r="K2532" i="1"/>
  <c r="K2534" i="1"/>
  <c r="K2536" i="1"/>
  <c r="K2538" i="1"/>
  <c r="K2540" i="1"/>
  <c r="K2542" i="1"/>
  <c r="K2544" i="1"/>
  <c r="K2546" i="1"/>
  <c r="K2548" i="1"/>
  <c r="K2550" i="1"/>
  <c r="K2552" i="1"/>
  <c r="K2554" i="1"/>
  <c r="K2556" i="1"/>
  <c r="K2558" i="1"/>
  <c r="K2560" i="1"/>
  <c r="K2562" i="1"/>
  <c r="K2564" i="1"/>
  <c r="K2567" i="1"/>
  <c r="K2569" i="1"/>
  <c r="K2571" i="1"/>
  <c r="K2573" i="1"/>
  <c r="K2575" i="1"/>
  <c r="K2577" i="1"/>
  <c r="K2579" i="1"/>
  <c r="K2581" i="1"/>
  <c r="K2583" i="1"/>
  <c r="K2585" i="1"/>
  <c r="K2587" i="1"/>
  <c r="K2589" i="1"/>
  <c r="K2591" i="1"/>
  <c r="K2593" i="1"/>
  <c r="K2595" i="1"/>
  <c r="K2597" i="1"/>
  <c r="K2599" i="1"/>
  <c r="K2600" i="1"/>
  <c r="K2602" i="1"/>
  <c r="K31" i="1"/>
  <c r="J11" i="1"/>
  <c r="J13" i="1"/>
  <c r="J16" i="1"/>
  <c r="J18" i="1"/>
  <c r="J20" i="1"/>
  <c r="J22" i="1"/>
  <c r="J24" i="1"/>
  <c r="J27" i="1"/>
  <c r="J29" i="1"/>
  <c r="J31" i="1"/>
  <c r="J33" i="1"/>
  <c r="J34" i="1"/>
  <c r="J36" i="1"/>
  <c r="J38" i="1"/>
  <c r="J40" i="1"/>
  <c r="J41" i="1"/>
  <c r="J44" i="1"/>
  <c r="J45" i="1"/>
  <c r="J46" i="1"/>
  <c r="J47" i="1"/>
  <c r="J48" i="1"/>
  <c r="J49" i="1"/>
  <c r="J51" i="1"/>
  <c r="J53" i="1"/>
  <c r="J55" i="1"/>
  <c r="J57" i="1"/>
  <c r="J59" i="1"/>
  <c r="J61" i="1"/>
  <c r="J63" i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99" i="1"/>
  <c r="J101" i="1"/>
  <c r="J103" i="1"/>
  <c r="J105" i="1"/>
  <c r="J107" i="1"/>
  <c r="H17" i="1"/>
  <c r="H32" i="1"/>
  <c r="H33" i="1"/>
  <c r="H34" i="1"/>
  <c r="H35" i="1"/>
  <c r="H36" i="1"/>
  <c r="H37" i="1"/>
  <c r="H38" i="1"/>
  <c r="H39" i="1"/>
  <c r="H40" i="1"/>
  <c r="H41" i="1"/>
  <c r="H42" i="1"/>
  <c r="H43" i="1"/>
  <c r="H47" i="1"/>
  <c r="H48" i="1"/>
  <c r="H50" i="1"/>
  <c r="H52" i="1"/>
  <c r="H54" i="1"/>
  <c r="H56" i="1"/>
  <c r="H58" i="1"/>
  <c r="H60" i="1"/>
  <c r="H62" i="1"/>
  <c r="H64" i="1"/>
  <c r="H66" i="1"/>
  <c r="H68" i="1"/>
  <c r="H70" i="1"/>
  <c r="H72" i="1"/>
  <c r="H74" i="1"/>
  <c r="H76" i="1"/>
  <c r="H78" i="1"/>
  <c r="H80" i="1"/>
  <c r="H82" i="1"/>
  <c r="H84" i="1"/>
  <c r="H86" i="1"/>
  <c r="H88" i="1"/>
  <c r="H90" i="1"/>
  <c r="H92" i="1"/>
  <c r="H94" i="1"/>
  <c r="H96" i="1"/>
  <c r="I18" i="1"/>
  <c r="I20" i="1"/>
  <c r="I22" i="1"/>
  <c r="I24" i="1"/>
  <c r="I26" i="1"/>
  <c r="I28" i="1"/>
  <c r="I30" i="1"/>
  <c r="I32" i="1"/>
  <c r="I34" i="1"/>
  <c r="I36" i="1"/>
  <c r="I38" i="1"/>
  <c r="I40" i="1"/>
  <c r="I42" i="1"/>
  <c r="I44" i="1"/>
  <c r="I46" i="1"/>
  <c r="I48" i="1"/>
  <c r="I50" i="1"/>
  <c r="I52" i="1"/>
  <c r="I54" i="1"/>
  <c r="I56" i="1"/>
  <c r="I74" i="1"/>
  <c r="I76" i="1"/>
  <c r="I79" i="1"/>
  <c r="I81" i="1"/>
  <c r="I83" i="1"/>
  <c r="I86" i="1"/>
  <c r="I88" i="1"/>
  <c r="I90" i="1"/>
  <c r="I92" i="1"/>
  <c r="I94" i="1"/>
  <c r="I96" i="1"/>
  <c r="I98" i="1"/>
  <c r="I100" i="1"/>
  <c r="I102" i="1"/>
  <c r="I104" i="1"/>
  <c r="I106" i="1"/>
  <c r="I108" i="1"/>
  <c r="I110" i="1"/>
  <c r="I112" i="1"/>
  <c r="I114" i="1"/>
  <c r="I116" i="1"/>
  <c r="I118" i="1"/>
  <c r="I120" i="1"/>
  <c r="I122" i="1"/>
  <c r="I124" i="1"/>
  <c r="I126" i="1"/>
  <c r="I128" i="1"/>
  <c r="I130" i="1"/>
  <c r="I132" i="1"/>
  <c r="I134" i="1"/>
  <c r="I136" i="1"/>
  <c r="I138" i="1"/>
  <c r="I141" i="1"/>
  <c r="I143" i="1"/>
  <c r="I145" i="1"/>
  <c r="I147" i="1"/>
  <c r="I149" i="1"/>
  <c r="I151" i="1"/>
  <c r="I153" i="1"/>
  <c r="I155" i="1"/>
  <c r="I157" i="1"/>
  <c r="I159" i="1"/>
  <c r="I161" i="1"/>
  <c r="I163" i="1"/>
  <c r="I164" i="1"/>
  <c r="I166" i="1"/>
  <c r="I168" i="1"/>
  <c r="I170" i="1"/>
  <c r="I172" i="1"/>
  <c r="I174" i="1"/>
  <c r="I176" i="1"/>
  <c r="I178" i="1"/>
  <c r="I180" i="1"/>
  <c r="I182" i="1"/>
  <c r="I184" i="1"/>
  <c r="I186" i="1"/>
  <c r="I188" i="1"/>
  <c r="I189" i="1"/>
  <c r="I191" i="1"/>
  <c r="I193" i="1"/>
  <c r="I195" i="1"/>
  <c r="I197" i="1"/>
  <c r="I199" i="1"/>
  <c r="I201" i="1"/>
  <c r="I203" i="1"/>
  <c r="I205" i="1"/>
  <c r="I207" i="1"/>
  <c r="I209" i="1"/>
  <c r="I211" i="1"/>
  <c r="I213" i="1"/>
  <c r="I215" i="1"/>
  <c r="I217" i="1"/>
  <c r="I219" i="1"/>
  <c r="I221" i="1"/>
  <c r="I223" i="1"/>
  <c r="I225" i="1"/>
  <c r="I227" i="1"/>
  <c r="I229" i="1"/>
  <c r="I231" i="1"/>
  <c r="I233" i="1"/>
  <c r="I234" i="1"/>
  <c r="I236" i="1"/>
  <c r="I238" i="1"/>
  <c r="I240" i="1"/>
  <c r="I242" i="1"/>
  <c r="I244" i="1"/>
  <c r="I246" i="1"/>
  <c r="I248" i="1"/>
  <c r="I250" i="1"/>
  <c r="I252" i="1"/>
  <c r="I254" i="1"/>
  <c r="I256" i="1"/>
  <c r="I258" i="1"/>
  <c r="I260" i="1"/>
  <c r="I262" i="1"/>
  <c r="I264" i="1"/>
  <c r="I266" i="1"/>
  <c r="I268" i="1"/>
  <c r="I270" i="1"/>
  <c r="I272" i="1"/>
  <c r="I273" i="1"/>
  <c r="I275" i="1"/>
  <c r="I277" i="1"/>
  <c r="I279" i="1"/>
  <c r="I281" i="1"/>
  <c r="I283" i="1"/>
  <c r="I285" i="1"/>
  <c r="I287" i="1"/>
  <c r="I289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10" i="1"/>
  <c r="I311" i="1"/>
  <c r="I313" i="1"/>
  <c r="I315" i="1"/>
  <c r="I317" i="1"/>
  <c r="I319" i="1"/>
  <c r="I321" i="1"/>
  <c r="I323" i="1"/>
  <c r="I324" i="1"/>
  <c r="I326" i="1"/>
  <c r="I328" i="1"/>
  <c r="I330" i="1"/>
  <c r="I334" i="1"/>
  <c r="I336" i="1"/>
  <c r="I338" i="1"/>
  <c r="I339" i="1"/>
  <c r="I341" i="1"/>
  <c r="I343" i="1"/>
  <c r="I344" i="1"/>
  <c r="I347" i="1"/>
  <c r="I349" i="1"/>
  <c r="I351" i="1"/>
  <c r="I353" i="1"/>
  <c r="I355" i="1"/>
  <c r="I357" i="1"/>
  <c r="I359" i="1"/>
  <c r="I361" i="1"/>
  <c r="I362" i="1"/>
  <c r="I364" i="1"/>
  <c r="I366" i="1"/>
  <c r="I368" i="1"/>
  <c r="I370" i="1"/>
  <c r="I372" i="1"/>
  <c r="I374" i="1"/>
  <c r="I376" i="1"/>
  <c r="I378" i="1"/>
  <c r="I380" i="1"/>
  <c r="I382" i="1"/>
  <c r="I384" i="1"/>
  <c r="I386" i="1"/>
  <c r="I388" i="1"/>
  <c r="I390" i="1"/>
  <c r="I392" i="1"/>
  <c r="I410" i="1"/>
  <c r="I412" i="1"/>
  <c r="I414" i="1"/>
  <c r="I415" i="1"/>
  <c r="I417" i="1"/>
  <c r="I419" i="1"/>
  <c r="I422" i="1"/>
  <c r="I424" i="1"/>
  <c r="I425" i="1"/>
  <c r="I427" i="1"/>
  <c r="I428" i="1"/>
  <c r="I430" i="1"/>
  <c r="I431" i="1"/>
  <c r="I433" i="1"/>
  <c r="I435" i="1"/>
  <c r="I437" i="1"/>
  <c r="I439" i="1"/>
  <c r="I440" i="1"/>
  <c r="I442" i="1"/>
  <c r="I444" i="1"/>
  <c r="I446" i="1"/>
  <c r="I448" i="1"/>
  <c r="I450" i="1"/>
  <c r="I452" i="1"/>
  <c r="I454" i="1"/>
  <c r="I456" i="1"/>
  <c r="I458" i="1"/>
  <c r="I460" i="1"/>
  <c r="I462" i="1"/>
  <c r="I463" i="1"/>
  <c r="I465" i="1"/>
  <c r="I469" i="1"/>
  <c r="I471" i="1"/>
  <c r="I474" i="1"/>
  <c r="I476" i="1"/>
  <c r="I478" i="1"/>
  <c r="I481" i="1"/>
  <c r="I483" i="1"/>
  <c r="I486" i="1"/>
  <c r="I487" i="1"/>
  <c r="I489" i="1"/>
  <c r="I491" i="1"/>
  <c r="I493" i="1"/>
  <c r="I494" i="1"/>
  <c r="I496" i="1"/>
  <c r="I498" i="1"/>
  <c r="I500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6" i="1"/>
  <c r="L2478" i="1"/>
  <c r="L2480" i="1"/>
  <c r="L2482" i="1"/>
  <c r="L2484" i="1"/>
  <c r="L2485" i="1"/>
  <c r="L2487" i="1"/>
  <c r="L2489" i="1"/>
  <c r="L2491" i="1"/>
  <c r="L2493" i="1"/>
  <c r="L2495" i="1"/>
  <c r="L2497" i="1"/>
  <c r="L2499" i="1"/>
  <c r="L2501" i="1"/>
  <c r="L2503" i="1"/>
  <c r="L2505" i="1"/>
  <c r="L2507" i="1"/>
  <c r="L2508" i="1"/>
  <c r="L2510" i="1"/>
  <c r="L2512" i="1"/>
  <c r="L2514" i="1"/>
  <c r="L2516" i="1"/>
  <c r="L2518" i="1"/>
  <c r="L2520" i="1"/>
  <c r="L2522" i="1"/>
  <c r="L2524" i="1"/>
  <c r="L2526" i="1"/>
  <c r="L2528" i="1"/>
  <c r="L2530" i="1"/>
  <c r="L2532" i="1"/>
  <c r="L2534" i="1"/>
  <c r="L2536" i="1"/>
  <c r="L2538" i="1"/>
  <c r="L2540" i="1"/>
  <c r="L2542" i="1"/>
  <c r="L2544" i="1"/>
  <c r="L2546" i="1"/>
  <c r="L2548" i="1"/>
  <c r="L2550" i="1"/>
  <c r="L2552" i="1"/>
  <c r="L2554" i="1"/>
  <c r="L2556" i="1"/>
  <c r="L2558" i="1"/>
  <c r="L2560" i="1"/>
  <c r="L2562" i="1"/>
  <c r="L2564" i="1"/>
  <c r="L2566" i="1"/>
  <c r="L2568" i="1"/>
  <c r="L2570" i="1"/>
  <c r="L2572" i="1"/>
  <c r="L2574" i="1"/>
  <c r="L2576" i="1"/>
  <c r="L2578" i="1"/>
  <c r="L2580" i="1"/>
  <c r="L2582" i="1"/>
  <c r="L2584" i="1"/>
  <c r="L2586" i="1"/>
  <c r="L2588" i="1"/>
  <c r="L2590" i="1"/>
  <c r="L2592" i="1"/>
  <c r="L2594" i="1"/>
  <c r="L2596" i="1"/>
  <c r="L2599" i="1"/>
  <c r="L2601" i="1"/>
  <c r="L2603" i="1"/>
  <c r="K46" i="1"/>
  <c r="K48" i="1"/>
  <c r="K50" i="1"/>
  <c r="K51" i="1"/>
  <c r="K53" i="1"/>
  <c r="K55" i="1"/>
  <c r="K57" i="1"/>
  <c r="K60" i="1"/>
  <c r="K62" i="1"/>
  <c r="K64" i="1"/>
  <c r="K66" i="1"/>
  <c r="K68" i="1"/>
  <c r="K69" i="1"/>
  <c r="K72" i="1"/>
  <c r="K74" i="1"/>
  <c r="K76" i="1"/>
  <c r="K78" i="1"/>
  <c r="K80" i="1"/>
  <c r="K82" i="1"/>
  <c r="K84" i="1"/>
  <c r="K86" i="1"/>
  <c r="K88" i="1"/>
  <c r="K90" i="1"/>
  <c r="K92" i="1"/>
  <c r="K94" i="1"/>
  <c r="K96" i="1"/>
  <c r="K98" i="1"/>
  <c r="K100" i="1"/>
  <c r="K102" i="1"/>
  <c r="K104" i="1"/>
  <c r="K106" i="1"/>
  <c r="K108" i="1"/>
  <c r="K110" i="1"/>
  <c r="K113" i="1"/>
  <c r="K115" i="1"/>
  <c r="K117" i="1"/>
  <c r="K119" i="1"/>
  <c r="K121" i="1"/>
  <c r="K123" i="1"/>
  <c r="K124" i="1"/>
  <c r="K126" i="1"/>
  <c r="K128" i="1"/>
  <c r="K130" i="1"/>
  <c r="K132" i="1"/>
  <c r="K134" i="1"/>
  <c r="K136" i="1"/>
  <c r="K138" i="1"/>
  <c r="K140" i="1"/>
  <c r="K142" i="1"/>
  <c r="K144" i="1"/>
  <c r="K146" i="1"/>
  <c r="K148" i="1"/>
  <c r="K150" i="1"/>
  <c r="K152" i="1"/>
  <c r="K154" i="1"/>
  <c r="K156" i="1"/>
  <c r="K158" i="1"/>
  <c r="K160" i="1"/>
  <c r="K162" i="1"/>
  <c r="K164" i="1"/>
  <c r="K166" i="1"/>
  <c r="K168" i="1"/>
  <c r="K170" i="1"/>
  <c r="K172" i="1"/>
  <c r="K174" i="1"/>
  <c r="K176" i="1"/>
  <c r="K178" i="1"/>
  <c r="K180" i="1"/>
  <c r="K182" i="1"/>
  <c r="K184" i="1"/>
  <c r="K186" i="1"/>
  <c r="K189" i="1"/>
  <c r="K190" i="1"/>
  <c r="K192" i="1"/>
  <c r="K194" i="1"/>
  <c r="K196" i="1"/>
  <c r="K198" i="1"/>
  <c r="K200" i="1"/>
  <c r="K202" i="1"/>
  <c r="K204" i="1"/>
  <c r="K206" i="1"/>
  <c r="K208" i="1"/>
  <c r="K210" i="1"/>
  <c r="K212" i="1"/>
  <c r="K214" i="1"/>
  <c r="K216" i="1"/>
  <c r="K218" i="1"/>
  <c r="K220" i="1"/>
  <c r="K222" i="1"/>
  <c r="K225" i="1"/>
  <c r="K227" i="1"/>
  <c r="K229" i="1"/>
  <c r="K231" i="1"/>
  <c r="K233" i="1"/>
  <c r="K234" i="1"/>
  <c r="K236" i="1"/>
  <c r="K239" i="1"/>
  <c r="K241" i="1"/>
  <c r="K243" i="1"/>
  <c r="K245" i="1"/>
  <c r="K247" i="1"/>
  <c r="K249" i="1"/>
  <c r="K251" i="1"/>
  <c r="K253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90" i="1"/>
  <c r="K292" i="1"/>
  <c r="K294" i="1"/>
  <c r="K296" i="1"/>
  <c r="K298" i="1"/>
  <c r="K300" i="1"/>
  <c r="K302" i="1"/>
  <c r="K304" i="1"/>
  <c r="K306" i="1"/>
  <c r="K308" i="1"/>
  <c r="K310" i="1"/>
  <c r="K312" i="1"/>
  <c r="K314" i="1"/>
  <c r="K315" i="1"/>
  <c r="K317" i="1"/>
  <c r="K320" i="1"/>
  <c r="K322" i="1"/>
  <c r="K324" i="1"/>
  <c r="K326" i="1"/>
  <c r="K328" i="1"/>
  <c r="K330" i="1"/>
  <c r="K332" i="1"/>
  <c r="K334" i="1"/>
  <c r="K337" i="1"/>
  <c r="K339" i="1"/>
  <c r="K341" i="1"/>
  <c r="K343" i="1"/>
  <c r="K345" i="1"/>
  <c r="K347" i="1"/>
  <c r="K349" i="1"/>
  <c r="K351" i="1"/>
  <c r="K353" i="1"/>
  <c r="K355" i="1"/>
  <c r="K357" i="1"/>
  <c r="K359" i="1"/>
  <c r="K361" i="1"/>
  <c r="K363" i="1"/>
  <c r="K365" i="1"/>
  <c r="K367" i="1"/>
  <c r="K369" i="1"/>
  <c r="K371" i="1"/>
  <c r="K373" i="1"/>
  <c r="K375" i="1"/>
  <c r="K377" i="1"/>
  <c r="K379" i="1"/>
  <c r="K381" i="1"/>
  <c r="K383" i="1"/>
  <c r="K385" i="1"/>
  <c r="K387" i="1"/>
  <c r="K389" i="1"/>
  <c r="K391" i="1"/>
  <c r="K393" i="1"/>
  <c r="K395" i="1"/>
  <c r="K397" i="1"/>
  <c r="K399" i="1"/>
  <c r="K401" i="1"/>
  <c r="K403" i="1"/>
  <c r="K405" i="1"/>
  <c r="K407" i="1"/>
  <c r="K409" i="1"/>
  <c r="K411" i="1"/>
  <c r="K413" i="1"/>
  <c r="K415" i="1"/>
  <c r="K417" i="1"/>
  <c r="K419" i="1"/>
  <c r="K421" i="1"/>
  <c r="K423" i="1"/>
  <c r="K425" i="1"/>
  <c r="K427" i="1"/>
  <c r="K429" i="1"/>
  <c r="K431" i="1"/>
  <c r="K433" i="1"/>
  <c r="K435" i="1"/>
  <c r="K437" i="1"/>
  <c r="K439" i="1"/>
  <c r="K441" i="1"/>
  <c r="K443" i="1"/>
  <c r="K445" i="1"/>
  <c r="K447" i="1"/>
  <c r="K449" i="1"/>
  <c r="K451" i="1"/>
  <c r="K453" i="1"/>
  <c r="K455" i="1"/>
  <c r="K457" i="1"/>
  <c r="K459" i="1"/>
  <c r="K461" i="1"/>
  <c r="K463" i="1"/>
  <c r="K465" i="1"/>
  <c r="K467" i="1"/>
  <c r="K469" i="1"/>
  <c r="K471" i="1"/>
  <c r="K473" i="1"/>
  <c r="K475" i="1"/>
  <c r="K477" i="1"/>
  <c r="K479" i="1"/>
  <c r="K482" i="1"/>
  <c r="K484" i="1"/>
  <c r="K486" i="1"/>
  <c r="K488" i="1"/>
  <c r="K490" i="1"/>
  <c r="K492" i="1"/>
  <c r="K494" i="1"/>
  <c r="K496" i="1"/>
  <c r="K498" i="1"/>
  <c r="K501" i="1"/>
  <c r="K503" i="1"/>
  <c r="K505" i="1"/>
  <c r="K507" i="1"/>
  <c r="K509" i="1"/>
  <c r="K511" i="1"/>
  <c r="K513" i="1"/>
  <c r="K515" i="1"/>
  <c r="K517" i="1"/>
  <c r="K519" i="1"/>
  <c r="K521" i="1"/>
  <c r="K523" i="1"/>
  <c r="K525" i="1"/>
  <c r="K527" i="1"/>
  <c r="K529" i="1"/>
  <c r="K531" i="1"/>
  <c r="K533" i="1"/>
  <c r="K535" i="1"/>
  <c r="K537" i="1"/>
  <c r="K539" i="1"/>
  <c r="K541" i="1"/>
  <c r="K543" i="1"/>
  <c r="K545" i="1"/>
  <c r="K547" i="1"/>
  <c r="K548" i="1"/>
  <c r="K550" i="1"/>
  <c r="K552" i="1"/>
  <c r="K554" i="1"/>
  <c r="K556" i="1"/>
  <c r="K558" i="1"/>
  <c r="K560" i="1"/>
  <c r="K562" i="1"/>
  <c r="K564" i="1"/>
  <c r="K567" i="1"/>
  <c r="K569" i="1"/>
  <c r="K571" i="1"/>
  <c r="K573" i="1"/>
  <c r="K575" i="1"/>
  <c r="K577" i="1"/>
  <c r="K579" i="1"/>
  <c r="K581" i="1"/>
  <c r="K583" i="1"/>
  <c r="K585" i="1"/>
  <c r="K587" i="1"/>
  <c r="K589" i="1"/>
  <c r="K590" i="1"/>
  <c r="K592" i="1"/>
  <c r="K594" i="1"/>
  <c r="K596" i="1"/>
  <c r="K598" i="1"/>
  <c r="K601" i="1"/>
  <c r="K603" i="1"/>
  <c r="K605" i="1"/>
  <c r="K607" i="1"/>
  <c r="K609" i="1"/>
  <c r="K611" i="1"/>
  <c r="K613" i="1"/>
  <c r="K614" i="1"/>
  <c r="K616" i="1"/>
  <c r="K618" i="1"/>
  <c r="K620" i="1"/>
  <c r="K622" i="1"/>
  <c r="K624" i="1"/>
  <c r="K626" i="1"/>
  <c r="K628" i="1"/>
  <c r="K630" i="1"/>
  <c r="K632" i="1"/>
  <c r="K634" i="1"/>
  <c r="K636" i="1"/>
  <c r="K638" i="1"/>
  <c r="K640" i="1"/>
  <c r="K642" i="1"/>
  <c r="K644" i="1"/>
  <c r="K646" i="1"/>
  <c r="K648" i="1"/>
  <c r="K650" i="1"/>
  <c r="K652" i="1"/>
  <c r="K654" i="1"/>
  <c r="K656" i="1"/>
  <c r="K658" i="1"/>
  <c r="K660" i="1"/>
  <c r="K662" i="1"/>
  <c r="K664" i="1"/>
  <c r="K666" i="1"/>
  <c r="K668" i="1"/>
  <c r="K670" i="1"/>
  <c r="K672" i="1"/>
  <c r="K674" i="1"/>
  <c r="K676" i="1"/>
  <c r="K678" i="1"/>
  <c r="K680" i="1"/>
  <c r="K682" i="1"/>
  <c r="K684" i="1"/>
  <c r="K686" i="1"/>
  <c r="K688" i="1"/>
  <c r="K690" i="1"/>
  <c r="K692" i="1"/>
  <c r="K694" i="1"/>
  <c r="K696" i="1"/>
  <c r="K698" i="1"/>
  <c r="K700" i="1"/>
  <c r="K702" i="1"/>
  <c r="K704" i="1"/>
  <c r="K706" i="1"/>
  <c r="K708" i="1"/>
  <c r="K710" i="1"/>
  <c r="K712" i="1"/>
  <c r="K714" i="1"/>
  <c r="K716" i="1"/>
  <c r="K718" i="1"/>
  <c r="K720" i="1"/>
  <c r="K722" i="1"/>
  <c r="K724" i="1"/>
  <c r="K726" i="1"/>
  <c r="K728" i="1"/>
  <c r="K730" i="1"/>
  <c r="K732" i="1"/>
  <c r="K734" i="1"/>
  <c r="K736" i="1"/>
  <c r="K738" i="1"/>
  <c r="K740" i="1"/>
  <c r="K742" i="1"/>
  <c r="K744" i="1"/>
  <c r="K746" i="1"/>
  <c r="K748" i="1"/>
  <c r="K750" i="1"/>
  <c r="K752" i="1"/>
  <c r="K754" i="1"/>
  <c r="K756" i="1"/>
  <c r="K758" i="1"/>
  <c r="K761" i="1"/>
  <c r="K763" i="1"/>
  <c r="K765" i="1"/>
  <c r="K767" i="1"/>
  <c r="K769" i="1"/>
  <c r="K771" i="1"/>
  <c r="K773" i="1"/>
  <c r="K775" i="1"/>
  <c r="K777" i="1"/>
  <c r="K779" i="1"/>
  <c r="K781" i="1"/>
  <c r="K783" i="1"/>
  <c r="K785" i="1"/>
  <c r="K787" i="1"/>
  <c r="K788" i="1"/>
  <c r="K790" i="1"/>
  <c r="K792" i="1"/>
  <c r="K794" i="1"/>
  <c r="K796" i="1"/>
  <c r="K798" i="1"/>
  <c r="K800" i="1"/>
  <c r="K802" i="1"/>
  <c r="K804" i="1"/>
  <c r="K806" i="1"/>
  <c r="K808" i="1"/>
  <c r="K810" i="1"/>
  <c r="K812" i="1"/>
  <c r="K814" i="1"/>
  <c r="K816" i="1"/>
  <c r="K818" i="1"/>
  <c r="K820" i="1"/>
  <c r="K822" i="1"/>
  <c r="K825" i="1"/>
  <c r="K827" i="1"/>
  <c r="K828" i="1"/>
  <c r="K830" i="1"/>
  <c r="K832" i="1"/>
  <c r="K834" i="1"/>
  <c r="K836" i="1"/>
  <c r="K838" i="1"/>
  <c r="K840" i="1"/>
  <c r="K842" i="1"/>
  <c r="K844" i="1"/>
  <c r="K846" i="1"/>
  <c r="K848" i="1"/>
  <c r="K850" i="1"/>
  <c r="K852" i="1"/>
  <c r="K854" i="1"/>
  <c r="K856" i="1"/>
  <c r="K858" i="1"/>
  <c r="K860" i="1"/>
  <c r="K862" i="1"/>
  <c r="K864" i="1"/>
  <c r="K866" i="1"/>
  <c r="K869" i="1"/>
  <c r="K871" i="1"/>
  <c r="K873" i="1"/>
  <c r="K875" i="1"/>
  <c r="K877" i="1"/>
  <c r="K879" i="1"/>
  <c r="K881" i="1"/>
  <c r="K883" i="1"/>
  <c r="K885" i="1"/>
  <c r="K887" i="1"/>
  <c r="K889" i="1"/>
  <c r="K891" i="1"/>
  <c r="K893" i="1"/>
  <c r="K895" i="1"/>
  <c r="K897" i="1"/>
  <c r="K899" i="1"/>
  <c r="K901" i="1"/>
  <c r="K903" i="1"/>
  <c r="K905" i="1"/>
  <c r="K907" i="1"/>
  <c r="K909" i="1"/>
  <c r="K911" i="1"/>
  <c r="K913" i="1"/>
  <c r="K915" i="1"/>
  <c r="K917" i="1"/>
  <c r="K919" i="1"/>
  <c r="K921" i="1"/>
  <c r="K923" i="1"/>
  <c r="K925" i="1"/>
  <c r="K927" i="1"/>
  <c r="K929" i="1"/>
  <c r="K931" i="1"/>
  <c r="K933" i="1"/>
  <c r="K935" i="1"/>
  <c r="K937" i="1"/>
  <c r="K939" i="1"/>
  <c r="K941" i="1"/>
  <c r="K943" i="1"/>
  <c r="K945" i="1"/>
  <c r="K947" i="1"/>
  <c r="K949" i="1"/>
  <c r="K951" i="1"/>
  <c r="K953" i="1"/>
  <c r="K955" i="1"/>
  <c r="K957" i="1"/>
  <c r="K959" i="1"/>
  <c r="K961" i="1"/>
  <c r="K963" i="1"/>
  <c r="K965" i="1"/>
  <c r="K967" i="1"/>
  <c r="K969" i="1"/>
  <c r="K971" i="1"/>
  <c r="K974" i="1"/>
  <c r="K976" i="1"/>
  <c r="K978" i="1"/>
  <c r="K980" i="1"/>
  <c r="K982" i="1"/>
  <c r="K984" i="1"/>
  <c r="K986" i="1"/>
  <c r="K988" i="1"/>
  <c r="K990" i="1"/>
  <c r="K992" i="1"/>
  <c r="K995" i="1"/>
  <c r="K997" i="1"/>
  <c r="K998" i="1"/>
  <c r="K1000" i="1"/>
  <c r="K1002" i="1"/>
  <c r="K1004" i="1"/>
  <c r="K1006" i="1"/>
  <c r="K1008" i="1"/>
  <c r="K1010" i="1"/>
  <c r="K1012" i="1"/>
  <c r="K1014" i="1"/>
  <c r="K1016" i="1"/>
  <c r="K1018" i="1"/>
  <c r="K1021" i="1"/>
  <c r="K1023" i="1"/>
  <c r="K1025" i="1"/>
  <c r="K1027" i="1"/>
  <c r="K1029" i="1"/>
  <c r="K1031" i="1"/>
  <c r="K1033" i="1"/>
  <c r="K1035" i="1"/>
  <c r="K1036" i="1"/>
  <c r="K1038" i="1"/>
  <c r="K1041" i="1"/>
  <c r="K1043" i="1"/>
  <c r="K1045" i="1"/>
  <c r="K1047" i="1"/>
  <c r="K1049" i="1"/>
  <c r="K1051" i="1"/>
  <c r="K1053" i="1"/>
  <c r="K1055" i="1"/>
  <c r="K1057" i="1"/>
  <c r="K1059" i="1"/>
  <c r="K1061" i="1"/>
  <c r="K1063" i="1"/>
  <c r="K1065" i="1"/>
  <c r="K1067" i="1"/>
  <c r="K1069" i="1"/>
  <c r="K1071" i="1"/>
  <c r="K1073" i="1"/>
  <c r="K1075" i="1"/>
  <c r="K1077" i="1"/>
  <c r="K1079" i="1"/>
  <c r="K1081" i="1"/>
  <c r="K1083" i="1"/>
  <c r="K1085" i="1"/>
  <c r="K1087" i="1"/>
  <c r="K1089" i="1"/>
  <c r="K1091" i="1"/>
  <c r="K1093" i="1"/>
  <c r="K1095" i="1"/>
  <c r="K1097" i="1"/>
  <c r="K1099" i="1"/>
  <c r="K1101" i="1"/>
  <c r="K1103" i="1"/>
  <c r="K1105" i="1"/>
  <c r="K1107" i="1"/>
  <c r="K1108" i="1"/>
  <c r="K1110" i="1"/>
  <c r="K1112" i="1"/>
  <c r="K1114" i="1"/>
  <c r="K1116" i="1"/>
  <c r="K1118" i="1"/>
  <c r="K1120" i="1"/>
  <c r="K1122" i="1"/>
  <c r="K1124" i="1"/>
  <c r="K1127" i="1"/>
  <c r="K1129" i="1"/>
  <c r="K1131" i="1"/>
  <c r="K1133" i="1"/>
  <c r="K1135" i="1"/>
  <c r="K1137" i="1"/>
  <c r="K1139" i="1"/>
  <c r="K1141" i="1"/>
  <c r="K1143" i="1"/>
  <c r="K1145" i="1"/>
  <c r="K1147" i="1"/>
  <c r="K1149" i="1"/>
  <c r="K1151" i="1"/>
  <c r="K1153" i="1"/>
  <c r="K1155" i="1"/>
  <c r="K1157" i="1"/>
  <c r="K1159" i="1"/>
  <c r="K1161" i="1"/>
  <c r="K1163" i="1"/>
  <c r="K1164" i="1"/>
  <c r="K1166" i="1"/>
  <c r="K1168" i="1"/>
  <c r="K1170" i="1"/>
  <c r="K1172" i="1"/>
  <c r="K1174" i="1"/>
  <c r="K1176" i="1"/>
  <c r="K1178" i="1"/>
  <c r="K1180" i="1"/>
  <c r="K1182" i="1"/>
  <c r="K1184" i="1"/>
  <c r="K1186" i="1"/>
  <c r="K1188" i="1"/>
  <c r="K1190" i="1"/>
  <c r="K1192" i="1"/>
  <c r="K1194" i="1"/>
  <c r="K1196" i="1"/>
  <c r="K1198" i="1"/>
  <c r="K1200" i="1"/>
  <c r="K1203" i="1"/>
  <c r="K1205" i="1"/>
  <c r="K1207" i="1"/>
  <c r="K1209" i="1"/>
  <c r="K1211" i="1"/>
  <c r="K1213" i="1"/>
  <c r="K1215" i="1"/>
  <c r="K1217" i="1"/>
  <c r="K1219" i="1"/>
  <c r="K1221" i="1"/>
  <c r="K1223" i="1"/>
  <c r="K1225" i="1"/>
  <c r="K1227" i="1"/>
  <c r="K1229" i="1"/>
  <c r="K1231" i="1"/>
  <c r="K1233" i="1"/>
  <c r="K1235" i="1"/>
  <c r="K1237" i="1"/>
  <c r="K1239" i="1"/>
  <c r="K1241" i="1"/>
  <c r="K1243" i="1"/>
  <c r="K1245" i="1"/>
  <c r="K1247" i="1"/>
  <c r="K1249" i="1"/>
  <c r="K1251" i="1"/>
  <c r="K1253" i="1"/>
  <c r="K1255" i="1"/>
  <c r="K1257" i="1"/>
  <c r="K1259" i="1"/>
  <c r="K1261" i="1"/>
  <c r="K1263" i="1"/>
  <c r="K1265" i="1"/>
  <c r="K1266" i="1"/>
  <c r="K1268" i="1"/>
  <c r="K1270" i="1"/>
  <c r="K1272" i="1"/>
  <c r="K1275" i="1"/>
  <c r="K1277" i="1"/>
  <c r="K1279" i="1"/>
  <c r="K1280" i="1"/>
  <c r="K1282" i="1"/>
  <c r="K1284" i="1"/>
  <c r="K1286" i="1"/>
  <c r="K1288" i="1"/>
  <c r="K1290" i="1"/>
  <c r="K1292" i="1"/>
  <c r="K1294" i="1"/>
  <c r="K1296" i="1"/>
  <c r="K1298" i="1"/>
  <c r="K1300" i="1"/>
  <c r="K1302" i="1"/>
  <c r="K1304" i="1"/>
  <c r="K1306" i="1"/>
  <c r="K1308" i="1"/>
  <c r="K1310" i="1"/>
  <c r="K1312" i="1"/>
  <c r="K1314" i="1"/>
  <c r="K1316" i="1"/>
  <c r="K1318" i="1"/>
  <c r="K1320" i="1"/>
  <c r="K1322" i="1"/>
  <c r="K1324" i="1"/>
  <c r="K1326" i="1"/>
  <c r="K1328" i="1"/>
  <c r="K1330" i="1"/>
  <c r="K1332" i="1"/>
  <c r="K1334" i="1"/>
  <c r="K1336" i="1"/>
  <c r="K1338" i="1"/>
  <c r="K1340" i="1"/>
  <c r="K1342" i="1"/>
  <c r="K1344" i="1"/>
  <c r="K1346" i="1"/>
  <c r="K1348" i="1"/>
  <c r="K1350" i="1"/>
  <c r="K1352" i="1"/>
  <c r="K1354" i="1"/>
  <c r="K1357" i="1"/>
  <c r="K1359" i="1"/>
  <c r="K1361" i="1"/>
  <c r="K1363" i="1"/>
  <c r="K1365" i="1"/>
  <c r="K1367" i="1"/>
  <c r="K1369" i="1"/>
  <c r="K1371" i="1"/>
  <c r="K1373" i="1"/>
  <c r="K1375" i="1"/>
  <c r="K1377" i="1"/>
  <c r="K1379" i="1"/>
  <c r="K1381" i="1"/>
  <c r="K1383" i="1"/>
  <c r="K1385" i="1"/>
  <c r="K1387" i="1"/>
  <c r="K1389" i="1"/>
  <c r="K1391" i="1"/>
  <c r="K1393" i="1"/>
  <c r="K1395" i="1"/>
  <c r="K1397" i="1"/>
  <c r="K1399" i="1"/>
  <c r="K1401" i="1"/>
  <c r="K1403" i="1"/>
  <c r="K1405" i="1"/>
  <c r="K1407" i="1"/>
  <c r="K1409" i="1"/>
  <c r="K1411" i="1"/>
  <c r="K1413" i="1"/>
  <c r="K1415" i="1"/>
  <c r="K1417" i="1"/>
  <c r="K1419" i="1"/>
  <c r="K1421" i="1"/>
  <c r="K1423" i="1"/>
  <c r="K1425" i="1"/>
  <c r="K1427" i="1"/>
  <c r="K1429" i="1"/>
  <c r="K1431" i="1"/>
  <c r="K1433" i="1"/>
  <c r="K1434" i="1"/>
  <c r="K1436" i="1"/>
  <c r="K1438" i="1"/>
  <c r="K1440" i="1"/>
  <c r="K1442" i="1"/>
  <c r="K1444" i="1"/>
  <c r="K1446" i="1"/>
  <c r="K1448" i="1"/>
  <c r="K1450" i="1"/>
  <c r="K1452" i="1"/>
  <c r="K1454" i="1"/>
  <c r="K1456" i="1"/>
  <c r="K1458" i="1"/>
  <c r="K1460" i="1"/>
  <c r="K1463" i="1"/>
  <c r="K1465" i="1"/>
  <c r="K1466" i="1"/>
  <c r="K1468" i="1"/>
  <c r="K1470" i="1"/>
  <c r="K1473" i="1"/>
  <c r="K1474" i="1"/>
  <c r="K1476" i="1"/>
  <c r="K1478" i="1"/>
  <c r="K1480" i="1"/>
  <c r="K1482" i="1"/>
  <c r="K1484" i="1"/>
  <c r="K1486" i="1"/>
  <c r="K1488" i="1"/>
  <c r="K1490" i="1"/>
  <c r="K1492" i="1"/>
  <c r="K1494" i="1"/>
  <c r="K1496" i="1"/>
  <c r="K1498" i="1"/>
  <c r="K1500" i="1"/>
  <c r="K1502" i="1"/>
  <c r="K1504" i="1"/>
  <c r="K1506" i="1"/>
  <c r="K1508" i="1"/>
  <c r="K1510" i="1"/>
  <c r="K1512" i="1"/>
  <c r="K1514" i="1"/>
  <c r="K1516" i="1"/>
  <c r="K1518" i="1"/>
  <c r="K1520" i="1"/>
  <c r="K1522" i="1"/>
  <c r="K1524" i="1"/>
  <c r="K1526" i="1"/>
  <c r="K1528" i="1"/>
  <c r="K1530" i="1"/>
  <c r="K1532" i="1"/>
  <c r="K1534" i="1"/>
  <c r="K1536" i="1"/>
  <c r="K1538" i="1"/>
  <c r="K1540" i="1"/>
  <c r="K1542" i="1"/>
  <c r="K1544" i="1"/>
  <c r="K1547" i="1"/>
  <c r="K1549" i="1"/>
  <c r="K1551" i="1"/>
  <c r="K1552" i="1"/>
  <c r="K1555" i="1"/>
  <c r="K1557" i="1"/>
  <c r="K1559" i="1"/>
  <c r="K1561" i="1"/>
  <c r="K1563" i="1"/>
  <c r="K1565" i="1"/>
  <c r="K1567" i="1"/>
  <c r="K1569" i="1"/>
  <c r="K1571" i="1"/>
  <c r="K1573" i="1"/>
  <c r="K1575" i="1"/>
  <c r="K1577" i="1"/>
  <c r="K1579" i="1"/>
  <c r="K1581" i="1"/>
  <c r="K1583" i="1"/>
  <c r="K1585" i="1"/>
  <c r="K1587" i="1"/>
  <c r="K1589" i="1"/>
  <c r="K1591" i="1"/>
  <c r="K1593" i="1"/>
  <c r="K1595" i="1"/>
  <c r="K1597" i="1"/>
  <c r="K1599" i="1"/>
  <c r="K1601" i="1"/>
  <c r="K1603" i="1"/>
  <c r="K1605" i="1"/>
  <c r="K1607" i="1"/>
  <c r="K1609" i="1"/>
  <c r="K1611" i="1"/>
  <c r="K1613" i="1"/>
  <c r="K1615" i="1"/>
  <c r="K1617" i="1"/>
  <c r="K1619" i="1"/>
  <c r="K1621" i="1"/>
  <c r="K1623" i="1"/>
  <c r="K1625" i="1"/>
  <c r="K1627" i="1"/>
  <c r="K1629" i="1"/>
  <c r="K1631" i="1"/>
  <c r="K1633" i="1"/>
  <c r="K1635" i="1"/>
  <c r="K1637" i="1"/>
  <c r="K1639" i="1"/>
  <c r="K1641" i="1"/>
  <c r="K1643" i="1"/>
  <c r="K1645" i="1"/>
  <c r="K1647" i="1"/>
  <c r="K1649" i="1"/>
  <c r="K1651" i="1"/>
  <c r="K1652" i="1"/>
  <c r="K1654" i="1"/>
  <c r="K1657" i="1"/>
  <c r="K1659" i="1"/>
  <c r="K1661" i="1"/>
  <c r="K1663" i="1"/>
  <c r="K1665" i="1"/>
  <c r="K1667" i="1"/>
  <c r="K1669" i="1"/>
  <c r="K1671" i="1"/>
  <c r="K1673" i="1"/>
  <c r="K1674" i="1"/>
  <c r="K1676" i="1"/>
  <c r="K1678" i="1"/>
  <c r="K1680" i="1"/>
  <c r="K1682" i="1"/>
  <c r="K1684" i="1"/>
  <c r="K1686" i="1"/>
  <c r="K1688" i="1"/>
  <c r="K1690" i="1"/>
  <c r="K1692" i="1"/>
  <c r="K1694" i="1"/>
  <c r="K1696" i="1"/>
  <c r="K1698" i="1"/>
  <c r="K1700" i="1"/>
  <c r="K1703" i="1"/>
  <c r="K1705" i="1"/>
  <c r="K1707" i="1"/>
  <c r="K1709" i="1"/>
  <c r="K1711" i="1"/>
  <c r="K1713" i="1"/>
  <c r="K1715" i="1"/>
  <c r="K1716" i="1"/>
  <c r="K1718" i="1"/>
  <c r="K1720" i="1"/>
  <c r="K1722" i="1"/>
  <c r="K1724" i="1"/>
  <c r="K1726" i="1"/>
  <c r="K1728" i="1"/>
  <c r="K1730" i="1"/>
  <c r="K1732" i="1"/>
  <c r="K1734" i="1"/>
  <c r="K1736" i="1"/>
  <c r="K1739" i="1"/>
  <c r="K1741" i="1"/>
  <c r="K1743" i="1"/>
  <c r="K1745" i="1"/>
  <c r="K1747" i="1"/>
  <c r="K1749" i="1"/>
  <c r="K1751" i="1"/>
  <c r="K1753" i="1"/>
  <c r="K1755" i="1"/>
  <c r="K1757" i="1"/>
  <c r="K1759" i="1"/>
  <c r="K1761" i="1"/>
  <c r="K1763" i="1"/>
  <c r="K1765" i="1"/>
  <c r="K1767" i="1"/>
  <c r="K1769" i="1"/>
  <c r="K1770" i="1"/>
  <c r="K1772" i="1"/>
  <c r="K1774" i="1"/>
  <c r="K1776" i="1"/>
  <c r="K1778" i="1"/>
  <c r="K1780" i="1"/>
  <c r="K1782" i="1"/>
  <c r="K1784" i="1"/>
  <c r="K1786" i="1"/>
  <c r="K1788" i="1"/>
  <c r="K1790" i="1"/>
  <c r="K1792" i="1"/>
  <c r="K1794" i="1"/>
  <c r="K1796" i="1"/>
  <c r="K1798" i="1"/>
  <c r="K1800" i="1"/>
  <c r="K1802" i="1"/>
  <c r="K1804" i="1"/>
  <c r="K1806" i="1"/>
  <c r="K1808" i="1"/>
  <c r="K1810" i="1"/>
  <c r="K1812" i="1"/>
  <c r="K1814" i="1"/>
  <c r="K1816" i="1"/>
  <c r="K1818" i="1"/>
  <c r="K1820" i="1"/>
  <c r="K1823" i="1"/>
  <c r="K1824" i="1"/>
  <c r="K1826" i="1"/>
  <c r="K1829" i="1"/>
  <c r="K1831" i="1"/>
  <c r="K1833" i="1"/>
  <c r="K1835" i="1"/>
  <c r="K1837" i="1"/>
  <c r="K1839" i="1"/>
  <c r="K1841" i="1"/>
  <c r="K1843" i="1"/>
  <c r="K1845" i="1"/>
  <c r="K1847" i="1"/>
  <c r="K1849" i="1"/>
  <c r="K1851" i="1"/>
  <c r="K1853" i="1"/>
  <c r="K1855" i="1"/>
  <c r="K1857" i="1"/>
  <c r="K1859" i="1"/>
  <c r="K1861" i="1"/>
  <c r="K1863" i="1"/>
  <c r="K1865" i="1"/>
  <c r="K1867" i="1"/>
  <c r="K1869" i="1"/>
  <c r="K1871" i="1"/>
  <c r="K1873" i="1"/>
  <c r="K1875" i="1"/>
  <c r="K1877" i="1"/>
  <c r="K1879" i="1"/>
  <c r="K1881" i="1"/>
  <c r="K1883" i="1"/>
  <c r="K1885" i="1"/>
  <c r="K1887" i="1"/>
  <c r="K1889" i="1"/>
  <c r="K1891" i="1"/>
  <c r="K1893" i="1"/>
  <c r="K1895" i="1"/>
  <c r="K1897" i="1"/>
  <c r="K1899" i="1"/>
  <c r="K1901" i="1"/>
  <c r="K1903" i="1"/>
  <c r="K1905" i="1"/>
  <c r="K1907" i="1"/>
  <c r="K1909" i="1"/>
  <c r="K1911" i="1"/>
  <c r="K1913" i="1"/>
  <c r="K1915" i="1"/>
  <c r="K1917" i="1"/>
  <c r="K1919" i="1"/>
  <c r="K1921" i="1"/>
  <c r="K1923" i="1"/>
  <c r="K1925" i="1"/>
  <c r="K1927" i="1"/>
  <c r="K1928" i="1"/>
  <c r="K1930" i="1"/>
  <c r="K1932" i="1"/>
  <c r="K1934" i="1"/>
  <c r="K1936" i="1"/>
  <c r="K1938" i="1"/>
  <c r="K1940" i="1"/>
  <c r="K1942" i="1"/>
  <c r="K1944" i="1"/>
  <c r="K1946" i="1"/>
  <c r="K1948" i="1"/>
  <c r="K1950" i="1"/>
  <c r="K1952" i="1"/>
  <c r="K1954" i="1"/>
  <c r="K1956" i="1"/>
  <c r="K1958" i="1"/>
  <c r="K1960" i="1"/>
  <c r="K1962" i="1"/>
  <c r="K1964" i="1"/>
  <c r="K1966" i="1"/>
  <c r="K1968" i="1"/>
  <c r="K1970" i="1"/>
  <c r="K1972" i="1"/>
  <c r="K1974" i="1"/>
  <c r="K1976" i="1"/>
  <c r="K1978" i="1"/>
  <c r="K1980" i="1"/>
  <c r="K1982" i="1"/>
  <c r="K1984" i="1"/>
  <c r="K1986" i="1"/>
  <c r="K1988" i="1"/>
  <c r="K1990" i="1"/>
  <c r="K1992" i="1"/>
  <c r="K1994" i="1"/>
  <c r="K1996" i="1"/>
  <c r="K1998" i="1"/>
  <c r="K2000" i="1"/>
  <c r="K2002" i="1"/>
  <c r="K2004" i="1"/>
  <c r="K2006" i="1"/>
  <c r="K2008" i="1"/>
  <c r="K2010" i="1"/>
  <c r="K2012" i="1"/>
  <c r="K2014" i="1"/>
  <c r="K2016" i="1"/>
  <c r="K2018" i="1"/>
  <c r="K2020" i="1"/>
  <c r="K2022" i="1"/>
  <c r="K2024" i="1"/>
  <c r="K2026" i="1"/>
  <c r="K2028" i="1"/>
  <c r="K2030" i="1"/>
  <c r="K2032" i="1"/>
  <c r="K2034" i="1"/>
  <c r="K2036" i="1"/>
  <c r="K2038" i="1"/>
  <c r="K2040" i="1"/>
  <c r="K2042" i="1"/>
  <c r="K2044" i="1"/>
  <c r="K2046" i="1"/>
  <c r="K2048" i="1"/>
  <c r="K2050" i="1"/>
  <c r="K2052" i="1"/>
  <c r="K2054" i="1"/>
  <c r="K2056" i="1"/>
  <c r="K2058" i="1"/>
  <c r="K2060" i="1"/>
  <c r="K2062" i="1"/>
  <c r="K2064" i="1"/>
  <c r="K2066" i="1"/>
  <c r="K2068" i="1"/>
  <c r="K2070" i="1"/>
  <c r="K2072" i="1"/>
  <c r="K2074" i="1"/>
  <c r="K2076" i="1"/>
  <c r="K2078" i="1"/>
  <c r="K2080" i="1"/>
  <c r="K2082" i="1"/>
  <c r="K2084" i="1"/>
  <c r="K2086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3" i="1"/>
  <c r="K2165" i="1"/>
  <c r="K2167" i="1"/>
  <c r="K2169" i="1"/>
  <c r="K2171" i="1"/>
  <c r="K2173" i="1"/>
  <c r="K2175" i="1"/>
  <c r="K2177" i="1"/>
  <c r="K2179" i="1"/>
  <c r="K2181" i="1"/>
  <c r="K2183" i="1"/>
  <c r="K2184" i="1"/>
  <c r="K2186" i="1"/>
  <c r="K2189" i="1"/>
  <c r="K2191" i="1"/>
  <c r="K2193" i="1"/>
  <c r="K2195" i="1"/>
  <c r="K2197" i="1"/>
  <c r="K2199" i="1"/>
  <c r="K2200" i="1"/>
  <c r="K2202" i="1"/>
  <c r="K2204" i="1"/>
  <c r="K2206" i="1"/>
  <c r="K2208" i="1"/>
  <c r="K2210" i="1"/>
  <c r="K2212" i="1"/>
  <c r="K2214" i="1"/>
  <c r="K2216" i="1"/>
  <c r="K2218" i="1"/>
  <c r="K2220" i="1"/>
  <c r="K2222" i="1"/>
  <c r="K2224" i="1"/>
  <c r="K2226" i="1"/>
  <c r="K2228" i="1"/>
  <c r="K2230" i="1"/>
  <c r="K2232" i="1"/>
  <c r="K2234" i="1"/>
  <c r="K2236" i="1"/>
  <c r="K2238" i="1"/>
  <c r="K2240" i="1"/>
  <c r="K2242" i="1"/>
  <c r="K2244" i="1"/>
  <c r="K2246" i="1"/>
  <c r="K2248" i="1"/>
  <c r="K2250" i="1"/>
  <c r="K2252" i="1"/>
  <c r="K2254" i="1"/>
  <c r="K2256" i="1"/>
  <c r="K2258" i="1"/>
  <c r="K2260" i="1"/>
  <c r="K2262" i="1"/>
  <c r="K2264" i="1"/>
  <c r="K2266" i="1"/>
  <c r="K2268" i="1"/>
  <c r="K2270" i="1"/>
  <c r="K2272" i="1"/>
  <c r="K2274" i="1"/>
  <c r="K2276" i="1"/>
  <c r="K2278" i="1"/>
  <c r="K2280" i="1"/>
  <c r="K2282" i="1"/>
  <c r="K2284" i="1"/>
  <c r="K2286" i="1"/>
  <c r="K2288" i="1"/>
  <c r="K2290" i="1"/>
  <c r="K2292" i="1"/>
  <c r="K2294" i="1"/>
  <c r="K2296" i="1"/>
  <c r="K2298" i="1"/>
  <c r="K2300" i="1"/>
  <c r="K2302" i="1"/>
  <c r="K2304" i="1"/>
  <c r="K2306" i="1"/>
  <c r="K2309" i="1"/>
  <c r="K2311" i="1"/>
  <c r="K2313" i="1"/>
  <c r="K2315" i="1"/>
  <c r="K2317" i="1"/>
  <c r="K2319" i="1"/>
  <c r="K2321" i="1"/>
  <c r="K2323" i="1"/>
  <c r="K2325" i="1"/>
  <c r="K2327" i="1"/>
  <c r="K2329" i="1"/>
  <c r="K2331" i="1"/>
  <c r="K2333" i="1"/>
  <c r="K2335" i="1"/>
  <c r="K2337" i="1"/>
  <c r="K2339" i="1"/>
  <c r="K2341" i="1"/>
  <c r="K2343" i="1"/>
  <c r="K2345" i="1"/>
  <c r="K2347" i="1"/>
  <c r="K2349" i="1"/>
  <c r="K2351" i="1"/>
  <c r="K2352" i="1"/>
  <c r="K2354" i="1"/>
  <c r="K2356" i="1"/>
  <c r="K2359" i="1"/>
  <c r="K2361" i="1"/>
  <c r="K2363" i="1"/>
  <c r="K2365" i="1"/>
  <c r="K2367" i="1"/>
  <c r="K2369" i="1"/>
  <c r="K2371" i="1"/>
  <c r="K2373" i="1"/>
  <c r="K2375" i="1"/>
  <c r="K2377" i="1"/>
  <c r="K2379" i="1"/>
  <c r="K2381" i="1"/>
  <c r="K2382" i="1"/>
  <c r="K2384" i="1"/>
  <c r="K2386" i="1"/>
  <c r="K2388" i="1"/>
  <c r="K2394" i="1"/>
  <c r="K2396" i="1"/>
  <c r="K2398" i="1"/>
  <c r="K2400" i="1"/>
  <c r="K2402" i="1"/>
  <c r="K2405" i="1"/>
  <c r="K2407" i="1"/>
  <c r="K2409" i="1"/>
  <c r="K2411" i="1"/>
  <c r="K2413" i="1"/>
  <c r="K2415" i="1"/>
  <c r="K2417" i="1"/>
  <c r="K2418" i="1"/>
  <c r="K2420" i="1"/>
  <c r="K2422" i="1"/>
  <c r="K2424" i="1"/>
  <c r="K2426" i="1"/>
  <c r="K2428" i="1"/>
  <c r="K2430" i="1"/>
  <c r="K2432" i="1"/>
  <c r="K2434" i="1"/>
  <c r="K2436" i="1"/>
  <c r="K2439" i="1"/>
  <c r="K2441" i="1"/>
  <c r="K2443" i="1"/>
  <c r="K2445" i="1"/>
  <c r="K2447" i="1"/>
  <c r="K2449" i="1"/>
  <c r="K2451" i="1"/>
  <c r="K2453" i="1"/>
  <c r="K2455" i="1"/>
  <c r="K2457" i="1"/>
  <c r="K2459" i="1"/>
  <c r="K2461" i="1"/>
  <c r="K2463" i="1"/>
  <c r="K2465" i="1"/>
  <c r="K2466" i="1"/>
  <c r="K2468" i="1"/>
  <c r="K2470" i="1"/>
  <c r="K2472" i="1"/>
  <c r="K2474" i="1"/>
  <c r="K2476" i="1"/>
  <c r="K2478" i="1"/>
  <c r="K2480" i="1"/>
  <c r="K2481" i="1"/>
  <c r="K2482" i="1"/>
  <c r="K2483" i="1"/>
  <c r="K2485" i="1"/>
  <c r="K2487" i="1"/>
  <c r="K2489" i="1"/>
  <c r="K2491" i="1"/>
  <c r="K2493" i="1"/>
  <c r="K2495" i="1"/>
  <c r="K2497" i="1"/>
  <c r="K2499" i="1"/>
  <c r="K2501" i="1"/>
  <c r="K2503" i="1"/>
  <c r="K2505" i="1"/>
  <c r="K2507" i="1"/>
  <c r="K2509" i="1"/>
  <c r="K2511" i="1"/>
  <c r="K2513" i="1"/>
  <c r="K2515" i="1"/>
  <c r="K2517" i="1"/>
  <c r="K2519" i="1"/>
  <c r="K2521" i="1"/>
  <c r="K2523" i="1"/>
  <c r="K2525" i="1"/>
  <c r="K2527" i="1"/>
  <c r="K2529" i="1"/>
  <c r="K2531" i="1"/>
  <c r="K2533" i="1"/>
  <c r="K2535" i="1"/>
  <c r="K2537" i="1"/>
  <c r="K2539" i="1"/>
  <c r="K2541" i="1"/>
  <c r="K2543" i="1"/>
  <c r="K2545" i="1"/>
  <c r="K2547" i="1"/>
  <c r="K2549" i="1"/>
  <c r="K2551" i="1"/>
  <c r="K2553" i="1"/>
  <c r="K2555" i="1"/>
  <c r="K2557" i="1"/>
  <c r="K2559" i="1"/>
  <c r="K2561" i="1"/>
  <c r="K2563" i="1"/>
  <c r="K2565" i="1"/>
  <c r="K2566" i="1"/>
  <c r="K2568" i="1"/>
  <c r="K2570" i="1"/>
  <c r="K2572" i="1"/>
  <c r="K2574" i="1"/>
  <c r="K2576" i="1"/>
  <c r="K2578" i="1"/>
  <c r="K2580" i="1"/>
  <c r="K2582" i="1"/>
  <c r="K2584" i="1"/>
  <c r="K2586" i="1"/>
  <c r="K2588" i="1"/>
  <c r="K2590" i="1"/>
  <c r="K2592" i="1"/>
  <c r="K2594" i="1"/>
  <c r="K2596" i="1"/>
  <c r="K2598" i="1"/>
  <c r="K2601" i="1"/>
  <c r="K2603" i="1"/>
  <c r="J9" i="1"/>
  <c r="J10" i="1"/>
  <c r="J12" i="1"/>
  <c r="J14" i="1"/>
  <c r="J15" i="1"/>
  <c r="J17" i="1"/>
  <c r="J19" i="1"/>
  <c r="J21" i="1"/>
  <c r="J23" i="1"/>
  <c r="J25" i="1"/>
  <c r="J26" i="1"/>
  <c r="J28" i="1"/>
  <c r="J30" i="1"/>
  <c r="J32" i="1"/>
  <c r="J35" i="1"/>
  <c r="J37" i="1"/>
  <c r="J39" i="1"/>
  <c r="J42" i="1"/>
  <c r="J43" i="1"/>
  <c r="J50" i="1"/>
  <c r="J52" i="1"/>
  <c r="J54" i="1"/>
  <c r="J56" i="1"/>
  <c r="J58" i="1"/>
  <c r="J60" i="1"/>
  <c r="J62" i="1"/>
  <c r="J64" i="1"/>
  <c r="J66" i="1"/>
  <c r="J68" i="1"/>
  <c r="J70" i="1"/>
  <c r="J72" i="1"/>
  <c r="J74" i="1"/>
  <c r="J76" i="1"/>
  <c r="J78" i="1"/>
  <c r="J80" i="1"/>
  <c r="J82" i="1"/>
  <c r="J84" i="1"/>
  <c r="J86" i="1"/>
  <c r="J88" i="1"/>
  <c r="J90" i="1"/>
  <c r="J92" i="1"/>
  <c r="J94" i="1"/>
  <c r="J96" i="1"/>
  <c r="J98" i="1"/>
  <c r="J100" i="1"/>
  <c r="J102" i="1"/>
  <c r="J104" i="1"/>
  <c r="J106" i="1"/>
  <c r="J108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44" i="1"/>
  <c r="H45" i="1"/>
  <c r="H46" i="1"/>
  <c r="H49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H91" i="1"/>
  <c r="H93" i="1"/>
  <c r="H95" i="1"/>
  <c r="I17" i="1"/>
  <c r="I19" i="1"/>
  <c r="I21" i="1"/>
  <c r="I23" i="1"/>
  <c r="I25" i="1"/>
  <c r="I27" i="1"/>
  <c r="I29" i="1"/>
  <c r="I31" i="1"/>
  <c r="I33" i="1"/>
  <c r="I35" i="1"/>
  <c r="I37" i="1"/>
  <c r="I39" i="1"/>
  <c r="I41" i="1"/>
  <c r="I43" i="1"/>
  <c r="I45" i="1"/>
  <c r="I47" i="1"/>
  <c r="I49" i="1"/>
  <c r="I51" i="1"/>
  <c r="I53" i="1"/>
  <c r="I55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5" i="1"/>
  <c r="I77" i="1"/>
  <c r="I78" i="1"/>
  <c r="I80" i="1"/>
  <c r="I82" i="1"/>
  <c r="I84" i="1"/>
  <c r="I87" i="1"/>
  <c r="I89" i="1"/>
  <c r="I91" i="1"/>
  <c r="I93" i="1"/>
  <c r="I95" i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25" i="1"/>
  <c r="I127" i="1"/>
  <c r="I129" i="1"/>
  <c r="I131" i="1"/>
  <c r="I133" i="1"/>
  <c r="I135" i="1"/>
  <c r="I137" i="1"/>
  <c r="I139" i="1"/>
  <c r="I140" i="1"/>
  <c r="I142" i="1"/>
  <c r="I144" i="1"/>
  <c r="I146" i="1"/>
  <c r="I148" i="1"/>
  <c r="I150" i="1"/>
  <c r="I152" i="1"/>
  <c r="I154" i="1"/>
  <c r="I156" i="1"/>
  <c r="I158" i="1"/>
  <c r="I160" i="1"/>
  <c r="I162" i="1"/>
  <c r="I165" i="1"/>
  <c r="I167" i="1"/>
  <c r="I169" i="1"/>
  <c r="I171" i="1"/>
  <c r="I173" i="1"/>
  <c r="I175" i="1"/>
  <c r="I177" i="1"/>
  <c r="I179" i="1"/>
  <c r="I181" i="1"/>
  <c r="I183" i="1"/>
  <c r="I185" i="1"/>
  <c r="I187" i="1"/>
  <c r="I190" i="1"/>
  <c r="I192" i="1"/>
  <c r="I194" i="1"/>
  <c r="I196" i="1"/>
  <c r="I198" i="1"/>
  <c r="I200" i="1"/>
  <c r="I202" i="1"/>
  <c r="I204" i="1"/>
  <c r="I206" i="1"/>
  <c r="I208" i="1"/>
  <c r="I210" i="1"/>
  <c r="I212" i="1"/>
  <c r="I214" i="1"/>
  <c r="I216" i="1"/>
  <c r="I218" i="1"/>
  <c r="I220" i="1"/>
  <c r="I222" i="1"/>
  <c r="I224" i="1"/>
  <c r="I226" i="1"/>
  <c r="I228" i="1"/>
  <c r="I230" i="1"/>
  <c r="I232" i="1"/>
  <c r="I235" i="1"/>
  <c r="I237" i="1"/>
  <c r="I239" i="1"/>
  <c r="I241" i="1"/>
  <c r="I243" i="1"/>
  <c r="I245" i="1"/>
  <c r="I247" i="1"/>
  <c r="I249" i="1"/>
  <c r="I251" i="1"/>
  <c r="I253" i="1"/>
  <c r="I255" i="1"/>
  <c r="I257" i="1"/>
  <c r="I259" i="1"/>
  <c r="I261" i="1"/>
  <c r="I263" i="1"/>
  <c r="I265" i="1"/>
  <c r="I267" i="1"/>
  <c r="I269" i="1"/>
  <c r="I271" i="1"/>
  <c r="I274" i="1"/>
  <c r="I276" i="1"/>
  <c r="I278" i="1"/>
  <c r="I280" i="1"/>
  <c r="I282" i="1"/>
  <c r="I284" i="1"/>
  <c r="I286" i="1"/>
  <c r="I288" i="1"/>
  <c r="I290" i="1"/>
  <c r="I309" i="1"/>
  <c r="I312" i="1"/>
  <c r="I314" i="1"/>
  <c r="I316" i="1"/>
  <c r="I318" i="1"/>
  <c r="I320" i="1"/>
  <c r="I322" i="1"/>
  <c r="I325" i="1"/>
  <c r="I327" i="1"/>
  <c r="I329" i="1"/>
  <c r="I331" i="1"/>
  <c r="I332" i="1"/>
  <c r="I333" i="1"/>
  <c r="I335" i="1"/>
  <c r="I337" i="1"/>
  <c r="I340" i="1"/>
  <c r="I342" i="1"/>
  <c r="I345" i="1"/>
  <c r="I346" i="1"/>
  <c r="I348" i="1"/>
  <c r="I350" i="1"/>
  <c r="I352" i="1"/>
  <c r="I354" i="1"/>
  <c r="I356" i="1"/>
  <c r="I358" i="1"/>
  <c r="I360" i="1"/>
  <c r="I363" i="1"/>
  <c r="I365" i="1"/>
  <c r="I367" i="1"/>
  <c r="I369" i="1"/>
  <c r="I371" i="1"/>
  <c r="I373" i="1"/>
  <c r="I375" i="1"/>
  <c r="I377" i="1"/>
  <c r="I379" i="1"/>
  <c r="I381" i="1"/>
  <c r="I383" i="1"/>
  <c r="I385" i="1"/>
  <c r="I387" i="1"/>
  <c r="I389" i="1"/>
  <c r="I391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1" i="1"/>
  <c r="I413" i="1"/>
  <c r="I416" i="1"/>
  <c r="I418" i="1"/>
  <c r="I420" i="1"/>
  <c r="I421" i="1"/>
  <c r="I423" i="1"/>
  <c r="I426" i="1"/>
  <c r="I429" i="1"/>
  <c r="I432" i="1"/>
  <c r="I434" i="1"/>
  <c r="I436" i="1"/>
  <c r="I438" i="1"/>
  <c r="I441" i="1"/>
  <c r="I443" i="1"/>
  <c r="I445" i="1"/>
  <c r="I447" i="1"/>
  <c r="I449" i="1"/>
  <c r="I451" i="1"/>
  <c r="I453" i="1"/>
  <c r="I455" i="1"/>
  <c r="I457" i="1"/>
  <c r="I459" i="1"/>
  <c r="I461" i="1"/>
  <c r="I464" i="1"/>
  <c r="I466" i="1"/>
  <c r="I467" i="1"/>
  <c r="I468" i="1"/>
  <c r="I470" i="1"/>
  <c r="I472" i="1"/>
  <c r="I473" i="1"/>
  <c r="I475" i="1"/>
  <c r="I477" i="1"/>
  <c r="I479" i="1"/>
  <c r="I480" i="1"/>
  <c r="I482" i="1"/>
  <c r="I484" i="1"/>
  <c r="I485" i="1"/>
  <c r="I488" i="1"/>
  <c r="I490" i="1"/>
  <c r="I492" i="1"/>
  <c r="I495" i="1"/>
  <c r="I497" i="1"/>
  <c r="I499" i="1"/>
  <c r="L92" i="1"/>
  <c r="L93" i="1"/>
  <c r="L94" i="1"/>
  <c r="L95" i="1"/>
  <c r="L96" i="1"/>
  <c r="L97" i="1"/>
  <c r="L98" i="1"/>
  <c r="L99" i="1"/>
  <c r="L100" i="1"/>
  <c r="K32" i="1"/>
  <c r="K34" i="1"/>
  <c r="K36" i="1"/>
  <c r="K38" i="1"/>
  <c r="K40" i="1"/>
  <c r="K42" i="1"/>
  <c r="K44" i="1"/>
  <c r="L101" i="1"/>
  <c r="L102" i="1"/>
  <c r="L103" i="1"/>
  <c r="L104" i="1"/>
  <c r="L91" i="1"/>
  <c r="K33" i="1"/>
  <c r="K35" i="1"/>
  <c r="K37" i="1"/>
  <c r="K39" i="1"/>
  <c r="K41" i="1"/>
  <c r="K43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8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3" i="1"/>
  <c r="I85" i="1"/>
  <c r="J1396" i="1"/>
  <c r="H953" i="1"/>
  <c r="M24" i="1" l="1"/>
  <c r="N47" i="1"/>
  <c r="M26" i="1"/>
  <c r="N49" i="1"/>
  <c r="M28" i="1"/>
  <c r="N51" i="1"/>
  <c r="M30" i="1"/>
  <c r="N53" i="1"/>
  <c r="M32" i="1"/>
  <c r="N55" i="1"/>
  <c r="M34" i="1"/>
  <c r="N57" i="1"/>
  <c r="M36" i="1"/>
  <c r="N59" i="1"/>
  <c r="M38" i="1"/>
  <c r="N61" i="1"/>
  <c r="M40" i="1"/>
  <c r="N63" i="1"/>
  <c r="M42" i="1"/>
  <c r="N65" i="1"/>
  <c r="M44" i="1"/>
  <c r="N67" i="1"/>
  <c r="M46" i="1"/>
  <c r="N69" i="1"/>
  <c r="M48" i="1"/>
  <c r="N71" i="1"/>
  <c r="M50" i="1"/>
  <c r="N73" i="1"/>
  <c r="M52" i="1"/>
  <c r="N75" i="1"/>
  <c r="M54" i="1"/>
  <c r="N77" i="1"/>
  <c r="M56" i="1"/>
  <c r="N79" i="1"/>
  <c r="M58" i="1"/>
  <c r="N81" i="1"/>
  <c r="M60" i="1"/>
  <c r="N83" i="1"/>
  <c r="M92" i="1"/>
  <c r="N115" i="1"/>
  <c r="M94" i="1"/>
  <c r="N117" i="1"/>
  <c r="M96" i="1"/>
  <c r="N119" i="1"/>
  <c r="M98" i="1"/>
  <c r="N121" i="1"/>
  <c r="M100" i="1"/>
  <c r="N123" i="1"/>
  <c r="M102" i="1"/>
  <c r="N125" i="1"/>
  <c r="M104" i="1"/>
  <c r="N127" i="1"/>
  <c r="M106" i="1"/>
  <c r="N129" i="1"/>
  <c r="M108" i="1"/>
  <c r="N131" i="1"/>
  <c r="M110" i="1"/>
  <c r="N133" i="1"/>
  <c r="M112" i="1"/>
  <c r="N135" i="1"/>
  <c r="M114" i="1"/>
  <c r="N137" i="1"/>
  <c r="M116" i="1"/>
  <c r="N139" i="1"/>
  <c r="M118" i="1"/>
  <c r="N141" i="1"/>
  <c r="M120" i="1"/>
  <c r="N143" i="1"/>
  <c r="M122" i="1"/>
  <c r="N145" i="1"/>
  <c r="M124" i="1"/>
  <c r="N147" i="1"/>
  <c r="M126" i="1"/>
  <c r="N149" i="1"/>
  <c r="M128" i="1"/>
  <c r="N151" i="1"/>
  <c r="M130" i="1"/>
  <c r="N153" i="1"/>
  <c r="M132" i="1"/>
  <c r="N155" i="1"/>
  <c r="M134" i="1"/>
  <c r="N157" i="1"/>
  <c r="M136" i="1"/>
  <c r="N159" i="1"/>
  <c r="M138" i="1"/>
  <c r="N161" i="1"/>
  <c r="M140" i="1"/>
  <c r="N163" i="1"/>
  <c r="M142" i="1"/>
  <c r="N165" i="1"/>
  <c r="M144" i="1"/>
  <c r="N167" i="1"/>
  <c r="M147" i="1"/>
  <c r="N170" i="1"/>
  <c r="M149" i="1"/>
  <c r="N172" i="1"/>
  <c r="M151" i="1"/>
  <c r="N174" i="1"/>
  <c r="M153" i="1"/>
  <c r="N176" i="1"/>
  <c r="M155" i="1"/>
  <c r="N178" i="1"/>
  <c r="M157" i="1"/>
  <c r="N180" i="1"/>
  <c r="M159" i="1"/>
  <c r="N182" i="1"/>
  <c r="M161" i="1"/>
  <c r="N184" i="1"/>
  <c r="M163" i="1"/>
  <c r="N186" i="1"/>
  <c r="M165" i="1"/>
  <c r="N188" i="1"/>
  <c r="M167" i="1"/>
  <c r="N190" i="1"/>
  <c r="M169" i="1"/>
  <c r="N192" i="1"/>
  <c r="M170" i="1"/>
  <c r="N193" i="1"/>
  <c r="M172" i="1"/>
  <c r="N195" i="1"/>
  <c r="M174" i="1"/>
  <c r="N197" i="1"/>
  <c r="M176" i="1"/>
  <c r="N199" i="1"/>
  <c r="M178" i="1"/>
  <c r="N201" i="1"/>
  <c r="M180" i="1"/>
  <c r="N203" i="1"/>
  <c r="M182" i="1"/>
  <c r="N205" i="1"/>
  <c r="M184" i="1"/>
  <c r="N207" i="1"/>
  <c r="M186" i="1"/>
  <c r="N209" i="1"/>
  <c r="M188" i="1"/>
  <c r="N211" i="1"/>
  <c r="M190" i="1"/>
  <c r="N213" i="1"/>
  <c r="M192" i="1"/>
  <c r="N215" i="1"/>
  <c r="M194" i="1"/>
  <c r="N217" i="1"/>
  <c r="M195" i="1"/>
  <c r="N218" i="1"/>
  <c r="M197" i="1"/>
  <c r="N220" i="1"/>
  <c r="M199" i="1"/>
  <c r="N222" i="1"/>
  <c r="M201" i="1"/>
  <c r="N224" i="1"/>
  <c r="M203" i="1"/>
  <c r="N226" i="1"/>
  <c r="M205" i="1"/>
  <c r="N228" i="1"/>
  <c r="M207" i="1"/>
  <c r="N230" i="1"/>
  <c r="M209" i="1"/>
  <c r="N232" i="1"/>
  <c r="M211" i="1"/>
  <c r="N234" i="1"/>
  <c r="M213" i="1"/>
  <c r="N236" i="1"/>
  <c r="M215" i="1"/>
  <c r="N238" i="1"/>
  <c r="M217" i="1"/>
  <c r="N240" i="1"/>
  <c r="M219" i="1"/>
  <c r="N242" i="1"/>
  <c r="M221" i="1"/>
  <c r="N244" i="1"/>
  <c r="M223" i="1"/>
  <c r="N246" i="1"/>
  <c r="M225" i="1"/>
  <c r="N248" i="1"/>
  <c r="M227" i="1"/>
  <c r="N250" i="1"/>
  <c r="M229" i="1"/>
  <c r="N252" i="1"/>
  <c r="M231" i="1"/>
  <c r="N254" i="1"/>
  <c r="M233" i="1"/>
  <c r="N256" i="1"/>
  <c r="M235" i="1"/>
  <c r="N258" i="1"/>
  <c r="M237" i="1"/>
  <c r="N260" i="1"/>
  <c r="M239" i="1"/>
  <c r="N262" i="1"/>
  <c r="M240" i="1"/>
  <c r="N263" i="1"/>
  <c r="M242" i="1"/>
  <c r="N265" i="1"/>
  <c r="M244" i="1"/>
  <c r="N267" i="1"/>
  <c r="M246" i="1"/>
  <c r="N269" i="1"/>
  <c r="M248" i="1"/>
  <c r="N271" i="1"/>
  <c r="M250" i="1"/>
  <c r="N273" i="1"/>
  <c r="M252" i="1"/>
  <c r="N275" i="1"/>
  <c r="M254" i="1"/>
  <c r="N277" i="1"/>
  <c r="M256" i="1"/>
  <c r="N279" i="1"/>
  <c r="M258" i="1"/>
  <c r="N281" i="1"/>
  <c r="M260" i="1"/>
  <c r="N283" i="1"/>
  <c r="M262" i="1"/>
  <c r="N285" i="1"/>
  <c r="M264" i="1"/>
  <c r="N287" i="1"/>
  <c r="M266" i="1"/>
  <c r="N289" i="1"/>
  <c r="M268" i="1"/>
  <c r="N291" i="1"/>
  <c r="M270" i="1"/>
  <c r="N293" i="1"/>
  <c r="M272" i="1"/>
  <c r="N295" i="1"/>
  <c r="M274" i="1"/>
  <c r="N297" i="1"/>
  <c r="M276" i="1"/>
  <c r="N299" i="1"/>
  <c r="M278" i="1"/>
  <c r="N301" i="1"/>
  <c r="M279" i="1"/>
  <c r="N302" i="1"/>
  <c r="M281" i="1"/>
  <c r="N304" i="1"/>
  <c r="M283" i="1"/>
  <c r="N306" i="1"/>
  <c r="M285" i="1"/>
  <c r="N308" i="1"/>
  <c r="M287" i="1"/>
  <c r="N310" i="1"/>
  <c r="M289" i="1"/>
  <c r="N312" i="1"/>
  <c r="M291" i="1"/>
  <c r="N314" i="1"/>
  <c r="M293" i="1"/>
  <c r="N316" i="1"/>
  <c r="M295" i="1"/>
  <c r="N318" i="1"/>
  <c r="M297" i="1"/>
  <c r="N320" i="1"/>
  <c r="M298" i="1"/>
  <c r="N321" i="1"/>
  <c r="M299" i="1"/>
  <c r="N322" i="1"/>
  <c r="M300" i="1"/>
  <c r="N323" i="1"/>
  <c r="M301" i="1"/>
  <c r="N324" i="1"/>
  <c r="M302" i="1"/>
  <c r="N325" i="1"/>
  <c r="M303" i="1"/>
  <c r="N326" i="1"/>
  <c r="M304" i="1"/>
  <c r="N327" i="1"/>
  <c r="M305" i="1"/>
  <c r="N328" i="1"/>
  <c r="M306" i="1"/>
  <c r="N329" i="1"/>
  <c r="M307" i="1"/>
  <c r="N330" i="1"/>
  <c r="M308" i="1"/>
  <c r="N331" i="1"/>
  <c r="M309" i="1"/>
  <c r="N332" i="1"/>
  <c r="M310" i="1"/>
  <c r="N333" i="1"/>
  <c r="M311" i="1"/>
  <c r="N334" i="1"/>
  <c r="M312" i="1"/>
  <c r="N335" i="1"/>
  <c r="M313" i="1"/>
  <c r="N336" i="1"/>
  <c r="M314" i="1"/>
  <c r="N337" i="1"/>
  <c r="M316" i="1"/>
  <c r="N339" i="1"/>
  <c r="M317" i="1"/>
  <c r="N340" i="1"/>
  <c r="M319" i="1"/>
  <c r="N342" i="1"/>
  <c r="M321" i="1"/>
  <c r="N344" i="1"/>
  <c r="M323" i="1"/>
  <c r="N346" i="1"/>
  <c r="M325" i="1"/>
  <c r="N348" i="1"/>
  <c r="M327" i="1"/>
  <c r="N350" i="1"/>
  <c r="M329" i="1"/>
  <c r="N352" i="1"/>
  <c r="M330" i="1"/>
  <c r="N353" i="1"/>
  <c r="M332" i="1"/>
  <c r="N355" i="1"/>
  <c r="M334" i="1"/>
  <c r="N357" i="1"/>
  <c r="M336" i="1"/>
  <c r="N359" i="1"/>
  <c r="M340" i="1"/>
  <c r="N363" i="1"/>
  <c r="M342" i="1"/>
  <c r="N365" i="1"/>
  <c r="M344" i="1"/>
  <c r="N367" i="1"/>
  <c r="M345" i="1"/>
  <c r="N368" i="1"/>
  <c r="M347" i="1"/>
  <c r="N370" i="1"/>
  <c r="M349" i="1"/>
  <c r="N372" i="1"/>
  <c r="M350" i="1"/>
  <c r="N373" i="1"/>
  <c r="M353" i="1"/>
  <c r="N376" i="1"/>
  <c r="M355" i="1"/>
  <c r="N378" i="1"/>
  <c r="M357" i="1"/>
  <c r="N380" i="1"/>
  <c r="M359" i="1"/>
  <c r="N382" i="1"/>
  <c r="M361" i="1"/>
  <c r="N384" i="1"/>
  <c r="M363" i="1"/>
  <c r="N386" i="1"/>
  <c r="M365" i="1"/>
  <c r="N388" i="1"/>
  <c r="M367" i="1"/>
  <c r="N390" i="1"/>
  <c r="M368" i="1"/>
  <c r="N391" i="1"/>
  <c r="M370" i="1"/>
  <c r="N393" i="1"/>
  <c r="M372" i="1"/>
  <c r="N395" i="1"/>
  <c r="M374" i="1"/>
  <c r="N397" i="1"/>
  <c r="M376" i="1"/>
  <c r="N399" i="1"/>
  <c r="M378" i="1"/>
  <c r="N401" i="1"/>
  <c r="M380" i="1"/>
  <c r="N403" i="1"/>
  <c r="M382" i="1"/>
  <c r="N405" i="1"/>
  <c r="M384" i="1"/>
  <c r="N407" i="1"/>
  <c r="M386" i="1"/>
  <c r="N409" i="1"/>
  <c r="M388" i="1"/>
  <c r="N411" i="1"/>
  <c r="M390" i="1"/>
  <c r="N413" i="1"/>
  <c r="M392" i="1"/>
  <c r="N415" i="1"/>
  <c r="M394" i="1"/>
  <c r="N417" i="1"/>
  <c r="M396" i="1"/>
  <c r="N419" i="1"/>
  <c r="M398" i="1"/>
  <c r="N421" i="1"/>
  <c r="M416" i="1"/>
  <c r="N439" i="1"/>
  <c r="M418" i="1"/>
  <c r="N441" i="1"/>
  <c r="M420" i="1"/>
  <c r="N443" i="1"/>
  <c r="M421" i="1"/>
  <c r="N444" i="1"/>
  <c r="M423" i="1"/>
  <c r="N446" i="1"/>
  <c r="M425" i="1"/>
  <c r="N448" i="1"/>
  <c r="M428" i="1"/>
  <c r="N451" i="1"/>
  <c r="M430" i="1"/>
  <c r="N453" i="1"/>
  <c r="M431" i="1"/>
  <c r="N454" i="1"/>
  <c r="M433" i="1"/>
  <c r="N456" i="1"/>
  <c r="M434" i="1"/>
  <c r="N457" i="1"/>
  <c r="M436" i="1"/>
  <c r="N459" i="1"/>
  <c r="M437" i="1"/>
  <c r="N460" i="1"/>
  <c r="M439" i="1"/>
  <c r="N462" i="1"/>
  <c r="M441" i="1"/>
  <c r="N464" i="1"/>
  <c r="M443" i="1"/>
  <c r="N466" i="1"/>
  <c r="M445" i="1"/>
  <c r="N468" i="1"/>
  <c r="M446" i="1"/>
  <c r="N469" i="1"/>
  <c r="M448" i="1"/>
  <c r="N471" i="1"/>
  <c r="M450" i="1"/>
  <c r="N473" i="1"/>
  <c r="M452" i="1"/>
  <c r="N475" i="1"/>
  <c r="M454" i="1"/>
  <c r="N477" i="1"/>
  <c r="M456" i="1"/>
  <c r="N479" i="1"/>
  <c r="M458" i="1"/>
  <c r="N481" i="1"/>
  <c r="M460" i="1"/>
  <c r="N483" i="1"/>
  <c r="M462" i="1"/>
  <c r="N485" i="1"/>
  <c r="M464" i="1"/>
  <c r="N487" i="1"/>
  <c r="M466" i="1"/>
  <c r="N489" i="1"/>
  <c r="M468" i="1"/>
  <c r="N491" i="1"/>
  <c r="M469" i="1"/>
  <c r="N492" i="1"/>
  <c r="M471" i="1"/>
  <c r="N494" i="1"/>
  <c r="M475" i="1"/>
  <c r="N498" i="1"/>
  <c r="M477" i="1"/>
  <c r="N500" i="1"/>
  <c r="M23" i="1"/>
  <c r="N46" i="1"/>
  <c r="M25" i="1"/>
  <c r="N48" i="1"/>
  <c r="M27" i="1"/>
  <c r="N50" i="1"/>
  <c r="M29" i="1"/>
  <c r="N52" i="1"/>
  <c r="M31" i="1"/>
  <c r="N54" i="1"/>
  <c r="M33" i="1"/>
  <c r="N56" i="1"/>
  <c r="M35" i="1"/>
  <c r="N58" i="1"/>
  <c r="M37" i="1"/>
  <c r="N60" i="1"/>
  <c r="M39" i="1"/>
  <c r="N62" i="1"/>
  <c r="M41" i="1"/>
  <c r="N64" i="1"/>
  <c r="M43" i="1"/>
  <c r="N66" i="1"/>
  <c r="M45" i="1"/>
  <c r="N68" i="1"/>
  <c r="M47" i="1"/>
  <c r="N70" i="1"/>
  <c r="M49" i="1"/>
  <c r="N72" i="1"/>
  <c r="M51" i="1"/>
  <c r="N74" i="1"/>
  <c r="M53" i="1"/>
  <c r="N76" i="1"/>
  <c r="M55" i="1"/>
  <c r="N78" i="1"/>
  <c r="M57" i="1"/>
  <c r="N80" i="1"/>
  <c r="M59" i="1"/>
  <c r="N82" i="1"/>
  <c r="M61" i="1"/>
  <c r="N84" i="1"/>
  <c r="M93" i="1"/>
  <c r="N116" i="1"/>
  <c r="M95" i="1"/>
  <c r="N118" i="1"/>
  <c r="M97" i="1"/>
  <c r="N120" i="1"/>
  <c r="M99" i="1"/>
  <c r="N122" i="1"/>
  <c r="M101" i="1"/>
  <c r="N124" i="1"/>
  <c r="M103" i="1"/>
  <c r="N126" i="1"/>
  <c r="M105" i="1"/>
  <c r="N128" i="1"/>
  <c r="M107" i="1"/>
  <c r="N130" i="1"/>
  <c r="M109" i="1"/>
  <c r="N132" i="1"/>
  <c r="M111" i="1"/>
  <c r="N134" i="1"/>
  <c r="M113" i="1"/>
  <c r="N136" i="1"/>
  <c r="M115" i="1"/>
  <c r="N138" i="1"/>
  <c r="M117" i="1"/>
  <c r="N140" i="1"/>
  <c r="M119" i="1"/>
  <c r="N142" i="1"/>
  <c r="M121" i="1"/>
  <c r="N144" i="1"/>
  <c r="M123" i="1"/>
  <c r="N146" i="1"/>
  <c r="M125" i="1"/>
  <c r="N148" i="1"/>
  <c r="M127" i="1"/>
  <c r="N150" i="1"/>
  <c r="M129" i="1"/>
  <c r="N152" i="1"/>
  <c r="M131" i="1"/>
  <c r="N154" i="1"/>
  <c r="M133" i="1"/>
  <c r="N156" i="1"/>
  <c r="M135" i="1"/>
  <c r="N158" i="1"/>
  <c r="M137" i="1"/>
  <c r="N160" i="1"/>
  <c r="M139" i="1"/>
  <c r="N162" i="1"/>
  <c r="M141" i="1"/>
  <c r="N164" i="1"/>
  <c r="M143" i="1"/>
  <c r="N166" i="1"/>
  <c r="M145" i="1"/>
  <c r="N168" i="1"/>
  <c r="M146" i="1"/>
  <c r="N169" i="1"/>
  <c r="M148" i="1"/>
  <c r="N171" i="1"/>
  <c r="M150" i="1"/>
  <c r="N173" i="1"/>
  <c r="M152" i="1"/>
  <c r="N175" i="1"/>
  <c r="M154" i="1"/>
  <c r="N177" i="1"/>
  <c r="M156" i="1"/>
  <c r="N179" i="1"/>
  <c r="M158" i="1"/>
  <c r="N181" i="1"/>
  <c r="M160" i="1"/>
  <c r="N183" i="1"/>
  <c r="M162" i="1"/>
  <c r="N185" i="1"/>
  <c r="M164" i="1"/>
  <c r="N187" i="1"/>
  <c r="M166" i="1"/>
  <c r="N189" i="1"/>
  <c r="M168" i="1"/>
  <c r="N191" i="1"/>
  <c r="M171" i="1"/>
  <c r="N194" i="1"/>
  <c r="M173" i="1"/>
  <c r="N196" i="1"/>
  <c r="M175" i="1"/>
  <c r="N198" i="1"/>
  <c r="M177" i="1"/>
  <c r="N200" i="1"/>
  <c r="M179" i="1"/>
  <c r="N202" i="1"/>
  <c r="M181" i="1"/>
  <c r="N204" i="1"/>
  <c r="M183" i="1"/>
  <c r="N206" i="1"/>
  <c r="M185" i="1"/>
  <c r="N208" i="1"/>
  <c r="M187" i="1"/>
  <c r="N210" i="1"/>
  <c r="M189" i="1"/>
  <c r="N212" i="1"/>
  <c r="M191" i="1"/>
  <c r="N214" i="1"/>
  <c r="M193" i="1"/>
  <c r="N216" i="1"/>
  <c r="M196" i="1"/>
  <c r="N219" i="1"/>
  <c r="M198" i="1"/>
  <c r="N221" i="1"/>
  <c r="M200" i="1"/>
  <c r="N223" i="1"/>
  <c r="M202" i="1"/>
  <c r="N225" i="1"/>
  <c r="M204" i="1"/>
  <c r="N227" i="1"/>
  <c r="M206" i="1"/>
  <c r="N229" i="1"/>
  <c r="M208" i="1"/>
  <c r="N231" i="1"/>
  <c r="M210" i="1"/>
  <c r="N233" i="1"/>
  <c r="M212" i="1"/>
  <c r="N235" i="1"/>
  <c r="M214" i="1"/>
  <c r="N237" i="1"/>
  <c r="M216" i="1"/>
  <c r="N239" i="1"/>
  <c r="M218" i="1"/>
  <c r="N241" i="1"/>
  <c r="M220" i="1"/>
  <c r="N243" i="1"/>
  <c r="M222" i="1"/>
  <c r="N245" i="1"/>
  <c r="M224" i="1"/>
  <c r="N247" i="1"/>
  <c r="M226" i="1"/>
  <c r="N249" i="1"/>
  <c r="M228" i="1"/>
  <c r="N251" i="1"/>
  <c r="M230" i="1"/>
  <c r="N253" i="1"/>
  <c r="M232" i="1"/>
  <c r="N255" i="1"/>
  <c r="M234" i="1"/>
  <c r="N257" i="1"/>
  <c r="M236" i="1"/>
  <c r="N259" i="1"/>
  <c r="M238" i="1"/>
  <c r="N261" i="1"/>
  <c r="M241" i="1"/>
  <c r="N264" i="1"/>
  <c r="M243" i="1"/>
  <c r="N266" i="1"/>
  <c r="M245" i="1"/>
  <c r="N268" i="1"/>
  <c r="M247" i="1"/>
  <c r="N270" i="1"/>
  <c r="M249" i="1"/>
  <c r="N272" i="1"/>
  <c r="M251" i="1"/>
  <c r="N274" i="1"/>
  <c r="M253" i="1"/>
  <c r="N276" i="1"/>
  <c r="M255" i="1"/>
  <c r="N278" i="1"/>
  <c r="M257" i="1"/>
  <c r="N280" i="1"/>
  <c r="M259" i="1"/>
  <c r="N282" i="1"/>
  <c r="M261" i="1"/>
  <c r="N284" i="1"/>
  <c r="M263" i="1"/>
  <c r="N286" i="1"/>
  <c r="M265" i="1"/>
  <c r="N288" i="1"/>
  <c r="M267" i="1"/>
  <c r="N290" i="1"/>
  <c r="M269" i="1"/>
  <c r="N292" i="1"/>
  <c r="M271" i="1"/>
  <c r="N294" i="1"/>
  <c r="M273" i="1"/>
  <c r="N296" i="1"/>
  <c r="M275" i="1"/>
  <c r="N298" i="1"/>
  <c r="M277" i="1"/>
  <c r="N300" i="1"/>
  <c r="M280" i="1"/>
  <c r="N303" i="1"/>
  <c r="M282" i="1"/>
  <c r="N305" i="1"/>
  <c r="M284" i="1"/>
  <c r="N307" i="1"/>
  <c r="M286" i="1"/>
  <c r="N309" i="1"/>
  <c r="M288" i="1"/>
  <c r="N311" i="1"/>
  <c r="M290" i="1"/>
  <c r="N313" i="1"/>
  <c r="M292" i="1"/>
  <c r="N315" i="1"/>
  <c r="M294" i="1"/>
  <c r="N317" i="1"/>
  <c r="M296" i="1"/>
  <c r="N319" i="1"/>
  <c r="M315" i="1"/>
  <c r="N338" i="1"/>
  <c r="M318" i="1"/>
  <c r="N341" i="1"/>
  <c r="M320" i="1"/>
  <c r="N343" i="1"/>
  <c r="M322" i="1"/>
  <c r="N345" i="1"/>
  <c r="M324" i="1"/>
  <c r="N347" i="1"/>
  <c r="M326" i="1"/>
  <c r="N349" i="1"/>
  <c r="M328" i="1"/>
  <c r="N351" i="1"/>
  <c r="M331" i="1"/>
  <c r="N354" i="1"/>
  <c r="M333" i="1"/>
  <c r="N356" i="1"/>
  <c r="M335" i="1"/>
  <c r="N358" i="1"/>
  <c r="M337" i="1"/>
  <c r="N360" i="1"/>
  <c r="M338" i="1"/>
  <c r="N361" i="1"/>
  <c r="M339" i="1"/>
  <c r="N362" i="1"/>
  <c r="M341" i="1"/>
  <c r="N364" i="1"/>
  <c r="M343" i="1"/>
  <c r="N366" i="1"/>
  <c r="M346" i="1"/>
  <c r="N369" i="1"/>
  <c r="M348" i="1"/>
  <c r="N371" i="1"/>
  <c r="M351" i="1"/>
  <c r="N374" i="1"/>
  <c r="M352" i="1"/>
  <c r="N375" i="1"/>
  <c r="M354" i="1"/>
  <c r="N377" i="1"/>
  <c r="M356" i="1"/>
  <c r="N379" i="1"/>
  <c r="M358" i="1"/>
  <c r="N381" i="1"/>
  <c r="M360" i="1"/>
  <c r="N383" i="1"/>
  <c r="M362" i="1"/>
  <c r="N385" i="1"/>
  <c r="M364" i="1"/>
  <c r="N387" i="1"/>
  <c r="M366" i="1"/>
  <c r="N389" i="1"/>
  <c r="M369" i="1"/>
  <c r="N392" i="1"/>
  <c r="M371" i="1"/>
  <c r="N394" i="1"/>
  <c r="M373" i="1"/>
  <c r="N396" i="1"/>
  <c r="M375" i="1"/>
  <c r="N398" i="1"/>
  <c r="M377" i="1"/>
  <c r="N400" i="1"/>
  <c r="M379" i="1"/>
  <c r="N402" i="1"/>
  <c r="M381" i="1"/>
  <c r="N404" i="1"/>
  <c r="M383" i="1"/>
  <c r="N406" i="1"/>
  <c r="M385" i="1"/>
  <c r="N408" i="1"/>
  <c r="M387" i="1"/>
  <c r="N410" i="1"/>
  <c r="M389" i="1"/>
  <c r="N412" i="1"/>
  <c r="M391" i="1"/>
  <c r="N414" i="1"/>
  <c r="M393" i="1"/>
  <c r="N416" i="1"/>
  <c r="M395" i="1"/>
  <c r="N418" i="1"/>
  <c r="M397" i="1"/>
  <c r="N420" i="1"/>
  <c r="M399" i="1"/>
  <c r="N422" i="1"/>
  <c r="M400" i="1"/>
  <c r="N423" i="1"/>
  <c r="M401" i="1"/>
  <c r="N424" i="1"/>
  <c r="M402" i="1"/>
  <c r="N425" i="1"/>
  <c r="M403" i="1"/>
  <c r="N426" i="1"/>
  <c r="M404" i="1"/>
  <c r="N427" i="1"/>
  <c r="M405" i="1"/>
  <c r="N428" i="1"/>
  <c r="M406" i="1"/>
  <c r="N429" i="1"/>
  <c r="M407" i="1"/>
  <c r="N430" i="1"/>
  <c r="M408" i="1"/>
  <c r="N431" i="1"/>
  <c r="M409" i="1"/>
  <c r="N432" i="1"/>
  <c r="M410" i="1"/>
  <c r="N433" i="1"/>
  <c r="M411" i="1"/>
  <c r="N434" i="1"/>
  <c r="M412" i="1"/>
  <c r="N435" i="1"/>
  <c r="M413" i="1"/>
  <c r="N436" i="1"/>
  <c r="M414" i="1"/>
  <c r="N437" i="1"/>
  <c r="M415" i="1"/>
  <c r="N438" i="1"/>
  <c r="M417" i="1"/>
  <c r="N440" i="1"/>
  <c r="M419" i="1"/>
  <c r="N442" i="1"/>
  <c r="M422" i="1"/>
  <c r="N445" i="1"/>
  <c r="M424" i="1"/>
  <c r="N447" i="1"/>
  <c r="M426" i="1"/>
  <c r="N449" i="1"/>
  <c r="M427" i="1"/>
  <c r="N450" i="1"/>
  <c r="M429" i="1"/>
  <c r="N452" i="1"/>
  <c r="M432" i="1"/>
  <c r="N455" i="1"/>
  <c r="M435" i="1"/>
  <c r="N458" i="1"/>
  <c r="M438" i="1"/>
  <c r="N461" i="1"/>
  <c r="M440" i="1"/>
  <c r="N463" i="1"/>
  <c r="M442" i="1"/>
  <c r="N465" i="1"/>
  <c r="M444" i="1"/>
  <c r="N467" i="1"/>
  <c r="M447" i="1"/>
  <c r="N470" i="1"/>
  <c r="M449" i="1"/>
  <c r="N472" i="1"/>
  <c r="M451" i="1"/>
  <c r="N474" i="1"/>
  <c r="M453" i="1"/>
  <c r="N476" i="1"/>
  <c r="M455" i="1"/>
  <c r="N478" i="1"/>
  <c r="M457" i="1"/>
  <c r="N480" i="1"/>
  <c r="M459" i="1"/>
  <c r="N482" i="1"/>
  <c r="M461" i="1"/>
  <c r="N484" i="1"/>
  <c r="M463" i="1"/>
  <c r="N486" i="1"/>
  <c r="M465" i="1"/>
  <c r="N488" i="1"/>
  <c r="M467" i="1"/>
  <c r="N490" i="1"/>
  <c r="M470" i="1"/>
  <c r="N493" i="1"/>
  <c r="M472" i="1"/>
  <c r="N495" i="1"/>
  <c r="M473" i="1"/>
  <c r="N496" i="1"/>
  <c r="M474" i="1"/>
  <c r="N497" i="1"/>
  <c r="M476" i="1"/>
  <c r="N499" i="1"/>
  <c r="M62" i="1"/>
  <c r="M80" i="1"/>
  <c r="M82" i="1"/>
  <c r="M480" i="1"/>
  <c r="M482" i="1"/>
  <c r="M484" i="1"/>
  <c r="M487" i="1"/>
  <c r="M489" i="1"/>
  <c r="M492" i="1"/>
  <c r="M493" i="1"/>
  <c r="M495" i="1"/>
  <c r="M497" i="1"/>
  <c r="M499" i="1"/>
  <c r="M500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1" i="1"/>
  <c r="M83" i="1"/>
  <c r="M84" i="1"/>
  <c r="M478" i="1"/>
  <c r="M479" i="1"/>
  <c r="M481" i="1"/>
  <c r="M483" i="1"/>
  <c r="M485" i="1"/>
  <c r="M486" i="1"/>
  <c r="M488" i="1"/>
  <c r="M490" i="1"/>
  <c r="M491" i="1"/>
  <c r="M494" i="1"/>
  <c r="M496" i="1"/>
  <c r="M498" i="1"/>
  <c r="N33" i="1"/>
  <c r="M10" i="1"/>
  <c r="N34" i="1"/>
  <c r="M11" i="1"/>
  <c r="N35" i="1"/>
  <c r="M12" i="1"/>
  <c r="M13" i="1"/>
  <c r="N36" i="1"/>
  <c r="N37" i="1"/>
  <c r="M14" i="1"/>
  <c r="M15" i="1"/>
  <c r="N38" i="1"/>
  <c r="N39" i="1"/>
  <c r="M16" i="1"/>
  <c r="N40" i="1"/>
  <c r="M17" i="1"/>
  <c r="M18" i="1"/>
  <c r="N41" i="1"/>
  <c r="N42" i="1"/>
  <c r="M19" i="1"/>
  <c r="N43" i="1"/>
  <c r="M20" i="1"/>
  <c r="M21" i="1"/>
  <c r="N44" i="1"/>
  <c r="N45" i="1"/>
  <c r="M22" i="1"/>
  <c r="M507" i="1"/>
  <c r="M506" i="1"/>
  <c r="M505" i="1"/>
  <c r="M504" i="1"/>
  <c r="M503" i="1"/>
  <c r="M502" i="1"/>
  <c r="M50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M508" i="1"/>
  <c r="N531" i="1"/>
  <c r="M509" i="1"/>
  <c r="N532" i="1"/>
  <c r="M510" i="1"/>
  <c r="N533" i="1"/>
  <c r="M511" i="1"/>
  <c r="N534" i="1"/>
  <c r="M512" i="1"/>
  <c r="N535" i="1"/>
  <c r="M513" i="1"/>
  <c r="N536" i="1"/>
  <c r="M514" i="1"/>
  <c r="N537" i="1"/>
  <c r="M515" i="1"/>
  <c r="N538" i="1"/>
  <c r="M516" i="1"/>
  <c r="N539" i="1"/>
  <c r="M517" i="1"/>
  <c r="N540" i="1"/>
  <c r="M518" i="1"/>
  <c r="N541" i="1"/>
  <c r="M519" i="1"/>
  <c r="N542" i="1"/>
  <c r="M520" i="1"/>
  <c r="N543" i="1"/>
  <c r="M521" i="1"/>
  <c r="N544" i="1"/>
  <c r="M522" i="1"/>
  <c r="N545" i="1"/>
  <c r="M523" i="1"/>
  <c r="N546" i="1"/>
  <c r="M524" i="1"/>
  <c r="N547" i="1"/>
  <c r="M525" i="1"/>
  <c r="N548" i="1"/>
  <c r="M526" i="1"/>
  <c r="N549" i="1"/>
  <c r="M527" i="1"/>
  <c r="N550" i="1"/>
  <c r="M528" i="1"/>
  <c r="N551" i="1"/>
  <c r="M529" i="1"/>
  <c r="N552" i="1"/>
  <c r="M530" i="1"/>
  <c r="N553" i="1"/>
  <c r="M531" i="1"/>
  <c r="N554" i="1"/>
  <c r="M532" i="1"/>
  <c r="N555" i="1"/>
  <c r="M533" i="1"/>
  <c r="N556" i="1"/>
  <c r="M534" i="1"/>
  <c r="N557" i="1"/>
  <c r="M535" i="1"/>
  <c r="N558" i="1"/>
  <c r="M536" i="1"/>
  <c r="N559" i="1"/>
  <c r="M537" i="1"/>
  <c r="N560" i="1"/>
  <c r="M538" i="1"/>
  <c r="N561" i="1"/>
  <c r="M539" i="1"/>
  <c r="N562" i="1"/>
  <c r="M540" i="1"/>
  <c r="N563" i="1"/>
  <c r="M541" i="1"/>
  <c r="N564" i="1"/>
  <c r="M542" i="1"/>
  <c r="N565" i="1"/>
  <c r="M543" i="1"/>
  <c r="N566" i="1"/>
  <c r="M544" i="1"/>
  <c r="N567" i="1"/>
  <c r="M545" i="1"/>
  <c r="N568" i="1"/>
  <c r="M546" i="1"/>
  <c r="N569" i="1"/>
  <c r="M547" i="1"/>
  <c r="N570" i="1"/>
  <c r="M548" i="1"/>
  <c r="N571" i="1"/>
  <c r="M549" i="1"/>
  <c r="N572" i="1"/>
  <c r="M550" i="1"/>
  <c r="N573" i="1"/>
  <c r="M551" i="1"/>
  <c r="N574" i="1"/>
  <c r="M552" i="1"/>
  <c r="N575" i="1"/>
  <c r="M553" i="1"/>
  <c r="N576" i="1"/>
  <c r="M554" i="1"/>
  <c r="N577" i="1"/>
  <c r="M555" i="1"/>
  <c r="N578" i="1"/>
  <c r="M556" i="1"/>
  <c r="N579" i="1"/>
  <c r="M557" i="1"/>
  <c r="N580" i="1"/>
  <c r="M558" i="1"/>
  <c r="N581" i="1"/>
  <c r="M559" i="1"/>
  <c r="N582" i="1"/>
  <c r="M560" i="1"/>
  <c r="N583" i="1"/>
  <c r="M561" i="1"/>
  <c r="N584" i="1"/>
  <c r="M562" i="1"/>
  <c r="N585" i="1"/>
  <c r="M563" i="1"/>
  <c r="N586" i="1"/>
  <c r="M564" i="1"/>
  <c r="N587" i="1"/>
  <c r="M565" i="1"/>
  <c r="N588" i="1"/>
  <c r="M566" i="1"/>
  <c r="N589" i="1"/>
  <c r="M567" i="1"/>
  <c r="N590" i="1"/>
  <c r="M568" i="1"/>
  <c r="N591" i="1"/>
  <c r="M569" i="1"/>
  <c r="N592" i="1"/>
  <c r="M570" i="1"/>
  <c r="N593" i="1"/>
  <c r="M571" i="1"/>
  <c r="N594" i="1"/>
  <c r="M572" i="1"/>
  <c r="N595" i="1"/>
  <c r="M573" i="1"/>
  <c r="N596" i="1"/>
  <c r="M574" i="1"/>
  <c r="N597" i="1"/>
  <c r="M575" i="1"/>
  <c r="N598" i="1"/>
  <c r="M576" i="1"/>
  <c r="N599" i="1"/>
  <c r="M577" i="1"/>
  <c r="N600" i="1"/>
  <c r="M578" i="1"/>
  <c r="N601" i="1"/>
  <c r="M579" i="1"/>
  <c r="N602" i="1"/>
  <c r="M580" i="1"/>
  <c r="N603" i="1"/>
  <c r="M581" i="1"/>
  <c r="N604" i="1"/>
  <c r="M582" i="1"/>
  <c r="N605" i="1"/>
  <c r="M583" i="1"/>
  <c r="N606" i="1"/>
  <c r="M584" i="1"/>
  <c r="N607" i="1"/>
  <c r="M585" i="1"/>
  <c r="N608" i="1"/>
  <c r="M586" i="1"/>
  <c r="N609" i="1"/>
  <c r="M587" i="1"/>
  <c r="N610" i="1"/>
  <c r="M588" i="1"/>
  <c r="N611" i="1"/>
  <c r="M589" i="1"/>
  <c r="N612" i="1"/>
  <c r="M590" i="1"/>
  <c r="N613" i="1"/>
  <c r="M591" i="1"/>
  <c r="N614" i="1"/>
  <c r="M592" i="1"/>
  <c r="N615" i="1"/>
  <c r="M593" i="1"/>
  <c r="N616" i="1"/>
  <c r="M594" i="1"/>
  <c r="N617" i="1"/>
  <c r="M595" i="1"/>
  <c r="N618" i="1"/>
  <c r="M596" i="1"/>
  <c r="N619" i="1"/>
  <c r="M597" i="1"/>
  <c r="N620" i="1"/>
  <c r="M598" i="1"/>
  <c r="N621" i="1"/>
  <c r="M599" i="1"/>
  <c r="N622" i="1"/>
  <c r="M600" i="1"/>
  <c r="N623" i="1"/>
  <c r="M601" i="1"/>
  <c r="N624" i="1"/>
  <c r="M602" i="1"/>
  <c r="N625" i="1"/>
  <c r="M603" i="1"/>
  <c r="N626" i="1"/>
  <c r="M604" i="1"/>
  <c r="N627" i="1"/>
  <c r="M605" i="1"/>
  <c r="N628" i="1"/>
  <c r="M606" i="1"/>
  <c r="N629" i="1"/>
  <c r="M607" i="1"/>
  <c r="N630" i="1"/>
  <c r="M608" i="1"/>
  <c r="N631" i="1"/>
  <c r="M609" i="1"/>
  <c r="N632" i="1"/>
  <c r="M610" i="1"/>
  <c r="N633" i="1"/>
  <c r="M611" i="1"/>
  <c r="N634" i="1"/>
  <c r="M612" i="1"/>
  <c r="N635" i="1"/>
  <c r="M613" i="1"/>
  <c r="N636" i="1"/>
  <c r="M614" i="1"/>
  <c r="N637" i="1"/>
  <c r="M615" i="1"/>
  <c r="N638" i="1"/>
  <c r="M616" i="1"/>
  <c r="N639" i="1"/>
  <c r="M617" i="1"/>
  <c r="N640" i="1"/>
  <c r="M618" i="1"/>
  <c r="N641" i="1"/>
  <c r="M619" i="1"/>
  <c r="N642" i="1"/>
  <c r="M620" i="1"/>
  <c r="N643" i="1"/>
  <c r="M621" i="1"/>
  <c r="N644" i="1"/>
  <c r="M622" i="1"/>
  <c r="N645" i="1"/>
  <c r="M623" i="1"/>
  <c r="N646" i="1"/>
  <c r="M624" i="1"/>
  <c r="N647" i="1"/>
  <c r="M625" i="1"/>
  <c r="N648" i="1"/>
  <c r="M626" i="1"/>
  <c r="N649" i="1"/>
  <c r="M627" i="1"/>
  <c r="N650" i="1"/>
  <c r="M628" i="1"/>
  <c r="N651" i="1"/>
  <c r="M629" i="1"/>
  <c r="N652" i="1"/>
  <c r="M630" i="1"/>
  <c r="N653" i="1"/>
  <c r="M631" i="1"/>
  <c r="N654" i="1"/>
  <c r="M632" i="1"/>
  <c r="N655" i="1"/>
  <c r="M633" i="1"/>
  <c r="N656" i="1"/>
  <c r="M634" i="1"/>
  <c r="N657" i="1"/>
  <c r="M635" i="1"/>
  <c r="N658" i="1"/>
  <c r="M636" i="1"/>
  <c r="N659" i="1"/>
  <c r="M637" i="1"/>
  <c r="N660" i="1"/>
  <c r="M638" i="1"/>
  <c r="N661" i="1"/>
  <c r="M639" i="1"/>
  <c r="N662" i="1"/>
  <c r="M640" i="1"/>
  <c r="N663" i="1"/>
  <c r="M641" i="1"/>
  <c r="N664" i="1"/>
  <c r="M642" i="1"/>
  <c r="N665" i="1"/>
  <c r="M643" i="1"/>
  <c r="N666" i="1"/>
  <c r="M644" i="1"/>
  <c r="N667" i="1"/>
  <c r="M645" i="1"/>
  <c r="N668" i="1"/>
  <c r="M646" i="1"/>
  <c r="N669" i="1"/>
  <c r="M647" i="1"/>
  <c r="N670" i="1"/>
  <c r="M648" i="1"/>
  <c r="N671" i="1"/>
  <c r="M649" i="1"/>
  <c r="N672" i="1"/>
  <c r="M650" i="1"/>
  <c r="N673" i="1"/>
  <c r="M651" i="1"/>
  <c r="N674" i="1"/>
  <c r="M652" i="1"/>
  <c r="N675" i="1"/>
  <c r="M653" i="1"/>
  <c r="N676" i="1"/>
  <c r="M654" i="1"/>
  <c r="N677" i="1"/>
  <c r="M655" i="1"/>
  <c r="N678" i="1"/>
  <c r="M656" i="1"/>
  <c r="N679" i="1"/>
  <c r="M657" i="1"/>
  <c r="N680" i="1"/>
  <c r="M658" i="1"/>
  <c r="N681" i="1"/>
  <c r="M659" i="1"/>
  <c r="N682" i="1"/>
  <c r="M660" i="1"/>
  <c r="N683" i="1"/>
  <c r="M661" i="1"/>
  <c r="N684" i="1"/>
  <c r="M662" i="1"/>
  <c r="N685" i="1"/>
  <c r="M663" i="1"/>
  <c r="N686" i="1"/>
  <c r="M664" i="1"/>
  <c r="N687" i="1"/>
  <c r="M665" i="1"/>
  <c r="N688" i="1"/>
  <c r="M666" i="1"/>
  <c r="N689" i="1"/>
  <c r="M667" i="1"/>
  <c r="N690" i="1"/>
  <c r="M668" i="1"/>
  <c r="N691" i="1"/>
  <c r="M669" i="1"/>
  <c r="N692" i="1"/>
  <c r="M670" i="1"/>
  <c r="N693" i="1"/>
  <c r="M671" i="1"/>
  <c r="N694" i="1"/>
  <c r="M672" i="1"/>
  <c r="N695" i="1"/>
  <c r="M673" i="1"/>
  <c r="N696" i="1"/>
  <c r="M674" i="1"/>
  <c r="N697" i="1"/>
  <c r="M675" i="1"/>
  <c r="N698" i="1"/>
  <c r="M676" i="1"/>
  <c r="N699" i="1"/>
  <c r="M677" i="1"/>
  <c r="N700" i="1"/>
  <c r="M678" i="1"/>
  <c r="N701" i="1"/>
  <c r="M679" i="1"/>
  <c r="N702" i="1"/>
  <c r="M680" i="1"/>
  <c r="N703" i="1"/>
  <c r="M681" i="1"/>
  <c r="N704" i="1"/>
  <c r="M682" i="1"/>
  <c r="N705" i="1"/>
  <c r="M683" i="1"/>
  <c r="N706" i="1"/>
  <c r="M684" i="1"/>
  <c r="N707" i="1"/>
  <c r="M685" i="1"/>
  <c r="N708" i="1"/>
  <c r="M686" i="1"/>
  <c r="N709" i="1"/>
  <c r="M687" i="1"/>
  <c r="N710" i="1"/>
  <c r="M688" i="1"/>
  <c r="N711" i="1"/>
  <c r="M689" i="1"/>
  <c r="N712" i="1"/>
  <c r="M690" i="1"/>
  <c r="N713" i="1"/>
  <c r="M691" i="1"/>
  <c r="N714" i="1"/>
  <c r="M692" i="1"/>
  <c r="N715" i="1"/>
  <c r="M693" i="1"/>
  <c r="N716" i="1"/>
  <c r="M694" i="1"/>
  <c r="N717" i="1"/>
  <c r="M695" i="1"/>
  <c r="N718" i="1"/>
  <c r="M696" i="1"/>
  <c r="N719" i="1"/>
  <c r="M697" i="1"/>
  <c r="N720" i="1"/>
  <c r="M698" i="1"/>
  <c r="N721" i="1"/>
  <c r="M699" i="1"/>
  <c r="N722" i="1"/>
  <c r="M700" i="1"/>
  <c r="N723" i="1"/>
  <c r="M701" i="1"/>
  <c r="N724" i="1"/>
  <c r="M702" i="1"/>
  <c r="N725" i="1"/>
  <c r="M703" i="1"/>
  <c r="N726" i="1"/>
  <c r="M704" i="1"/>
  <c r="N727" i="1"/>
  <c r="M705" i="1"/>
  <c r="N728" i="1"/>
  <c r="M706" i="1"/>
  <c r="N729" i="1"/>
  <c r="M707" i="1"/>
  <c r="N730" i="1"/>
  <c r="M708" i="1"/>
  <c r="N731" i="1"/>
  <c r="M709" i="1"/>
  <c r="N732" i="1"/>
  <c r="M710" i="1"/>
  <c r="N733" i="1"/>
  <c r="M711" i="1"/>
  <c r="N734" i="1"/>
  <c r="M712" i="1"/>
  <c r="N735" i="1"/>
  <c r="M713" i="1"/>
  <c r="N736" i="1"/>
  <c r="M714" i="1"/>
  <c r="N737" i="1"/>
  <c r="M715" i="1"/>
  <c r="N738" i="1"/>
  <c r="M716" i="1"/>
  <c r="N739" i="1"/>
  <c r="M717" i="1"/>
  <c r="N740" i="1"/>
  <c r="M718" i="1"/>
  <c r="N741" i="1"/>
  <c r="M719" i="1"/>
  <c r="N742" i="1"/>
  <c r="M720" i="1"/>
  <c r="N743" i="1"/>
  <c r="M721" i="1"/>
  <c r="N744" i="1"/>
  <c r="M722" i="1"/>
  <c r="N745" i="1"/>
  <c r="M723" i="1"/>
  <c r="N746" i="1"/>
  <c r="M724" i="1"/>
  <c r="N747" i="1"/>
  <c r="M725" i="1"/>
  <c r="N748" i="1"/>
  <c r="M726" i="1"/>
  <c r="N749" i="1"/>
  <c r="M727" i="1"/>
  <c r="N750" i="1"/>
  <c r="M728" i="1"/>
  <c r="N751" i="1"/>
  <c r="M729" i="1"/>
  <c r="N752" i="1"/>
  <c r="M730" i="1"/>
  <c r="N753" i="1"/>
  <c r="M731" i="1"/>
  <c r="N754" i="1"/>
  <c r="M732" i="1"/>
  <c r="N755" i="1"/>
  <c r="M733" i="1"/>
  <c r="N756" i="1"/>
  <c r="M734" i="1"/>
  <c r="N757" i="1"/>
  <c r="M735" i="1"/>
  <c r="N758" i="1"/>
  <c r="M736" i="1"/>
  <c r="N759" i="1"/>
  <c r="M737" i="1"/>
  <c r="N760" i="1"/>
  <c r="M738" i="1"/>
  <c r="N761" i="1"/>
  <c r="M739" i="1"/>
  <c r="N762" i="1"/>
  <c r="M740" i="1"/>
  <c r="N763" i="1"/>
  <c r="M741" i="1"/>
  <c r="N764" i="1"/>
  <c r="M742" i="1"/>
  <c r="N765" i="1"/>
  <c r="M743" i="1"/>
  <c r="N766" i="1"/>
  <c r="M744" i="1"/>
  <c r="N767" i="1"/>
  <c r="M745" i="1"/>
  <c r="N768" i="1"/>
  <c r="M746" i="1"/>
  <c r="N769" i="1"/>
  <c r="M747" i="1"/>
  <c r="N770" i="1"/>
  <c r="M748" i="1"/>
  <c r="N771" i="1"/>
  <c r="M749" i="1"/>
  <c r="N772" i="1"/>
  <c r="M750" i="1"/>
  <c r="N773" i="1"/>
  <c r="M751" i="1"/>
  <c r="N774" i="1"/>
  <c r="M752" i="1"/>
  <c r="N775" i="1"/>
  <c r="M753" i="1"/>
  <c r="N776" i="1"/>
  <c r="M754" i="1"/>
  <c r="N777" i="1"/>
  <c r="M755" i="1"/>
  <c r="N778" i="1"/>
  <c r="M756" i="1"/>
  <c r="N779" i="1"/>
  <c r="M757" i="1"/>
  <c r="N780" i="1"/>
  <c r="M758" i="1"/>
  <c r="N781" i="1"/>
  <c r="M759" i="1"/>
  <c r="N782" i="1"/>
  <c r="M760" i="1"/>
  <c r="N783" i="1"/>
  <c r="M761" i="1"/>
  <c r="N784" i="1"/>
  <c r="M762" i="1"/>
  <c r="N785" i="1"/>
  <c r="M763" i="1"/>
  <c r="N786" i="1"/>
  <c r="M764" i="1"/>
  <c r="N787" i="1"/>
  <c r="M765" i="1"/>
  <c r="N788" i="1"/>
  <c r="M766" i="1"/>
  <c r="N789" i="1"/>
  <c r="M767" i="1"/>
  <c r="N790" i="1"/>
  <c r="M768" i="1"/>
  <c r="N791" i="1"/>
  <c r="M769" i="1"/>
  <c r="N792" i="1"/>
  <c r="M770" i="1"/>
  <c r="N793" i="1"/>
  <c r="M771" i="1"/>
  <c r="N794" i="1"/>
  <c r="M772" i="1"/>
  <c r="N795" i="1"/>
  <c r="M773" i="1"/>
  <c r="N796" i="1"/>
  <c r="M774" i="1"/>
  <c r="N797" i="1"/>
  <c r="M775" i="1"/>
  <c r="N798" i="1"/>
  <c r="M776" i="1"/>
  <c r="N799" i="1"/>
  <c r="M777" i="1"/>
  <c r="N800" i="1"/>
  <c r="M778" i="1"/>
  <c r="N801" i="1"/>
  <c r="M779" i="1"/>
  <c r="N802" i="1"/>
  <c r="M780" i="1"/>
  <c r="N803" i="1"/>
  <c r="M781" i="1"/>
  <c r="N804" i="1"/>
  <c r="M782" i="1"/>
  <c r="N805" i="1"/>
  <c r="M783" i="1"/>
  <c r="N806" i="1"/>
  <c r="M784" i="1"/>
  <c r="N807" i="1"/>
  <c r="M785" i="1"/>
  <c r="N808" i="1"/>
  <c r="M786" i="1"/>
  <c r="N809" i="1"/>
  <c r="M787" i="1"/>
  <c r="N810" i="1"/>
  <c r="M788" i="1"/>
  <c r="N811" i="1"/>
  <c r="M789" i="1"/>
  <c r="N812" i="1"/>
  <c r="M790" i="1"/>
  <c r="N813" i="1"/>
  <c r="M791" i="1"/>
  <c r="N814" i="1"/>
  <c r="M792" i="1"/>
  <c r="N815" i="1"/>
  <c r="M793" i="1"/>
  <c r="N816" i="1"/>
  <c r="M794" i="1"/>
  <c r="N817" i="1"/>
  <c r="M795" i="1"/>
  <c r="N818" i="1"/>
  <c r="M796" i="1"/>
  <c r="N819" i="1"/>
  <c r="M797" i="1"/>
  <c r="N820" i="1"/>
  <c r="M798" i="1"/>
  <c r="N821" i="1"/>
  <c r="M799" i="1"/>
  <c r="N822" i="1"/>
  <c r="M800" i="1"/>
  <c r="N823" i="1"/>
  <c r="M801" i="1"/>
  <c r="N824" i="1"/>
  <c r="M802" i="1"/>
  <c r="N825" i="1"/>
  <c r="M803" i="1"/>
  <c r="N826" i="1"/>
  <c r="M804" i="1"/>
  <c r="N827" i="1"/>
  <c r="M805" i="1"/>
  <c r="N828" i="1"/>
  <c r="M806" i="1"/>
  <c r="N829" i="1"/>
  <c r="M807" i="1"/>
  <c r="N830" i="1"/>
  <c r="M808" i="1"/>
  <c r="N831" i="1"/>
  <c r="M809" i="1"/>
  <c r="N832" i="1"/>
  <c r="M810" i="1"/>
  <c r="N833" i="1"/>
  <c r="M811" i="1"/>
  <c r="N834" i="1"/>
  <c r="M812" i="1"/>
  <c r="N835" i="1"/>
  <c r="M813" i="1"/>
  <c r="N836" i="1"/>
  <c r="M814" i="1"/>
  <c r="N837" i="1"/>
  <c r="M815" i="1"/>
  <c r="N838" i="1"/>
  <c r="M816" i="1"/>
  <c r="N839" i="1"/>
  <c r="M817" i="1"/>
  <c r="N840" i="1"/>
  <c r="M818" i="1"/>
  <c r="N841" i="1"/>
  <c r="M819" i="1"/>
  <c r="N842" i="1"/>
  <c r="M820" i="1"/>
  <c r="N843" i="1"/>
  <c r="M821" i="1"/>
  <c r="N844" i="1"/>
  <c r="M822" i="1"/>
  <c r="N845" i="1"/>
  <c r="M823" i="1"/>
  <c r="N846" i="1"/>
  <c r="M824" i="1"/>
  <c r="N847" i="1"/>
  <c r="M825" i="1"/>
  <c r="N848" i="1"/>
  <c r="M826" i="1"/>
  <c r="N849" i="1"/>
  <c r="M827" i="1"/>
  <c r="N850" i="1"/>
  <c r="M828" i="1"/>
  <c r="N851" i="1"/>
  <c r="M829" i="1"/>
  <c r="N852" i="1"/>
  <c r="M830" i="1"/>
  <c r="N853" i="1"/>
  <c r="M831" i="1"/>
  <c r="N854" i="1"/>
  <c r="M832" i="1"/>
  <c r="N855" i="1"/>
  <c r="M833" i="1"/>
  <c r="N856" i="1"/>
  <c r="M834" i="1"/>
  <c r="N857" i="1"/>
  <c r="M835" i="1"/>
  <c r="N858" i="1"/>
  <c r="M836" i="1"/>
  <c r="N859" i="1"/>
  <c r="M837" i="1"/>
  <c r="N860" i="1"/>
  <c r="M838" i="1"/>
  <c r="N861" i="1"/>
  <c r="M839" i="1"/>
  <c r="N862" i="1"/>
  <c r="M840" i="1"/>
  <c r="N863" i="1"/>
  <c r="M841" i="1"/>
  <c r="N864" i="1"/>
  <c r="M842" i="1"/>
  <c r="N865" i="1"/>
  <c r="M843" i="1"/>
  <c r="N866" i="1"/>
  <c r="M844" i="1"/>
  <c r="N867" i="1"/>
  <c r="M845" i="1"/>
  <c r="N868" i="1"/>
  <c r="M846" i="1"/>
  <c r="N869" i="1"/>
  <c r="M847" i="1"/>
  <c r="N870" i="1"/>
  <c r="M848" i="1"/>
  <c r="N871" i="1"/>
  <c r="M849" i="1"/>
  <c r="N872" i="1"/>
  <c r="M850" i="1"/>
  <c r="N873" i="1"/>
  <c r="M851" i="1"/>
  <c r="N874" i="1"/>
  <c r="M852" i="1"/>
  <c r="N875" i="1"/>
  <c r="M853" i="1"/>
  <c r="N876" i="1"/>
  <c r="M854" i="1"/>
  <c r="N877" i="1"/>
  <c r="M855" i="1"/>
  <c r="N878" i="1"/>
  <c r="M856" i="1"/>
  <c r="N879" i="1"/>
  <c r="M857" i="1"/>
  <c r="N880" i="1"/>
  <c r="M858" i="1"/>
  <c r="N881" i="1"/>
  <c r="M859" i="1"/>
  <c r="N882" i="1"/>
  <c r="M860" i="1"/>
  <c r="N883" i="1"/>
  <c r="M861" i="1"/>
  <c r="N884" i="1"/>
  <c r="M862" i="1"/>
  <c r="N885" i="1"/>
  <c r="M863" i="1"/>
  <c r="N886" i="1"/>
  <c r="M864" i="1"/>
  <c r="N887" i="1"/>
  <c r="M865" i="1"/>
  <c r="N888" i="1"/>
  <c r="M866" i="1"/>
  <c r="N889" i="1"/>
  <c r="M867" i="1"/>
  <c r="N890" i="1"/>
  <c r="M868" i="1"/>
  <c r="N891" i="1"/>
  <c r="M869" i="1"/>
  <c r="N892" i="1"/>
  <c r="M870" i="1"/>
  <c r="N893" i="1"/>
  <c r="M871" i="1"/>
  <c r="N894" i="1"/>
  <c r="M872" i="1"/>
  <c r="N895" i="1"/>
  <c r="M873" i="1"/>
  <c r="N896" i="1"/>
  <c r="M874" i="1"/>
  <c r="N897" i="1"/>
  <c r="M875" i="1"/>
  <c r="N898" i="1"/>
  <c r="M876" i="1"/>
  <c r="N899" i="1"/>
  <c r="M877" i="1"/>
  <c r="N900" i="1"/>
  <c r="M878" i="1"/>
  <c r="N901" i="1"/>
  <c r="M879" i="1"/>
  <c r="N902" i="1"/>
  <c r="M880" i="1"/>
  <c r="N903" i="1"/>
  <c r="M881" i="1"/>
  <c r="N904" i="1"/>
  <c r="M882" i="1"/>
  <c r="N905" i="1"/>
  <c r="M883" i="1"/>
  <c r="N906" i="1"/>
  <c r="M884" i="1"/>
  <c r="N907" i="1"/>
  <c r="M885" i="1"/>
  <c r="N908" i="1"/>
  <c r="M886" i="1"/>
  <c r="N909" i="1"/>
  <c r="M887" i="1"/>
  <c r="N910" i="1"/>
  <c r="M888" i="1"/>
  <c r="N911" i="1"/>
  <c r="M889" i="1"/>
  <c r="N912" i="1"/>
  <c r="M890" i="1"/>
  <c r="N913" i="1"/>
  <c r="M891" i="1"/>
  <c r="N914" i="1"/>
  <c r="M892" i="1"/>
  <c r="N915" i="1"/>
  <c r="M893" i="1"/>
  <c r="N916" i="1"/>
  <c r="M894" i="1"/>
  <c r="N917" i="1"/>
  <c r="M895" i="1"/>
  <c r="N918" i="1"/>
  <c r="M896" i="1"/>
  <c r="N919" i="1"/>
  <c r="M897" i="1"/>
  <c r="N920" i="1"/>
  <c r="M898" i="1"/>
  <c r="N921" i="1"/>
  <c r="M899" i="1"/>
  <c r="N922" i="1"/>
  <c r="M900" i="1"/>
  <c r="N923" i="1"/>
  <c r="M901" i="1"/>
  <c r="N924" i="1"/>
  <c r="M902" i="1"/>
  <c r="N925" i="1"/>
  <c r="M903" i="1"/>
  <c r="N926" i="1"/>
  <c r="M904" i="1"/>
  <c r="N927" i="1"/>
  <c r="M905" i="1"/>
  <c r="N928" i="1"/>
  <c r="M906" i="1"/>
  <c r="N929" i="1"/>
  <c r="M907" i="1"/>
  <c r="N930" i="1"/>
  <c r="M908" i="1"/>
  <c r="N931" i="1"/>
  <c r="M909" i="1"/>
  <c r="N932" i="1"/>
  <c r="M910" i="1"/>
  <c r="N933" i="1"/>
  <c r="M911" i="1"/>
  <c r="N934" i="1"/>
  <c r="M912" i="1"/>
  <c r="N935" i="1"/>
  <c r="M913" i="1"/>
  <c r="N936" i="1"/>
  <c r="M914" i="1"/>
  <c r="N937" i="1"/>
  <c r="M915" i="1"/>
  <c r="N938" i="1"/>
  <c r="M916" i="1"/>
  <c r="N939" i="1"/>
  <c r="M917" i="1"/>
  <c r="N940" i="1"/>
  <c r="M918" i="1"/>
  <c r="N941" i="1"/>
  <c r="M919" i="1"/>
  <c r="N942" i="1"/>
  <c r="M920" i="1"/>
  <c r="N943" i="1"/>
  <c r="M921" i="1"/>
  <c r="N944" i="1"/>
  <c r="M922" i="1"/>
  <c r="N945" i="1"/>
  <c r="M923" i="1"/>
  <c r="N946" i="1"/>
  <c r="M924" i="1"/>
  <c r="N947" i="1"/>
  <c r="M925" i="1"/>
  <c r="N948" i="1"/>
  <c r="M926" i="1"/>
  <c r="N949" i="1"/>
  <c r="M927" i="1"/>
  <c r="N950" i="1"/>
  <c r="M928" i="1"/>
  <c r="N951" i="1"/>
  <c r="M929" i="1"/>
  <c r="N952" i="1"/>
  <c r="M930" i="1"/>
  <c r="N953" i="1"/>
  <c r="M931" i="1"/>
  <c r="N954" i="1"/>
  <c r="M932" i="1"/>
  <c r="N955" i="1"/>
  <c r="M933" i="1"/>
  <c r="N956" i="1"/>
  <c r="M934" i="1"/>
  <c r="N957" i="1"/>
  <c r="M935" i="1"/>
  <c r="N958" i="1"/>
  <c r="M936" i="1"/>
  <c r="N959" i="1"/>
  <c r="M937" i="1"/>
  <c r="N960" i="1"/>
  <c r="M938" i="1"/>
  <c r="N961" i="1"/>
  <c r="M939" i="1"/>
  <c r="N962" i="1"/>
  <c r="M940" i="1"/>
  <c r="N963" i="1"/>
  <c r="M941" i="1"/>
  <c r="N964" i="1"/>
  <c r="M942" i="1"/>
  <c r="N965" i="1"/>
  <c r="M943" i="1"/>
  <c r="N966" i="1"/>
  <c r="M944" i="1"/>
  <c r="N967" i="1"/>
  <c r="M945" i="1"/>
  <c r="N968" i="1"/>
  <c r="M946" i="1"/>
  <c r="N969" i="1"/>
  <c r="M947" i="1"/>
  <c r="N970" i="1"/>
  <c r="M948" i="1"/>
  <c r="N971" i="1"/>
  <c r="M949" i="1"/>
  <c r="N972" i="1"/>
  <c r="M950" i="1"/>
  <c r="N973" i="1"/>
  <c r="M951" i="1"/>
  <c r="N974" i="1"/>
  <c r="M952" i="1"/>
  <c r="N975" i="1"/>
  <c r="M953" i="1"/>
  <c r="N976" i="1"/>
  <c r="M954" i="1"/>
  <c r="N977" i="1"/>
  <c r="M955" i="1"/>
  <c r="N978" i="1"/>
  <c r="M956" i="1"/>
  <c r="N979" i="1"/>
  <c r="M957" i="1"/>
  <c r="N980" i="1"/>
  <c r="M958" i="1"/>
  <c r="N981" i="1"/>
  <c r="M959" i="1"/>
  <c r="N982" i="1"/>
  <c r="M960" i="1"/>
  <c r="N983" i="1"/>
  <c r="M961" i="1"/>
  <c r="N984" i="1"/>
  <c r="M962" i="1"/>
  <c r="N985" i="1"/>
  <c r="M963" i="1"/>
  <c r="N986" i="1"/>
  <c r="M964" i="1"/>
  <c r="N987" i="1"/>
  <c r="M965" i="1"/>
  <c r="N988" i="1"/>
  <c r="M966" i="1"/>
  <c r="N989" i="1"/>
  <c r="M967" i="1"/>
  <c r="N990" i="1"/>
  <c r="M968" i="1"/>
  <c r="N991" i="1"/>
  <c r="M969" i="1"/>
  <c r="N992" i="1"/>
  <c r="M970" i="1"/>
  <c r="N993" i="1"/>
  <c r="M971" i="1"/>
  <c r="N994" i="1"/>
  <c r="M972" i="1"/>
  <c r="N995" i="1"/>
  <c r="M973" i="1"/>
  <c r="N996" i="1"/>
  <c r="M974" i="1"/>
  <c r="N997" i="1"/>
  <c r="M975" i="1"/>
  <c r="N998" i="1"/>
  <c r="M976" i="1"/>
  <c r="N999" i="1"/>
  <c r="M977" i="1"/>
  <c r="N1000" i="1"/>
  <c r="M978" i="1"/>
  <c r="N1001" i="1"/>
  <c r="M979" i="1"/>
  <c r="N1002" i="1"/>
  <c r="M980" i="1"/>
  <c r="N1003" i="1"/>
  <c r="M981" i="1"/>
  <c r="N1004" i="1"/>
  <c r="M982" i="1"/>
  <c r="N1005" i="1"/>
  <c r="M983" i="1"/>
  <c r="N1006" i="1"/>
  <c r="M984" i="1"/>
  <c r="N1007" i="1"/>
  <c r="M985" i="1"/>
  <c r="N1008" i="1"/>
  <c r="M986" i="1"/>
  <c r="N1009" i="1"/>
  <c r="M987" i="1"/>
  <c r="N1010" i="1"/>
  <c r="M988" i="1"/>
  <c r="N1011" i="1"/>
  <c r="M989" i="1"/>
  <c r="N1012" i="1"/>
  <c r="M990" i="1"/>
  <c r="N1013" i="1"/>
  <c r="M991" i="1"/>
  <c r="N1014" i="1"/>
  <c r="M992" i="1"/>
  <c r="N1015" i="1"/>
  <c r="M993" i="1"/>
  <c r="N1016" i="1"/>
  <c r="M994" i="1"/>
  <c r="N1017" i="1"/>
  <c r="M995" i="1"/>
  <c r="N1018" i="1"/>
  <c r="M996" i="1"/>
  <c r="N1019" i="1"/>
  <c r="M997" i="1"/>
  <c r="N1020" i="1"/>
  <c r="M998" i="1"/>
  <c r="N1021" i="1"/>
  <c r="M999" i="1"/>
  <c r="N1022" i="1"/>
  <c r="M1000" i="1"/>
  <c r="N1023" i="1"/>
  <c r="M1001" i="1"/>
  <c r="N1024" i="1"/>
  <c r="M1002" i="1"/>
  <c r="N1025" i="1"/>
  <c r="M1003" i="1"/>
  <c r="N1026" i="1"/>
  <c r="M1004" i="1"/>
  <c r="N1027" i="1"/>
  <c r="M1005" i="1"/>
  <c r="N1028" i="1"/>
  <c r="M1006" i="1"/>
  <c r="N1029" i="1"/>
  <c r="M1007" i="1"/>
  <c r="N1030" i="1"/>
  <c r="M1008" i="1"/>
  <c r="N1031" i="1"/>
  <c r="M1009" i="1"/>
  <c r="N1032" i="1"/>
  <c r="M1010" i="1"/>
  <c r="N1033" i="1"/>
  <c r="M1011" i="1"/>
  <c r="N1034" i="1"/>
  <c r="M1012" i="1"/>
  <c r="N1035" i="1"/>
  <c r="M1013" i="1"/>
  <c r="N1036" i="1"/>
  <c r="M1014" i="1"/>
  <c r="N1037" i="1"/>
  <c r="M1015" i="1"/>
  <c r="N1038" i="1"/>
  <c r="M1016" i="1"/>
  <c r="N1039" i="1"/>
  <c r="M1017" i="1"/>
  <c r="N1040" i="1"/>
  <c r="M1018" i="1"/>
  <c r="N1041" i="1"/>
  <c r="M1019" i="1"/>
  <c r="N1042" i="1"/>
  <c r="M1020" i="1"/>
  <c r="N1043" i="1"/>
  <c r="M1021" i="1"/>
  <c r="N1044" i="1"/>
  <c r="M1022" i="1"/>
  <c r="N1045" i="1"/>
  <c r="M1023" i="1"/>
  <c r="N1046" i="1"/>
  <c r="M1024" i="1"/>
  <c r="N1047" i="1"/>
  <c r="M1025" i="1"/>
  <c r="N1048" i="1"/>
  <c r="M1026" i="1"/>
  <c r="N1049" i="1"/>
  <c r="M1027" i="1"/>
  <c r="N1050" i="1"/>
  <c r="M1028" i="1"/>
  <c r="N1051" i="1"/>
  <c r="M1029" i="1"/>
  <c r="N1052" i="1"/>
  <c r="M1030" i="1"/>
  <c r="N1053" i="1"/>
  <c r="M1031" i="1"/>
  <c r="N1054" i="1"/>
  <c r="M1032" i="1"/>
  <c r="N1055" i="1"/>
  <c r="M1033" i="1"/>
  <c r="N1056" i="1"/>
  <c r="M1034" i="1"/>
  <c r="N1057" i="1"/>
  <c r="M1035" i="1"/>
  <c r="N1058" i="1"/>
  <c r="M1036" i="1"/>
  <c r="N1059" i="1"/>
  <c r="M1037" i="1"/>
  <c r="N1060" i="1"/>
  <c r="M1038" i="1"/>
  <c r="N1061" i="1"/>
  <c r="M1039" i="1"/>
  <c r="N1062" i="1"/>
  <c r="M1040" i="1"/>
  <c r="N1063" i="1"/>
  <c r="M1041" i="1"/>
  <c r="N1064" i="1"/>
  <c r="M1042" i="1"/>
  <c r="N1065" i="1"/>
  <c r="M1043" i="1"/>
  <c r="N1066" i="1"/>
  <c r="M1044" i="1"/>
  <c r="N1067" i="1"/>
  <c r="M1045" i="1"/>
  <c r="N1068" i="1"/>
  <c r="M1046" i="1"/>
  <c r="N1069" i="1"/>
  <c r="M1047" i="1"/>
  <c r="N1070" i="1"/>
  <c r="M1048" i="1"/>
  <c r="N1071" i="1"/>
  <c r="M1049" i="1"/>
  <c r="N1072" i="1"/>
  <c r="M1050" i="1"/>
  <c r="N1073" i="1"/>
  <c r="M1051" i="1"/>
  <c r="N1074" i="1"/>
  <c r="M1052" i="1"/>
  <c r="N1075" i="1"/>
  <c r="M1053" i="1"/>
  <c r="N1076" i="1"/>
  <c r="M1054" i="1"/>
  <c r="N1077" i="1"/>
  <c r="M1055" i="1"/>
  <c r="N1078" i="1"/>
  <c r="M1056" i="1"/>
  <c r="N1079" i="1"/>
  <c r="M1057" i="1"/>
  <c r="N1080" i="1"/>
  <c r="M1058" i="1"/>
  <c r="N1081" i="1"/>
  <c r="M1059" i="1"/>
  <c r="N1082" i="1"/>
  <c r="M1060" i="1"/>
  <c r="N1083" i="1"/>
  <c r="M1061" i="1"/>
  <c r="N1084" i="1"/>
  <c r="M1062" i="1"/>
  <c r="N1085" i="1"/>
  <c r="M1063" i="1"/>
  <c r="N1086" i="1"/>
  <c r="M1064" i="1"/>
  <c r="N1087" i="1"/>
  <c r="M1065" i="1"/>
  <c r="N1088" i="1"/>
  <c r="M1066" i="1"/>
  <c r="N1089" i="1"/>
  <c r="M1067" i="1"/>
  <c r="N1090" i="1"/>
  <c r="M1068" i="1"/>
  <c r="N1091" i="1"/>
  <c r="M1069" i="1"/>
  <c r="N1092" i="1"/>
  <c r="M1070" i="1"/>
  <c r="N1093" i="1"/>
  <c r="M1071" i="1"/>
  <c r="N1094" i="1"/>
  <c r="M1072" i="1"/>
  <c r="N1095" i="1"/>
  <c r="M1073" i="1"/>
  <c r="N1096" i="1"/>
  <c r="M1074" i="1"/>
  <c r="N1097" i="1"/>
  <c r="M1075" i="1"/>
  <c r="N1098" i="1"/>
  <c r="M1076" i="1"/>
  <c r="N1099" i="1"/>
  <c r="M1077" i="1"/>
  <c r="N1100" i="1"/>
  <c r="M1078" i="1"/>
  <c r="N1101" i="1"/>
  <c r="M1079" i="1"/>
  <c r="N1102" i="1"/>
  <c r="M1080" i="1"/>
  <c r="N1103" i="1"/>
  <c r="M1081" i="1"/>
  <c r="N1104" i="1"/>
  <c r="M1082" i="1"/>
  <c r="N1105" i="1"/>
  <c r="M1083" i="1"/>
  <c r="N1106" i="1"/>
  <c r="M1084" i="1"/>
  <c r="N1107" i="1"/>
  <c r="M1085" i="1"/>
  <c r="N1108" i="1"/>
  <c r="M1086" i="1"/>
  <c r="N1109" i="1"/>
  <c r="M1087" i="1"/>
  <c r="N1110" i="1"/>
  <c r="M1088" i="1"/>
  <c r="N1111" i="1"/>
  <c r="M1089" i="1"/>
  <c r="N1112" i="1"/>
  <c r="M1090" i="1"/>
  <c r="N1113" i="1"/>
  <c r="M1091" i="1"/>
  <c r="N1114" i="1"/>
  <c r="M1092" i="1"/>
  <c r="N1115" i="1"/>
  <c r="M1093" i="1"/>
  <c r="N1116" i="1"/>
  <c r="M1094" i="1"/>
  <c r="N1117" i="1"/>
  <c r="M1095" i="1"/>
  <c r="N1118" i="1"/>
  <c r="M1096" i="1"/>
  <c r="N1119" i="1"/>
  <c r="M1097" i="1"/>
  <c r="N1120" i="1"/>
  <c r="M1098" i="1"/>
  <c r="N1121" i="1"/>
  <c r="M1099" i="1"/>
  <c r="N1122" i="1"/>
  <c r="M1100" i="1"/>
  <c r="N1123" i="1"/>
  <c r="M1101" i="1"/>
  <c r="N1124" i="1"/>
  <c r="M1102" i="1"/>
  <c r="N1125" i="1"/>
  <c r="M1103" i="1"/>
  <c r="N1126" i="1"/>
  <c r="M1104" i="1"/>
  <c r="N1127" i="1"/>
  <c r="M1105" i="1"/>
  <c r="N1128" i="1"/>
  <c r="M1106" i="1"/>
  <c r="N1129" i="1"/>
  <c r="M1107" i="1"/>
  <c r="N1130" i="1"/>
  <c r="M1108" i="1"/>
  <c r="N1131" i="1"/>
  <c r="M1109" i="1"/>
  <c r="N1132" i="1"/>
  <c r="M1110" i="1"/>
  <c r="N1133" i="1"/>
  <c r="M1111" i="1"/>
  <c r="N1134" i="1"/>
  <c r="M1112" i="1"/>
  <c r="N1135" i="1"/>
  <c r="M1113" i="1"/>
  <c r="N1136" i="1"/>
  <c r="M1114" i="1"/>
  <c r="N1137" i="1"/>
  <c r="M1115" i="1"/>
  <c r="N1138" i="1"/>
  <c r="M1116" i="1"/>
  <c r="N1139" i="1"/>
  <c r="M1117" i="1"/>
  <c r="N1140" i="1"/>
  <c r="M1118" i="1"/>
  <c r="N1141" i="1"/>
  <c r="M1119" i="1"/>
  <c r="N1142" i="1"/>
  <c r="M1120" i="1"/>
  <c r="N1143" i="1"/>
  <c r="M1121" i="1"/>
  <c r="N1144" i="1"/>
  <c r="M1122" i="1"/>
  <c r="N1145" i="1"/>
  <c r="M1123" i="1"/>
  <c r="N1146" i="1"/>
  <c r="M1124" i="1"/>
  <c r="N1147" i="1"/>
  <c r="M1125" i="1"/>
  <c r="N1148" i="1"/>
  <c r="M1126" i="1"/>
  <c r="N1149" i="1"/>
  <c r="M1127" i="1"/>
  <c r="N1150" i="1"/>
  <c r="M1128" i="1"/>
  <c r="N1151" i="1"/>
  <c r="M1129" i="1"/>
  <c r="N1152" i="1"/>
  <c r="M1130" i="1"/>
  <c r="N1153" i="1"/>
  <c r="M1131" i="1"/>
  <c r="N1154" i="1"/>
  <c r="M1132" i="1"/>
  <c r="N1155" i="1"/>
  <c r="M1133" i="1"/>
  <c r="N1156" i="1"/>
  <c r="M1134" i="1"/>
  <c r="N1157" i="1"/>
  <c r="M1135" i="1"/>
  <c r="N1158" i="1"/>
  <c r="M1136" i="1"/>
  <c r="N1159" i="1"/>
  <c r="M1137" i="1"/>
  <c r="N1160" i="1"/>
  <c r="M1138" i="1"/>
  <c r="N1161" i="1"/>
  <c r="M1139" i="1"/>
  <c r="N1162" i="1"/>
  <c r="M1140" i="1"/>
  <c r="N1163" i="1"/>
  <c r="M1141" i="1"/>
  <c r="N1164" i="1"/>
  <c r="M1142" i="1"/>
  <c r="N1165" i="1"/>
  <c r="M1143" i="1"/>
  <c r="N1166" i="1"/>
  <c r="M1144" i="1"/>
  <c r="N1167" i="1"/>
  <c r="M1145" i="1"/>
  <c r="N1168" i="1"/>
  <c r="M1146" i="1"/>
  <c r="N1169" i="1"/>
  <c r="M1147" i="1"/>
  <c r="N1170" i="1"/>
  <c r="M1148" i="1"/>
  <c r="N1171" i="1"/>
  <c r="M1149" i="1"/>
  <c r="N1172" i="1"/>
  <c r="M1150" i="1"/>
  <c r="N1173" i="1"/>
  <c r="M1151" i="1"/>
  <c r="N1174" i="1"/>
  <c r="M1152" i="1"/>
  <c r="N1175" i="1"/>
  <c r="M1153" i="1"/>
  <c r="N1176" i="1"/>
  <c r="M1154" i="1"/>
  <c r="N1177" i="1"/>
  <c r="M1155" i="1"/>
  <c r="N1178" i="1"/>
  <c r="M1156" i="1"/>
  <c r="N1179" i="1"/>
  <c r="M1157" i="1"/>
  <c r="N1180" i="1"/>
  <c r="M1158" i="1"/>
  <c r="N1181" i="1"/>
  <c r="M1159" i="1"/>
  <c r="N1182" i="1"/>
  <c r="M1160" i="1"/>
  <c r="N1183" i="1"/>
  <c r="M1161" i="1"/>
  <c r="N1184" i="1"/>
  <c r="M1162" i="1"/>
  <c r="N1185" i="1"/>
  <c r="M1163" i="1"/>
  <c r="N1186" i="1"/>
  <c r="M1164" i="1"/>
  <c r="N1187" i="1"/>
  <c r="M1165" i="1"/>
  <c r="N1188" i="1"/>
  <c r="M1166" i="1"/>
  <c r="N1189" i="1"/>
  <c r="M1167" i="1"/>
  <c r="N1190" i="1"/>
  <c r="M1168" i="1"/>
  <c r="N1191" i="1"/>
  <c r="M1169" i="1"/>
  <c r="N1192" i="1"/>
  <c r="M1170" i="1"/>
  <c r="N1193" i="1"/>
  <c r="M1171" i="1"/>
  <c r="N1194" i="1"/>
  <c r="M1172" i="1"/>
  <c r="N1195" i="1"/>
  <c r="M1173" i="1"/>
  <c r="N1196" i="1"/>
  <c r="M1174" i="1"/>
  <c r="N1197" i="1"/>
  <c r="M1175" i="1"/>
  <c r="N1198" i="1"/>
  <c r="M1176" i="1"/>
  <c r="N1199" i="1"/>
  <c r="M1177" i="1"/>
  <c r="N1200" i="1"/>
  <c r="M1178" i="1"/>
  <c r="N1201" i="1"/>
  <c r="M1179" i="1"/>
  <c r="N1202" i="1"/>
  <c r="M1180" i="1"/>
  <c r="N1203" i="1"/>
  <c r="M1181" i="1"/>
  <c r="N1204" i="1"/>
  <c r="M1182" i="1"/>
  <c r="N1205" i="1"/>
  <c r="M1183" i="1"/>
  <c r="N1206" i="1"/>
  <c r="M1184" i="1"/>
  <c r="N1207" i="1"/>
  <c r="M1185" i="1"/>
  <c r="N1208" i="1"/>
  <c r="M1186" i="1"/>
  <c r="N1209" i="1"/>
  <c r="M1187" i="1"/>
  <c r="N1210" i="1"/>
  <c r="M1188" i="1"/>
  <c r="N1211" i="1"/>
  <c r="M1189" i="1"/>
  <c r="N1212" i="1"/>
  <c r="M1190" i="1"/>
  <c r="N1213" i="1"/>
  <c r="M1191" i="1"/>
  <c r="N1214" i="1"/>
  <c r="M1192" i="1"/>
  <c r="N1215" i="1"/>
  <c r="M1193" i="1"/>
  <c r="N1216" i="1"/>
  <c r="M1194" i="1"/>
  <c r="N1217" i="1"/>
  <c r="M1195" i="1"/>
  <c r="N1218" i="1"/>
  <c r="M1196" i="1"/>
  <c r="N1219" i="1"/>
  <c r="M1197" i="1"/>
  <c r="N1220" i="1"/>
  <c r="M1198" i="1"/>
  <c r="N1221" i="1"/>
  <c r="M1199" i="1"/>
  <c r="N1222" i="1"/>
  <c r="M1200" i="1"/>
  <c r="N1223" i="1"/>
  <c r="M1201" i="1"/>
  <c r="N1224" i="1"/>
  <c r="M1202" i="1"/>
  <c r="N1225" i="1"/>
  <c r="M1203" i="1"/>
  <c r="N1226" i="1"/>
  <c r="M1204" i="1"/>
  <c r="N1227" i="1"/>
  <c r="M1205" i="1"/>
  <c r="N1228" i="1"/>
  <c r="M1206" i="1"/>
  <c r="N1229" i="1"/>
  <c r="M1207" i="1"/>
  <c r="N1230" i="1"/>
  <c r="M1208" i="1"/>
  <c r="N1231" i="1"/>
  <c r="M1209" i="1"/>
  <c r="N1232" i="1"/>
  <c r="M1210" i="1"/>
  <c r="N1233" i="1"/>
  <c r="M1211" i="1"/>
  <c r="N1234" i="1"/>
  <c r="M1212" i="1"/>
  <c r="N1235" i="1"/>
  <c r="M1213" i="1"/>
  <c r="N1236" i="1"/>
  <c r="M1214" i="1"/>
  <c r="N1237" i="1"/>
  <c r="M1215" i="1"/>
  <c r="N1238" i="1"/>
  <c r="M1216" i="1"/>
  <c r="N1239" i="1"/>
  <c r="M1217" i="1"/>
  <c r="N1240" i="1"/>
  <c r="M1218" i="1"/>
  <c r="N1241" i="1"/>
  <c r="M1219" i="1"/>
  <c r="N1242" i="1"/>
  <c r="M1220" i="1"/>
  <c r="N1243" i="1"/>
  <c r="M1221" i="1"/>
  <c r="N1244" i="1"/>
  <c r="M1222" i="1"/>
  <c r="N1245" i="1"/>
  <c r="M1223" i="1"/>
  <c r="N1246" i="1"/>
  <c r="M1224" i="1"/>
  <c r="N1247" i="1"/>
  <c r="M1225" i="1"/>
  <c r="N1248" i="1"/>
  <c r="M1226" i="1"/>
  <c r="N1249" i="1"/>
  <c r="M1227" i="1"/>
  <c r="N1250" i="1"/>
  <c r="M1228" i="1"/>
  <c r="N1251" i="1"/>
  <c r="M1229" i="1"/>
  <c r="N1252" i="1"/>
  <c r="M1230" i="1"/>
  <c r="N1253" i="1"/>
  <c r="M1231" i="1"/>
  <c r="N1254" i="1"/>
  <c r="M1232" i="1"/>
  <c r="N1255" i="1"/>
  <c r="M1233" i="1"/>
  <c r="N1256" i="1"/>
  <c r="M1234" i="1"/>
  <c r="N1257" i="1"/>
  <c r="M1235" i="1"/>
  <c r="N1258" i="1"/>
  <c r="M1236" i="1"/>
  <c r="N1259" i="1"/>
  <c r="M1237" i="1"/>
  <c r="N1260" i="1"/>
  <c r="M1238" i="1"/>
  <c r="N1261" i="1"/>
  <c r="M1239" i="1"/>
  <c r="N1262" i="1"/>
  <c r="M1240" i="1"/>
  <c r="N1263" i="1"/>
  <c r="M1241" i="1"/>
  <c r="N1264" i="1"/>
  <c r="M1242" i="1"/>
  <c r="N1265" i="1"/>
  <c r="M1243" i="1"/>
  <c r="N1266" i="1"/>
  <c r="M1244" i="1"/>
  <c r="N1267" i="1"/>
  <c r="M1245" i="1"/>
  <c r="N1268" i="1"/>
  <c r="M1246" i="1"/>
  <c r="N1269" i="1"/>
  <c r="M1247" i="1"/>
  <c r="N1270" i="1"/>
  <c r="M1248" i="1"/>
  <c r="N1271" i="1"/>
  <c r="M1249" i="1"/>
  <c r="N1272" i="1"/>
  <c r="M1250" i="1"/>
  <c r="N1273" i="1"/>
  <c r="M1251" i="1"/>
  <c r="N1274" i="1"/>
  <c r="M1252" i="1"/>
  <c r="N1275" i="1"/>
  <c r="M1253" i="1"/>
  <c r="N1276" i="1"/>
  <c r="M1254" i="1"/>
  <c r="N1277" i="1"/>
  <c r="M1255" i="1"/>
  <c r="N1278" i="1"/>
  <c r="M1256" i="1"/>
  <c r="N1279" i="1"/>
  <c r="M1257" i="1"/>
  <c r="N1280" i="1"/>
  <c r="M1258" i="1"/>
  <c r="N1281" i="1"/>
  <c r="M1259" i="1"/>
  <c r="N1282" i="1"/>
  <c r="M1260" i="1"/>
  <c r="N1283" i="1"/>
  <c r="M1261" i="1"/>
  <c r="N1284" i="1"/>
  <c r="M1262" i="1"/>
  <c r="N1285" i="1"/>
  <c r="M1263" i="1"/>
  <c r="N1286" i="1"/>
  <c r="M1264" i="1"/>
  <c r="N1287" i="1"/>
  <c r="M1265" i="1"/>
  <c r="N1288" i="1"/>
  <c r="M1266" i="1"/>
  <c r="N1289" i="1"/>
  <c r="M1267" i="1"/>
  <c r="N1290" i="1"/>
  <c r="M1268" i="1"/>
  <c r="N1291" i="1"/>
  <c r="M1269" i="1"/>
  <c r="N1292" i="1"/>
  <c r="M1270" i="1"/>
  <c r="N1293" i="1"/>
  <c r="M1271" i="1"/>
  <c r="N1294" i="1"/>
  <c r="M1272" i="1"/>
  <c r="N1295" i="1"/>
  <c r="M1273" i="1"/>
  <c r="N1296" i="1"/>
  <c r="M1274" i="1"/>
  <c r="N1297" i="1"/>
  <c r="M1275" i="1"/>
  <c r="N1298" i="1"/>
  <c r="M1276" i="1"/>
  <c r="N1299" i="1"/>
  <c r="M1277" i="1"/>
  <c r="N1300" i="1"/>
  <c r="M1278" i="1"/>
  <c r="N1301" i="1"/>
  <c r="M1279" i="1"/>
  <c r="N1302" i="1"/>
  <c r="M1280" i="1"/>
  <c r="N1303" i="1"/>
  <c r="M1281" i="1"/>
  <c r="N1304" i="1"/>
  <c r="M1282" i="1"/>
  <c r="N1305" i="1"/>
  <c r="M1283" i="1"/>
  <c r="N1306" i="1"/>
  <c r="M1284" i="1"/>
  <c r="N1307" i="1"/>
  <c r="M1285" i="1"/>
  <c r="N1308" i="1"/>
  <c r="M1286" i="1"/>
  <c r="N1309" i="1"/>
  <c r="M1287" i="1"/>
  <c r="N1310" i="1"/>
  <c r="M1288" i="1"/>
  <c r="N1311" i="1"/>
  <c r="M1289" i="1"/>
  <c r="N1312" i="1"/>
  <c r="M1290" i="1"/>
  <c r="N1313" i="1"/>
  <c r="M1291" i="1"/>
  <c r="N1314" i="1"/>
  <c r="M1292" i="1"/>
  <c r="N1315" i="1"/>
  <c r="M1293" i="1"/>
  <c r="N1316" i="1"/>
  <c r="M1294" i="1"/>
  <c r="N1317" i="1"/>
  <c r="M1295" i="1"/>
  <c r="N1318" i="1"/>
  <c r="M1296" i="1"/>
  <c r="N1319" i="1"/>
  <c r="M1297" i="1"/>
  <c r="N1320" i="1"/>
  <c r="M1298" i="1"/>
  <c r="N1321" i="1"/>
  <c r="M1299" i="1"/>
  <c r="N1322" i="1"/>
  <c r="M1300" i="1"/>
  <c r="N1323" i="1"/>
  <c r="M1301" i="1"/>
  <c r="N1324" i="1"/>
  <c r="M1302" i="1"/>
  <c r="N1325" i="1"/>
  <c r="M1303" i="1"/>
  <c r="N1326" i="1"/>
  <c r="M1304" i="1"/>
  <c r="N1327" i="1"/>
  <c r="M1305" i="1"/>
  <c r="N1328" i="1"/>
  <c r="M1306" i="1"/>
  <c r="N1329" i="1"/>
  <c r="M1307" i="1"/>
  <c r="N1330" i="1"/>
  <c r="M1308" i="1"/>
  <c r="N1331" i="1"/>
  <c r="M1309" i="1"/>
  <c r="N1332" i="1"/>
  <c r="M1310" i="1"/>
  <c r="N1333" i="1"/>
  <c r="M1311" i="1"/>
  <c r="N1334" i="1"/>
  <c r="M1312" i="1"/>
  <c r="N1335" i="1"/>
  <c r="M1313" i="1"/>
  <c r="N1336" i="1"/>
  <c r="M1314" i="1"/>
  <c r="N1337" i="1"/>
  <c r="M1315" i="1"/>
  <c r="N1338" i="1"/>
  <c r="M1316" i="1"/>
  <c r="N1339" i="1"/>
  <c r="M1317" i="1"/>
  <c r="N1340" i="1"/>
  <c r="M1318" i="1"/>
  <c r="N1341" i="1"/>
  <c r="M1319" i="1"/>
  <c r="N1342" i="1"/>
  <c r="M1320" i="1"/>
  <c r="N1343" i="1"/>
  <c r="M1321" i="1"/>
  <c r="N1344" i="1"/>
  <c r="M1322" i="1"/>
  <c r="N1345" i="1"/>
  <c r="M1323" i="1"/>
  <c r="N1346" i="1"/>
  <c r="M1324" i="1"/>
  <c r="N1347" i="1"/>
  <c r="M1325" i="1"/>
  <c r="N1348" i="1"/>
  <c r="M1326" i="1"/>
  <c r="N1349" i="1"/>
  <c r="M1327" i="1"/>
  <c r="N1350" i="1"/>
  <c r="M1328" i="1"/>
  <c r="N1351" i="1"/>
  <c r="M1329" i="1"/>
  <c r="N1352" i="1"/>
  <c r="M1330" i="1"/>
  <c r="N1353" i="1"/>
  <c r="M1331" i="1"/>
  <c r="N1354" i="1"/>
  <c r="M1332" i="1"/>
  <c r="N1355" i="1"/>
  <c r="M1333" i="1"/>
  <c r="N1356" i="1"/>
  <c r="M1334" i="1"/>
  <c r="N1357" i="1"/>
  <c r="M1335" i="1"/>
  <c r="N1358" i="1"/>
  <c r="M1336" i="1"/>
  <c r="N1359" i="1"/>
  <c r="M1337" i="1"/>
  <c r="N1360" i="1"/>
  <c r="M1338" i="1"/>
  <c r="N1361" i="1"/>
  <c r="M1339" i="1"/>
  <c r="N1362" i="1"/>
  <c r="M1340" i="1"/>
  <c r="N1363" i="1"/>
  <c r="M1341" i="1"/>
  <c r="N1364" i="1"/>
  <c r="M1342" i="1"/>
  <c r="N1365" i="1"/>
  <c r="M1343" i="1"/>
  <c r="N1366" i="1"/>
  <c r="M1344" i="1"/>
  <c r="N1367" i="1"/>
  <c r="M1345" i="1"/>
  <c r="N1368" i="1"/>
  <c r="M1346" i="1"/>
  <c r="N1369" i="1"/>
  <c r="M1347" i="1"/>
  <c r="N1370" i="1"/>
  <c r="M1348" i="1"/>
  <c r="N1371" i="1"/>
  <c r="M1349" i="1"/>
  <c r="N1372" i="1"/>
  <c r="M1350" i="1"/>
  <c r="N1373" i="1"/>
  <c r="M1351" i="1"/>
  <c r="N1374" i="1"/>
  <c r="M1352" i="1"/>
  <c r="N1375" i="1"/>
  <c r="M1353" i="1"/>
  <c r="N1376" i="1"/>
  <c r="M1354" i="1"/>
  <c r="N1377" i="1"/>
  <c r="M1355" i="1"/>
  <c r="N1378" i="1"/>
  <c r="M1356" i="1"/>
  <c r="N1379" i="1"/>
  <c r="M1357" i="1"/>
  <c r="N1380" i="1"/>
  <c r="M1358" i="1"/>
  <c r="N1381" i="1"/>
  <c r="M1359" i="1"/>
  <c r="N1382" i="1"/>
  <c r="M1360" i="1"/>
  <c r="N1383" i="1"/>
  <c r="M1361" i="1"/>
  <c r="N1384" i="1"/>
  <c r="M1362" i="1"/>
  <c r="N1385" i="1"/>
  <c r="M1363" i="1"/>
  <c r="N1386" i="1"/>
  <c r="M1364" i="1"/>
  <c r="N1387" i="1"/>
  <c r="M1365" i="1"/>
  <c r="N1388" i="1"/>
  <c r="M1366" i="1"/>
  <c r="N1389" i="1"/>
  <c r="M1367" i="1"/>
  <c r="N1390" i="1"/>
  <c r="M1368" i="1"/>
  <c r="N1391" i="1"/>
  <c r="M1369" i="1"/>
  <c r="N1392" i="1"/>
  <c r="M1370" i="1"/>
  <c r="N1393" i="1"/>
  <c r="M1371" i="1"/>
  <c r="N1394" i="1"/>
  <c r="M1372" i="1"/>
  <c r="N1395" i="1"/>
  <c r="M1373" i="1"/>
  <c r="N1396" i="1"/>
  <c r="M1374" i="1"/>
  <c r="N1397" i="1"/>
  <c r="M1375" i="1"/>
  <c r="N1398" i="1"/>
  <c r="M1376" i="1"/>
  <c r="N1399" i="1"/>
  <c r="M1377" i="1"/>
  <c r="N1400" i="1"/>
  <c r="M1378" i="1"/>
  <c r="N1401" i="1"/>
  <c r="M1379" i="1"/>
  <c r="N1402" i="1"/>
  <c r="M1380" i="1"/>
  <c r="N1403" i="1"/>
  <c r="M1381" i="1"/>
  <c r="N1404" i="1"/>
  <c r="M1382" i="1"/>
  <c r="N1405" i="1"/>
  <c r="M1383" i="1"/>
  <c r="N1406" i="1"/>
  <c r="M1384" i="1"/>
  <c r="N1407" i="1"/>
  <c r="M1385" i="1"/>
  <c r="N1408" i="1"/>
  <c r="M1386" i="1"/>
  <c r="N1409" i="1"/>
  <c r="M1387" i="1"/>
  <c r="N1410" i="1"/>
  <c r="M1388" i="1"/>
  <c r="N1411" i="1"/>
  <c r="M1389" i="1"/>
  <c r="N1412" i="1"/>
  <c r="M1390" i="1"/>
  <c r="N1413" i="1"/>
  <c r="M1391" i="1"/>
  <c r="N1414" i="1"/>
  <c r="M1392" i="1"/>
  <c r="N1415" i="1"/>
  <c r="M1393" i="1"/>
  <c r="N1416" i="1"/>
  <c r="M1394" i="1"/>
  <c r="N1417" i="1"/>
  <c r="M1395" i="1"/>
  <c r="N1418" i="1"/>
  <c r="M1396" i="1"/>
  <c r="N1419" i="1"/>
  <c r="M1397" i="1"/>
  <c r="N1420" i="1"/>
  <c r="M1398" i="1"/>
  <c r="N1421" i="1"/>
  <c r="M1399" i="1"/>
  <c r="N1422" i="1"/>
  <c r="M1400" i="1"/>
  <c r="N1423" i="1"/>
  <c r="M1401" i="1"/>
  <c r="N1424" i="1"/>
  <c r="M1402" i="1"/>
  <c r="N1425" i="1"/>
  <c r="M1403" i="1"/>
  <c r="N1426" i="1"/>
  <c r="M1404" i="1"/>
  <c r="N1427" i="1"/>
  <c r="M1405" i="1"/>
  <c r="N1428" i="1"/>
  <c r="M1406" i="1"/>
  <c r="N1429" i="1"/>
  <c r="M1407" i="1"/>
  <c r="N1430" i="1"/>
  <c r="M1408" i="1"/>
  <c r="N1431" i="1"/>
  <c r="M1409" i="1"/>
  <c r="N1432" i="1"/>
  <c r="M1410" i="1"/>
  <c r="N1433" i="1"/>
  <c r="M1411" i="1"/>
  <c r="N1434" i="1"/>
  <c r="M1412" i="1"/>
  <c r="N1435" i="1"/>
  <c r="M1413" i="1"/>
  <c r="N1436" i="1"/>
  <c r="M1414" i="1"/>
  <c r="N1437" i="1"/>
  <c r="M1415" i="1"/>
  <c r="N1438" i="1"/>
  <c r="M1416" i="1"/>
  <c r="N1439" i="1"/>
  <c r="M1417" i="1"/>
  <c r="N1440" i="1"/>
  <c r="M1418" i="1"/>
  <c r="N1441" i="1"/>
  <c r="M1419" i="1"/>
  <c r="N1442" i="1"/>
  <c r="M1420" i="1"/>
  <c r="N1443" i="1"/>
  <c r="M1421" i="1"/>
  <c r="N1444" i="1"/>
  <c r="M1422" i="1"/>
  <c r="N1445" i="1"/>
  <c r="M1423" i="1"/>
  <c r="N1446" i="1"/>
  <c r="M1424" i="1"/>
  <c r="N1447" i="1"/>
  <c r="M1425" i="1"/>
  <c r="N1448" i="1"/>
  <c r="M1426" i="1"/>
  <c r="N1449" i="1"/>
  <c r="M1427" i="1"/>
  <c r="N1450" i="1"/>
  <c r="M1428" i="1"/>
  <c r="N1451" i="1"/>
  <c r="M1429" i="1"/>
  <c r="N1452" i="1"/>
  <c r="M1430" i="1"/>
  <c r="N1453" i="1"/>
  <c r="M1431" i="1"/>
  <c r="N1454" i="1"/>
  <c r="M1432" i="1"/>
  <c r="N1455" i="1"/>
  <c r="M1433" i="1"/>
  <c r="N1456" i="1"/>
  <c r="M1434" i="1"/>
  <c r="N1457" i="1"/>
  <c r="M1435" i="1"/>
  <c r="N1458" i="1"/>
  <c r="M1436" i="1"/>
  <c r="N1459" i="1"/>
  <c r="M1437" i="1"/>
  <c r="N1460" i="1"/>
  <c r="M1438" i="1"/>
  <c r="N1461" i="1"/>
  <c r="M1439" i="1"/>
  <c r="N1462" i="1"/>
  <c r="M1440" i="1"/>
  <c r="N1463" i="1"/>
  <c r="M1441" i="1"/>
  <c r="N1464" i="1"/>
  <c r="M1442" i="1"/>
  <c r="N1465" i="1"/>
  <c r="M1443" i="1"/>
  <c r="N1466" i="1"/>
  <c r="M1444" i="1"/>
  <c r="N1467" i="1"/>
  <c r="M1445" i="1"/>
  <c r="N1468" i="1"/>
  <c r="M1446" i="1"/>
  <c r="N1469" i="1"/>
  <c r="M1447" i="1"/>
  <c r="N1470" i="1"/>
  <c r="M1448" i="1"/>
  <c r="N1471" i="1"/>
  <c r="M1449" i="1"/>
  <c r="N1472" i="1"/>
  <c r="M1450" i="1"/>
  <c r="N1473" i="1"/>
  <c r="M1451" i="1"/>
  <c r="N1474" i="1"/>
  <c r="M1452" i="1"/>
  <c r="N1475" i="1"/>
  <c r="M1453" i="1"/>
  <c r="N1476" i="1"/>
  <c r="M1454" i="1"/>
  <c r="N1477" i="1"/>
  <c r="M1455" i="1"/>
  <c r="N1478" i="1"/>
  <c r="M1456" i="1"/>
  <c r="N1479" i="1"/>
  <c r="M1457" i="1"/>
  <c r="N1480" i="1"/>
  <c r="M1458" i="1"/>
  <c r="N1481" i="1"/>
  <c r="M1459" i="1"/>
  <c r="N1482" i="1"/>
  <c r="M1460" i="1"/>
  <c r="N1483" i="1"/>
  <c r="M1461" i="1"/>
  <c r="N1484" i="1"/>
  <c r="M1462" i="1"/>
  <c r="N1485" i="1"/>
  <c r="M1463" i="1"/>
  <c r="N1486" i="1"/>
  <c r="M1464" i="1"/>
  <c r="N1487" i="1"/>
  <c r="M1465" i="1"/>
  <c r="N1488" i="1"/>
  <c r="M1466" i="1"/>
  <c r="N1489" i="1"/>
  <c r="M1467" i="1"/>
  <c r="N1490" i="1"/>
  <c r="M1468" i="1"/>
  <c r="N1491" i="1"/>
  <c r="M1469" i="1"/>
  <c r="N1492" i="1"/>
  <c r="M1470" i="1"/>
  <c r="N1493" i="1"/>
  <c r="M1471" i="1"/>
  <c r="N1494" i="1"/>
  <c r="M1472" i="1"/>
  <c r="N1495" i="1"/>
  <c r="M1473" i="1"/>
  <c r="N1496" i="1"/>
  <c r="M1474" i="1"/>
  <c r="N1497" i="1"/>
  <c r="M1475" i="1"/>
  <c r="N1498" i="1"/>
  <c r="M1476" i="1"/>
  <c r="N1499" i="1"/>
  <c r="M1477" i="1"/>
  <c r="N1500" i="1"/>
  <c r="M1478" i="1"/>
  <c r="N1501" i="1"/>
  <c r="M1479" i="1"/>
  <c r="N1502" i="1"/>
  <c r="M1480" i="1"/>
  <c r="N1503" i="1"/>
  <c r="M1481" i="1"/>
  <c r="N1504" i="1"/>
  <c r="M1482" i="1"/>
  <c r="N1505" i="1"/>
  <c r="M1483" i="1"/>
  <c r="N1506" i="1"/>
  <c r="M1484" i="1"/>
  <c r="N1507" i="1"/>
  <c r="M1485" i="1"/>
  <c r="N1508" i="1"/>
  <c r="M1486" i="1"/>
  <c r="N1509" i="1"/>
  <c r="M1487" i="1"/>
  <c r="N1510" i="1"/>
  <c r="M1488" i="1"/>
  <c r="N1511" i="1"/>
  <c r="M1489" i="1"/>
  <c r="N1512" i="1"/>
  <c r="M1490" i="1"/>
  <c r="N1513" i="1"/>
  <c r="M1491" i="1"/>
  <c r="N1514" i="1"/>
  <c r="M1492" i="1"/>
  <c r="N1515" i="1"/>
  <c r="M1493" i="1"/>
  <c r="N1516" i="1"/>
  <c r="M1494" i="1"/>
  <c r="N1517" i="1"/>
  <c r="M1495" i="1"/>
  <c r="N1518" i="1"/>
  <c r="M1496" i="1"/>
  <c r="N1519" i="1"/>
  <c r="M1497" i="1"/>
  <c r="N1520" i="1"/>
  <c r="M1498" i="1"/>
  <c r="N1521" i="1"/>
  <c r="M1499" i="1"/>
  <c r="N1522" i="1"/>
  <c r="M1500" i="1"/>
  <c r="N1523" i="1"/>
  <c r="M1501" i="1"/>
  <c r="N1524" i="1"/>
  <c r="M1502" i="1"/>
  <c r="N1525" i="1"/>
  <c r="M1503" i="1"/>
  <c r="N1526" i="1"/>
  <c r="M1504" i="1"/>
  <c r="N1527" i="1"/>
  <c r="M1505" i="1"/>
  <c r="N1528" i="1"/>
  <c r="M1506" i="1"/>
  <c r="N1529" i="1"/>
  <c r="M1507" i="1"/>
  <c r="N1530" i="1"/>
  <c r="M1508" i="1"/>
  <c r="N1531" i="1"/>
  <c r="M1509" i="1"/>
  <c r="N1532" i="1"/>
  <c r="M1510" i="1"/>
  <c r="N1533" i="1"/>
  <c r="M1511" i="1"/>
  <c r="N1534" i="1"/>
  <c r="M1512" i="1"/>
  <c r="N1535" i="1"/>
  <c r="M1513" i="1"/>
  <c r="N1536" i="1"/>
  <c r="M1514" i="1"/>
  <c r="N1537" i="1"/>
  <c r="M1515" i="1"/>
  <c r="N1538" i="1"/>
  <c r="M1516" i="1"/>
  <c r="N1539" i="1"/>
  <c r="M1517" i="1"/>
  <c r="N1540" i="1"/>
  <c r="M1518" i="1"/>
  <c r="N1541" i="1"/>
  <c r="M1519" i="1"/>
  <c r="N1542" i="1"/>
  <c r="M1520" i="1"/>
  <c r="N1543" i="1"/>
  <c r="M1521" i="1"/>
  <c r="N1544" i="1"/>
  <c r="M1522" i="1"/>
  <c r="N1545" i="1"/>
  <c r="M1523" i="1"/>
  <c r="N1546" i="1"/>
  <c r="M1524" i="1"/>
  <c r="N1547" i="1"/>
  <c r="M1525" i="1"/>
  <c r="N1548" i="1"/>
  <c r="M1526" i="1"/>
  <c r="N1549" i="1"/>
  <c r="M1527" i="1"/>
  <c r="N1550" i="1"/>
  <c r="M1528" i="1"/>
  <c r="N1551" i="1"/>
  <c r="M1529" i="1"/>
  <c r="N1552" i="1"/>
  <c r="M1530" i="1"/>
  <c r="N1553" i="1"/>
  <c r="M1531" i="1"/>
  <c r="N1554" i="1"/>
  <c r="M1532" i="1"/>
  <c r="N1555" i="1"/>
  <c r="M1533" i="1"/>
  <c r="N1556" i="1"/>
  <c r="M1534" i="1"/>
  <c r="N1557" i="1"/>
  <c r="M1535" i="1"/>
  <c r="N1558" i="1"/>
  <c r="M1536" i="1"/>
  <c r="N1559" i="1"/>
  <c r="M1537" i="1"/>
  <c r="N1560" i="1"/>
  <c r="M1538" i="1"/>
  <c r="N1561" i="1"/>
  <c r="M1539" i="1"/>
  <c r="N1562" i="1"/>
  <c r="M1540" i="1"/>
  <c r="N1563" i="1"/>
  <c r="M1541" i="1"/>
  <c r="N1564" i="1"/>
  <c r="M1542" i="1"/>
  <c r="N1565" i="1"/>
  <c r="M1543" i="1"/>
  <c r="N1566" i="1"/>
  <c r="M1544" i="1"/>
  <c r="N1567" i="1"/>
  <c r="M1545" i="1"/>
  <c r="N1568" i="1"/>
  <c r="M1546" i="1"/>
  <c r="N1569" i="1"/>
  <c r="M1547" i="1"/>
  <c r="N1570" i="1"/>
  <c r="M1548" i="1"/>
  <c r="N1571" i="1"/>
  <c r="M1549" i="1"/>
  <c r="N1572" i="1"/>
  <c r="M1550" i="1"/>
  <c r="N1573" i="1"/>
  <c r="M1551" i="1"/>
  <c r="N1574" i="1"/>
  <c r="M1552" i="1"/>
  <c r="N1575" i="1"/>
  <c r="M1553" i="1"/>
  <c r="N1576" i="1"/>
  <c r="M1554" i="1"/>
  <c r="N1577" i="1"/>
  <c r="M1555" i="1"/>
  <c r="N1578" i="1"/>
  <c r="M1556" i="1"/>
  <c r="N1579" i="1"/>
  <c r="M1557" i="1"/>
  <c r="N1580" i="1"/>
  <c r="M1558" i="1"/>
  <c r="N1581" i="1"/>
  <c r="M1559" i="1"/>
  <c r="N1582" i="1"/>
  <c r="M1560" i="1"/>
  <c r="N1583" i="1"/>
  <c r="M1561" i="1"/>
  <c r="N1584" i="1"/>
  <c r="M1562" i="1"/>
  <c r="N1585" i="1"/>
  <c r="M1563" i="1"/>
  <c r="N1586" i="1"/>
  <c r="M1564" i="1"/>
  <c r="N1587" i="1"/>
  <c r="M1565" i="1"/>
  <c r="N1588" i="1"/>
  <c r="M1566" i="1"/>
  <c r="N1589" i="1"/>
  <c r="M1567" i="1"/>
  <c r="N1590" i="1"/>
  <c r="M1568" i="1"/>
  <c r="N1591" i="1"/>
  <c r="M1569" i="1"/>
  <c r="N1592" i="1"/>
  <c r="M1570" i="1"/>
  <c r="N1593" i="1"/>
  <c r="M1571" i="1"/>
  <c r="N1594" i="1"/>
  <c r="M1572" i="1"/>
  <c r="N1595" i="1"/>
  <c r="M1573" i="1"/>
  <c r="N1596" i="1"/>
  <c r="M1574" i="1"/>
  <c r="N1597" i="1"/>
  <c r="M1575" i="1"/>
  <c r="N1598" i="1"/>
  <c r="M1576" i="1"/>
  <c r="N1599" i="1"/>
  <c r="M1577" i="1"/>
  <c r="N1600" i="1"/>
  <c r="M1578" i="1"/>
  <c r="N1601" i="1"/>
  <c r="M1579" i="1"/>
  <c r="N1602" i="1"/>
  <c r="M1580" i="1"/>
  <c r="N1603" i="1"/>
  <c r="M1581" i="1"/>
  <c r="N1604" i="1"/>
  <c r="M1582" i="1"/>
  <c r="N1605" i="1"/>
  <c r="M1583" i="1"/>
  <c r="N1606" i="1"/>
  <c r="M1584" i="1"/>
  <c r="N1607" i="1"/>
  <c r="M1585" i="1"/>
  <c r="N1608" i="1"/>
  <c r="M1586" i="1"/>
  <c r="N1609" i="1"/>
  <c r="M1587" i="1"/>
  <c r="N1610" i="1"/>
  <c r="M1588" i="1"/>
  <c r="N1611" i="1"/>
  <c r="M1589" i="1"/>
  <c r="N1612" i="1"/>
  <c r="M1590" i="1"/>
  <c r="N1613" i="1"/>
  <c r="M1591" i="1"/>
  <c r="N1614" i="1"/>
  <c r="M1592" i="1"/>
  <c r="N1615" i="1"/>
  <c r="M1593" i="1"/>
  <c r="N1616" i="1"/>
  <c r="M1594" i="1"/>
  <c r="N1617" i="1"/>
  <c r="M1595" i="1"/>
  <c r="N1618" i="1"/>
  <c r="M1596" i="1"/>
  <c r="N1619" i="1"/>
  <c r="M1597" i="1"/>
  <c r="N1620" i="1"/>
  <c r="M1598" i="1"/>
  <c r="N1621" i="1"/>
  <c r="M1599" i="1"/>
  <c r="N1622" i="1"/>
  <c r="M1600" i="1"/>
  <c r="N1623" i="1"/>
  <c r="M1601" i="1"/>
  <c r="N1624" i="1"/>
  <c r="M1602" i="1"/>
  <c r="N1625" i="1"/>
  <c r="M1603" i="1"/>
  <c r="N1626" i="1"/>
  <c r="M1604" i="1"/>
  <c r="N1627" i="1"/>
  <c r="M1605" i="1"/>
  <c r="N1628" i="1"/>
  <c r="M1606" i="1"/>
  <c r="N1629" i="1"/>
  <c r="M1607" i="1"/>
  <c r="N1630" i="1"/>
  <c r="M1608" i="1"/>
  <c r="N1631" i="1"/>
  <c r="M1609" i="1"/>
  <c r="N1632" i="1"/>
  <c r="M1610" i="1"/>
  <c r="N1633" i="1"/>
  <c r="M1611" i="1"/>
  <c r="N1634" i="1"/>
  <c r="M1612" i="1"/>
  <c r="N1635" i="1"/>
  <c r="M1613" i="1"/>
  <c r="N1636" i="1"/>
  <c r="M1614" i="1"/>
  <c r="N1637" i="1"/>
  <c r="M1615" i="1"/>
  <c r="N1638" i="1"/>
  <c r="M1616" i="1"/>
  <c r="N1639" i="1"/>
  <c r="M1617" i="1"/>
  <c r="N1640" i="1"/>
  <c r="M1618" i="1"/>
  <c r="N1641" i="1"/>
  <c r="M1619" i="1"/>
  <c r="N1642" i="1"/>
  <c r="M1620" i="1"/>
  <c r="N1643" i="1"/>
  <c r="M1621" i="1"/>
  <c r="N1644" i="1"/>
  <c r="M1622" i="1"/>
  <c r="N1645" i="1"/>
  <c r="M1623" i="1"/>
  <c r="N1646" i="1"/>
  <c r="M1624" i="1"/>
  <c r="N1647" i="1"/>
  <c r="M1625" i="1"/>
  <c r="N1648" i="1"/>
  <c r="M1626" i="1"/>
  <c r="N1649" i="1"/>
  <c r="M1627" i="1"/>
  <c r="N1650" i="1"/>
  <c r="M1628" i="1"/>
  <c r="N1651" i="1"/>
  <c r="M1629" i="1"/>
  <c r="N1652" i="1"/>
  <c r="M1630" i="1"/>
  <c r="N1653" i="1"/>
  <c r="M1631" i="1"/>
  <c r="N1654" i="1"/>
  <c r="M1632" i="1"/>
  <c r="N1655" i="1"/>
  <c r="M1633" i="1"/>
  <c r="N1656" i="1"/>
  <c r="M1634" i="1"/>
  <c r="N1657" i="1"/>
  <c r="M1635" i="1"/>
  <c r="N1658" i="1"/>
  <c r="M1636" i="1"/>
  <c r="N1659" i="1"/>
  <c r="M1637" i="1"/>
  <c r="N1660" i="1"/>
  <c r="M1638" i="1"/>
  <c r="N1661" i="1"/>
  <c r="M1639" i="1"/>
  <c r="N1662" i="1"/>
  <c r="M1640" i="1"/>
  <c r="N1663" i="1"/>
  <c r="M1641" i="1"/>
  <c r="N1664" i="1"/>
  <c r="M1642" i="1"/>
  <c r="N1665" i="1"/>
  <c r="M1643" i="1"/>
  <c r="N1666" i="1"/>
  <c r="M1644" i="1"/>
  <c r="N1667" i="1"/>
  <c r="M1645" i="1"/>
  <c r="N1668" i="1"/>
  <c r="M1646" i="1"/>
  <c r="N1669" i="1"/>
  <c r="M1647" i="1"/>
  <c r="N1670" i="1"/>
  <c r="M1648" i="1"/>
  <c r="N1671" i="1"/>
  <c r="M1649" i="1"/>
  <c r="N1672" i="1"/>
  <c r="M1650" i="1"/>
  <c r="N1673" i="1"/>
  <c r="M1651" i="1"/>
  <c r="N1674" i="1"/>
  <c r="M1652" i="1"/>
  <c r="N1675" i="1"/>
  <c r="M1653" i="1"/>
  <c r="N1676" i="1"/>
  <c r="M1654" i="1"/>
  <c r="N1677" i="1"/>
  <c r="M1655" i="1"/>
  <c r="N1678" i="1"/>
  <c r="M1656" i="1"/>
  <c r="N1679" i="1"/>
  <c r="M1657" i="1"/>
  <c r="N1680" i="1"/>
  <c r="M1658" i="1"/>
  <c r="N1681" i="1"/>
  <c r="M1659" i="1"/>
  <c r="N1682" i="1"/>
  <c r="M1660" i="1"/>
  <c r="N1683" i="1"/>
  <c r="M1661" i="1"/>
  <c r="N1684" i="1"/>
  <c r="M1662" i="1"/>
  <c r="N1685" i="1"/>
  <c r="M1663" i="1"/>
  <c r="N1686" i="1"/>
  <c r="M1664" i="1"/>
  <c r="N1687" i="1"/>
  <c r="M1665" i="1"/>
  <c r="N1688" i="1"/>
  <c r="M1666" i="1"/>
  <c r="N1689" i="1"/>
  <c r="M1667" i="1"/>
  <c r="N1690" i="1"/>
  <c r="M1668" i="1"/>
  <c r="N1691" i="1"/>
  <c r="M1669" i="1"/>
  <c r="N1692" i="1"/>
  <c r="M1670" i="1"/>
  <c r="N1693" i="1"/>
  <c r="M1671" i="1"/>
  <c r="N1694" i="1"/>
  <c r="M1672" i="1"/>
  <c r="N1695" i="1"/>
  <c r="M1673" i="1"/>
  <c r="N1696" i="1"/>
  <c r="M1674" i="1"/>
  <c r="N1697" i="1"/>
  <c r="M1675" i="1"/>
  <c r="N1698" i="1"/>
  <c r="M1676" i="1"/>
  <c r="N1699" i="1"/>
  <c r="M1677" i="1"/>
  <c r="N1700" i="1"/>
  <c r="M1678" i="1"/>
  <c r="N1701" i="1"/>
  <c r="M1679" i="1"/>
  <c r="N1702" i="1"/>
  <c r="M1680" i="1"/>
  <c r="N1703" i="1"/>
  <c r="M1681" i="1"/>
  <c r="N1704" i="1"/>
  <c r="M1682" i="1"/>
  <c r="N1705" i="1"/>
  <c r="M1683" i="1"/>
  <c r="N1706" i="1"/>
  <c r="M1684" i="1"/>
  <c r="N1707" i="1"/>
  <c r="M1685" i="1"/>
  <c r="N1708" i="1"/>
  <c r="M1686" i="1"/>
  <c r="N1709" i="1"/>
  <c r="M1687" i="1"/>
  <c r="N1710" i="1"/>
  <c r="M1688" i="1"/>
  <c r="N1711" i="1"/>
  <c r="M1689" i="1"/>
  <c r="N1712" i="1"/>
  <c r="M1690" i="1"/>
  <c r="N1713" i="1"/>
  <c r="M1691" i="1"/>
  <c r="N1714" i="1"/>
  <c r="M1692" i="1"/>
  <c r="N1715" i="1"/>
  <c r="M1693" i="1"/>
  <c r="N1716" i="1"/>
  <c r="M1694" i="1"/>
  <c r="N1717" i="1"/>
  <c r="M1695" i="1"/>
  <c r="N1718" i="1"/>
  <c r="M1696" i="1"/>
  <c r="N1719" i="1"/>
  <c r="M1697" i="1"/>
  <c r="N1720" i="1"/>
  <c r="M1698" i="1"/>
  <c r="N1721" i="1"/>
  <c r="M1699" i="1"/>
  <c r="N1722" i="1"/>
  <c r="M1700" i="1"/>
  <c r="N1723" i="1"/>
  <c r="M1701" i="1"/>
  <c r="N1724" i="1"/>
  <c r="M1702" i="1"/>
  <c r="N1725" i="1"/>
  <c r="M1703" i="1"/>
  <c r="N1726" i="1"/>
  <c r="M1704" i="1"/>
  <c r="N1727" i="1"/>
  <c r="M1705" i="1"/>
  <c r="N1728" i="1"/>
  <c r="M1706" i="1"/>
  <c r="N1729" i="1"/>
  <c r="M1707" i="1"/>
  <c r="N1730" i="1"/>
  <c r="M1708" i="1"/>
  <c r="N1731" i="1"/>
  <c r="M1709" i="1"/>
  <c r="N1732" i="1"/>
  <c r="M1710" i="1"/>
  <c r="N1733" i="1"/>
  <c r="M1711" i="1"/>
  <c r="N1734" i="1"/>
  <c r="M1712" i="1"/>
  <c r="N1735" i="1"/>
  <c r="M1713" i="1"/>
  <c r="N1736" i="1"/>
  <c r="M1714" i="1"/>
  <c r="N1737" i="1"/>
  <c r="M1715" i="1"/>
  <c r="N1738" i="1"/>
  <c r="M1716" i="1"/>
  <c r="N1739" i="1"/>
  <c r="M1717" i="1"/>
  <c r="N1740" i="1"/>
  <c r="M1718" i="1"/>
  <c r="N1741" i="1"/>
  <c r="M1719" i="1"/>
  <c r="N1742" i="1"/>
  <c r="M1720" i="1"/>
  <c r="N1743" i="1"/>
  <c r="M1721" i="1"/>
  <c r="N1744" i="1"/>
  <c r="M1722" i="1"/>
  <c r="N1745" i="1"/>
  <c r="M1723" i="1"/>
  <c r="N1746" i="1"/>
  <c r="M1724" i="1"/>
  <c r="N1747" i="1"/>
  <c r="M1725" i="1"/>
  <c r="N1748" i="1"/>
  <c r="M1726" i="1"/>
  <c r="N1749" i="1"/>
  <c r="M1727" i="1"/>
  <c r="N1750" i="1"/>
  <c r="M1728" i="1"/>
  <c r="N1751" i="1"/>
  <c r="M1729" i="1"/>
  <c r="N1752" i="1"/>
  <c r="M1730" i="1"/>
  <c r="N1753" i="1"/>
  <c r="M1731" i="1"/>
  <c r="N1754" i="1"/>
  <c r="M1732" i="1"/>
  <c r="N1755" i="1"/>
  <c r="M1733" i="1"/>
  <c r="N1756" i="1"/>
  <c r="M1734" i="1"/>
  <c r="N1757" i="1"/>
  <c r="M1735" i="1"/>
  <c r="N1758" i="1"/>
  <c r="M1736" i="1"/>
  <c r="N1759" i="1"/>
  <c r="M1737" i="1"/>
  <c r="N1760" i="1"/>
  <c r="M1738" i="1"/>
  <c r="N1761" i="1"/>
  <c r="M1739" i="1"/>
  <c r="N1762" i="1"/>
  <c r="M1740" i="1"/>
  <c r="N1763" i="1"/>
  <c r="M1741" i="1"/>
  <c r="N1764" i="1"/>
  <c r="M1742" i="1"/>
  <c r="N1765" i="1"/>
  <c r="M1743" i="1"/>
  <c r="N1766" i="1"/>
  <c r="M1744" i="1"/>
  <c r="N1767" i="1"/>
  <c r="M1745" i="1"/>
  <c r="N1768" i="1"/>
  <c r="M1746" i="1"/>
  <c r="N1769" i="1"/>
  <c r="M1747" i="1"/>
  <c r="N1770" i="1"/>
  <c r="M1748" i="1"/>
  <c r="N1771" i="1"/>
  <c r="M1749" i="1"/>
  <c r="N1772" i="1"/>
  <c r="M1750" i="1"/>
  <c r="N1773" i="1"/>
  <c r="M1751" i="1"/>
  <c r="N1774" i="1"/>
  <c r="M1752" i="1"/>
  <c r="N1775" i="1"/>
  <c r="M1753" i="1"/>
  <c r="N1776" i="1"/>
  <c r="M1754" i="1"/>
  <c r="N1777" i="1"/>
  <c r="M1755" i="1"/>
  <c r="N1778" i="1"/>
  <c r="M1756" i="1"/>
  <c r="N1779" i="1"/>
  <c r="M1757" i="1"/>
  <c r="N1780" i="1"/>
  <c r="M1758" i="1"/>
  <c r="N1781" i="1"/>
  <c r="M1759" i="1"/>
  <c r="N1782" i="1"/>
  <c r="M1760" i="1"/>
  <c r="N1783" i="1"/>
  <c r="M1761" i="1"/>
  <c r="N1784" i="1"/>
  <c r="M1762" i="1"/>
  <c r="N1785" i="1"/>
  <c r="M1763" i="1"/>
  <c r="N1786" i="1"/>
  <c r="M1764" i="1"/>
  <c r="N1787" i="1"/>
  <c r="M1765" i="1"/>
  <c r="N1788" i="1"/>
  <c r="M1766" i="1"/>
  <c r="N1789" i="1"/>
  <c r="M1767" i="1"/>
  <c r="N1790" i="1"/>
  <c r="M1768" i="1"/>
  <c r="N1791" i="1"/>
  <c r="M1769" i="1"/>
  <c r="N1792" i="1"/>
  <c r="M1770" i="1"/>
  <c r="N1793" i="1"/>
  <c r="M1771" i="1"/>
  <c r="N1794" i="1"/>
  <c r="M1772" i="1"/>
  <c r="N1795" i="1"/>
  <c r="M1773" i="1"/>
  <c r="N1796" i="1"/>
  <c r="M1774" i="1"/>
  <c r="N1797" i="1"/>
  <c r="M1775" i="1"/>
  <c r="N1798" i="1"/>
  <c r="M1776" i="1"/>
  <c r="N1799" i="1"/>
  <c r="M1777" i="1"/>
  <c r="N1800" i="1"/>
  <c r="M1778" i="1"/>
  <c r="N1801" i="1"/>
  <c r="M1779" i="1"/>
  <c r="N1802" i="1"/>
  <c r="M1780" i="1"/>
  <c r="N1803" i="1"/>
  <c r="M1781" i="1"/>
  <c r="N1804" i="1"/>
  <c r="M1782" i="1"/>
  <c r="N1805" i="1"/>
  <c r="M1783" i="1"/>
  <c r="N1806" i="1"/>
  <c r="M1784" i="1"/>
  <c r="N1807" i="1"/>
  <c r="M1785" i="1"/>
  <c r="N1808" i="1"/>
  <c r="M1786" i="1"/>
  <c r="N1809" i="1"/>
  <c r="M1787" i="1"/>
  <c r="N1810" i="1"/>
  <c r="M1788" i="1"/>
  <c r="N1811" i="1"/>
  <c r="M1789" i="1"/>
  <c r="N1812" i="1"/>
  <c r="M1790" i="1"/>
  <c r="N1813" i="1"/>
  <c r="M1791" i="1"/>
  <c r="N1814" i="1"/>
  <c r="M1792" i="1"/>
  <c r="N1815" i="1"/>
  <c r="M1793" i="1"/>
  <c r="N1816" i="1"/>
  <c r="M1794" i="1"/>
  <c r="N1817" i="1"/>
  <c r="M1795" i="1"/>
  <c r="N1818" i="1"/>
  <c r="M1796" i="1"/>
  <c r="N1819" i="1"/>
  <c r="M1797" i="1"/>
  <c r="N1820" i="1"/>
  <c r="M1798" i="1"/>
  <c r="N1821" i="1"/>
  <c r="M1799" i="1"/>
  <c r="N1822" i="1"/>
  <c r="M1800" i="1"/>
  <c r="N1823" i="1"/>
  <c r="M1801" i="1"/>
  <c r="N1824" i="1"/>
  <c r="M1802" i="1"/>
  <c r="N1825" i="1"/>
  <c r="M1803" i="1"/>
  <c r="N1826" i="1"/>
  <c r="M1804" i="1"/>
  <c r="N1827" i="1"/>
  <c r="M1805" i="1"/>
  <c r="N1828" i="1"/>
  <c r="M1806" i="1"/>
  <c r="N1829" i="1"/>
  <c r="M1807" i="1"/>
  <c r="N1830" i="1"/>
  <c r="M1808" i="1"/>
  <c r="N1831" i="1"/>
  <c r="M1809" i="1"/>
  <c r="N1832" i="1"/>
  <c r="M1810" i="1"/>
  <c r="N1833" i="1"/>
  <c r="M1811" i="1"/>
  <c r="N1834" i="1"/>
  <c r="M1812" i="1"/>
  <c r="N1835" i="1"/>
  <c r="M1813" i="1"/>
  <c r="N1836" i="1"/>
  <c r="M1814" i="1"/>
  <c r="N1837" i="1"/>
  <c r="M1815" i="1"/>
  <c r="N1838" i="1"/>
  <c r="M1816" i="1"/>
  <c r="N1839" i="1"/>
  <c r="M1817" i="1"/>
  <c r="N1840" i="1"/>
  <c r="M1818" i="1"/>
  <c r="N1841" i="1"/>
  <c r="M1819" i="1"/>
  <c r="N1842" i="1"/>
  <c r="M1820" i="1"/>
  <c r="N1843" i="1"/>
  <c r="M1821" i="1"/>
  <c r="N1844" i="1"/>
  <c r="M1822" i="1"/>
  <c r="N1845" i="1"/>
  <c r="M1823" i="1"/>
  <c r="N1846" i="1"/>
  <c r="M1824" i="1"/>
  <c r="N1847" i="1"/>
  <c r="M1825" i="1"/>
  <c r="N1848" i="1"/>
  <c r="M1826" i="1"/>
  <c r="N1849" i="1"/>
  <c r="M1827" i="1"/>
  <c r="N1850" i="1"/>
  <c r="M1828" i="1"/>
  <c r="N1851" i="1"/>
  <c r="M1829" i="1"/>
  <c r="N1852" i="1"/>
  <c r="M1830" i="1"/>
  <c r="N1853" i="1"/>
  <c r="M1831" i="1"/>
  <c r="N1854" i="1"/>
  <c r="M1832" i="1"/>
  <c r="N1855" i="1"/>
  <c r="M1833" i="1"/>
  <c r="N1856" i="1"/>
  <c r="M1834" i="1"/>
  <c r="N1857" i="1"/>
  <c r="M1835" i="1"/>
  <c r="N1858" i="1"/>
  <c r="M1836" i="1"/>
  <c r="N1859" i="1"/>
  <c r="M1837" i="1"/>
  <c r="N1860" i="1"/>
  <c r="M1838" i="1"/>
  <c r="N1861" i="1"/>
  <c r="M1839" i="1"/>
  <c r="N1862" i="1"/>
  <c r="M1840" i="1"/>
  <c r="N1863" i="1"/>
  <c r="M1841" i="1"/>
  <c r="N1864" i="1"/>
  <c r="M1842" i="1"/>
  <c r="N1865" i="1"/>
  <c r="M1843" i="1"/>
  <c r="N1866" i="1"/>
  <c r="M1844" i="1"/>
  <c r="N1867" i="1"/>
  <c r="M1845" i="1"/>
  <c r="N1868" i="1"/>
  <c r="M1846" i="1"/>
  <c r="N1869" i="1"/>
  <c r="M1847" i="1"/>
  <c r="N1870" i="1"/>
  <c r="M1848" i="1"/>
  <c r="N1871" i="1"/>
  <c r="M1849" i="1"/>
  <c r="N1872" i="1"/>
  <c r="M1850" i="1"/>
  <c r="N1873" i="1"/>
  <c r="M1851" i="1"/>
  <c r="N1874" i="1"/>
  <c r="M1852" i="1"/>
  <c r="N1875" i="1"/>
  <c r="M1853" i="1"/>
  <c r="N1876" i="1"/>
  <c r="M1854" i="1"/>
  <c r="N1877" i="1"/>
  <c r="M1855" i="1"/>
  <c r="N1878" i="1"/>
  <c r="M1856" i="1"/>
  <c r="N1879" i="1"/>
  <c r="M1857" i="1"/>
  <c r="N1880" i="1"/>
  <c r="M1858" i="1"/>
  <c r="N1881" i="1"/>
  <c r="M1859" i="1"/>
  <c r="N1882" i="1"/>
  <c r="M1860" i="1"/>
  <c r="N1883" i="1"/>
  <c r="M1861" i="1"/>
  <c r="N1884" i="1"/>
  <c r="M1862" i="1"/>
  <c r="N1885" i="1"/>
  <c r="M1863" i="1"/>
  <c r="N1886" i="1"/>
  <c r="M1864" i="1"/>
  <c r="N1887" i="1"/>
  <c r="M1865" i="1"/>
  <c r="N1888" i="1"/>
  <c r="M1866" i="1"/>
  <c r="N1889" i="1"/>
  <c r="M1867" i="1"/>
  <c r="N1890" i="1"/>
  <c r="M1868" i="1"/>
  <c r="N1891" i="1"/>
  <c r="M1869" i="1"/>
  <c r="N1892" i="1"/>
  <c r="M1870" i="1"/>
  <c r="N1893" i="1"/>
  <c r="M1871" i="1"/>
  <c r="N1894" i="1"/>
  <c r="M1872" i="1"/>
  <c r="N1895" i="1"/>
  <c r="M1873" i="1"/>
  <c r="N1896" i="1"/>
  <c r="M1874" i="1"/>
  <c r="N1897" i="1"/>
  <c r="M1875" i="1"/>
  <c r="N1898" i="1"/>
  <c r="M1876" i="1"/>
  <c r="N1899" i="1"/>
  <c r="M1877" i="1"/>
  <c r="N1900" i="1"/>
  <c r="M1878" i="1"/>
  <c r="N1901" i="1"/>
  <c r="M1879" i="1"/>
  <c r="N1902" i="1"/>
  <c r="M1880" i="1"/>
  <c r="N1903" i="1"/>
  <c r="M1881" i="1"/>
  <c r="N1904" i="1"/>
  <c r="M1882" i="1"/>
  <c r="N1905" i="1"/>
  <c r="M1883" i="1"/>
  <c r="N1906" i="1"/>
  <c r="M1884" i="1"/>
  <c r="N1907" i="1"/>
  <c r="M1885" i="1"/>
  <c r="N1908" i="1"/>
  <c r="M1886" i="1"/>
  <c r="N1909" i="1"/>
  <c r="M1887" i="1"/>
  <c r="N1910" i="1"/>
  <c r="M1888" i="1"/>
  <c r="N1911" i="1"/>
  <c r="M1889" i="1"/>
  <c r="N1912" i="1"/>
  <c r="M1890" i="1"/>
  <c r="N1913" i="1"/>
  <c r="M1891" i="1"/>
  <c r="N1914" i="1"/>
  <c r="M1892" i="1"/>
  <c r="N1915" i="1"/>
  <c r="M1893" i="1"/>
  <c r="N1916" i="1"/>
  <c r="M1894" i="1"/>
  <c r="N1917" i="1"/>
  <c r="M1895" i="1"/>
  <c r="N1918" i="1"/>
  <c r="M1896" i="1"/>
  <c r="N1919" i="1"/>
  <c r="M1897" i="1"/>
  <c r="N1920" i="1"/>
  <c r="M1898" i="1"/>
  <c r="N1921" i="1"/>
  <c r="M1899" i="1"/>
  <c r="N1922" i="1"/>
  <c r="M1900" i="1"/>
  <c r="N1923" i="1"/>
  <c r="M1901" i="1"/>
  <c r="N1924" i="1"/>
  <c r="M1902" i="1"/>
  <c r="N1925" i="1"/>
  <c r="M1903" i="1"/>
  <c r="N1926" i="1"/>
  <c r="M1904" i="1"/>
  <c r="N1927" i="1"/>
  <c r="M1905" i="1"/>
  <c r="N1928" i="1"/>
  <c r="M1906" i="1"/>
  <c r="N1929" i="1"/>
  <c r="M1907" i="1"/>
  <c r="N1930" i="1"/>
  <c r="M1908" i="1"/>
  <c r="N1931" i="1"/>
  <c r="M1909" i="1"/>
  <c r="N1932" i="1"/>
  <c r="M1910" i="1"/>
  <c r="N1933" i="1"/>
  <c r="M1911" i="1"/>
  <c r="N1934" i="1"/>
  <c r="M1912" i="1"/>
  <c r="N1935" i="1"/>
  <c r="M1913" i="1"/>
  <c r="N1936" i="1"/>
  <c r="M1914" i="1"/>
  <c r="N1937" i="1"/>
  <c r="M1915" i="1"/>
  <c r="N1938" i="1"/>
  <c r="M1916" i="1"/>
  <c r="N1939" i="1"/>
  <c r="M1917" i="1"/>
  <c r="N1940" i="1"/>
  <c r="M1918" i="1"/>
  <c r="N1941" i="1"/>
  <c r="M1919" i="1"/>
  <c r="N1942" i="1"/>
  <c r="M1920" i="1"/>
  <c r="N1943" i="1"/>
  <c r="M1921" i="1"/>
  <c r="N1944" i="1"/>
  <c r="M1922" i="1"/>
  <c r="N1945" i="1"/>
  <c r="M1923" i="1"/>
  <c r="N1946" i="1"/>
  <c r="M1924" i="1"/>
  <c r="N1947" i="1"/>
  <c r="M1925" i="1"/>
  <c r="N1948" i="1"/>
  <c r="M1926" i="1"/>
  <c r="N1949" i="1"/>
  <c r="M1927" i="1"/>
  <c r="N1950" i="1"/>
  <c r="M1928" i="1"/>
  <c r="N1951" i="1"/>
  <c r="M1929" i="1"/>
  <c r="N1952" i="1"/>
  <c r="M1930" i="1"/>
  <c r="N1953" i="1"/>
  <c r="M1931" i="1"/>
  <c r="N1954" i="1"/>
  <c r="M1932" i="1"/>
  <c r="N1955" i="1"/>
  <c r="M1933" i="1"/>
  <c r="N1956" i="1"/>
  <c r="M1934" i="1"/>
  <c r="N1957" i="1"/>
  <c r="M1935" i="1"/>
  <c r="N1958" i="1"/>
  <c r="M1936" i="1"/>
  <c r="N1959" i="1"/>
  <c r="M1937" i="1"/>
  <c r="N1960" i="1"/>
  <c r="M1938" i="1"/>
  <c r="N1961" i="1"/>
  <c r="M1939" i="1"/>
  <c r="N1962" i="1"/>
  <c r="M1940" i="1"/>
  <c r="N1963" i="1"/>
  <c r="M1941" i="1"/>
  <c r="N1964" i="1"/>
  <c r="M1942" i="1"/>
  <c r="N1965" i="1"/>
  <c r="M1943" i="1"/>
  <c r="N1966" i="1"/>
  <c r="M1944" i="1"/>
  <c r="N1967" i="1"/>
  <c r="M1945" i="1"/>
  <c r="N1968" i="1"/>
  <c r="M1946" i="1"/>
  <c r="N1969" i="1"/>
  <c r="M1947" i="1"/>
  <c r="N1970" i="1"/>
  <c r="M1948" i="1"/>
  <c r="N1971" i="1"/>
  <c r="M1949" i="1"/>
  <c r="N1972" i="1"/>
  <c r="M1950" i="1"/>
  <c r="N1973" i="1"/>
  <c r="M1951" i="1"/>
  <c r="N1974" i="1"/>
  <c r="M1952" i="1"/>
  <c r="N1975" i="1"/>
  <c r="M1953" i="1"/>
  <c r="N1976" i="1"/>
  <c r="M1954" i="1"/>
  <c r="N1977" i="1"/>
  <c r="M1955" i="1"/>
  <c r="N1978" i="1"/>
  <c r="M1956" i="1"/>
  <c r="N1979" i="1"/>
  <c r="M1957" i="1"/>
  <c r="N1980" i="1"/>
  <c r="M1958" i="1"/>
  <c r="N1981" i="1"/>
  <c r="M1959" i="1"/>
  <c r="N1982" i="1"/>
  <c r="M1960" i="1"/>
  <c r="N1983" i="1"/>
  <c r="M1961" i="1"/>
  <c r="N1984" i="1"/>
  <c r="M1962" i="1"/>
  <c r="N1985" i="1"/>
  <c r="M1963" i="1"/>
  <c r="N1986" i="1"/>
  <c r="M1964" i="1"/>
  <c r="N1987" i="1"/>
  <c r="M1965" i="1"/>
  <c r="N1988" i="1"/>
  <c r="M1966" i="1"/>
  <c r="N1989" i="1"/>
  <c r="M1967" i="1"/>
  <c r="N1990" i="1"/>
  <c r="M1968" i="1"/>
  <c r="N1991" i="1"/>
  <c r="M1969" i="1"/>
  <c r="N1992" i="1"/>
  <c r="M1970" i="1"/>
  <c r="N1993" i="1"/>
  <c r="M1971" i="1"/>
  <c r="N1994" i="1"/>
  <c r="M1972" i="1"/>
  <c r="N1995" i="1"/>
  <c r="M1973" i="1"/>
  <c r="N1996" i="1"/>
  <c r="M1974" i="1"/>
  <c r="N1997" i="1"/>
  <c r="M1975" i="1"/>
  <c r="N1998" i="1"/>
  <c r="M1976" i="1"/>
  <c r="N1999" i="1"/>
  <c r="M1977" i="1"/>
  <c r="N2000" i="1"/>
  <c r="M1978" i="1"/>
  <c r="N2001" i="1"/>
  <c r="M1979" i="1"/>
  <c r="N2002" i="1"/>
  <c r="M1980" i="1"/>
  <c r="N2003" i="1"/>
  <c r="M1981" i="1"/>
  <c r="N2004" i="1"/>
  <c r="M1982" i="1"/>
  <c r="N2005" i="1"/>
  <c r="M1983" i="1"/>
  <c r="N2006" i="1"/>
  <c r="M1984" i="1"/>
  <c r="N2007" i="1"/>
  <c r="M1985" i="1"/>
  <c r="N2008" i="1"/>
  <c r="M1986" i="1"/>
  <c r="N2009" i="1"/>
  <c r="M1987" i="1"/>
  <c r="N2010" i="1"/>
  <c r="M1988" i="1"/>
  <c r="N2011" i="1"/>
  <c r="M1989" i="1"/>
  <c r="N2012" i="1"/>
  <c r="M1990" i="1"/>
  <c r="N2013" i="1"/>
  <c r="M1991" i="1"/>
  <c r="N2014" i="1"/>
  <c r="M1992" i="1"/>
  <c r="N2015" i="1"/>
  <c r="M1993" i="1"/>
  <c r="N2016" i="1"/>
  <c r="M1994" i="1"/>
  <c r="N2017" i="1"/>
  <c r="M1995" i="1"/>
  <c r="N2018" i="1"/>
  <c r="M1996" i="1"/>
  <c r="N2019" i="1"/>
  <c r="M1997" i="1"/>
  <c r="N2020" i="1"/>
  <c r="M1998" i="1"/>
  <c r="N2021" i="1"/>
  <c r="M1999" i="1"/>
  <c r="N2022" i="1"/>
  <c r="M2000" i="1"/>
  <c r="N2023" i="1"/>
  <c r="M2001" i="1"/>
  <c r="N2024" i="1"/>
  <c r="M2002" i="1"/>
  <c r="N2025" i="1"/>
  <c r="M2003" i="1"/>
  <c r="N2026" i="1"/>
  <c r="M2004" i="1"/>
  <c r="N2027" i="1"/>
  <c r="M2005" i="1"/>
  <c r="N2028" i="1"/>
  <c r="M2006" i="1"/>
  <c r="N2029" i="1"/>
  <c r="M2007" i="1"/>
  <c r="N2030" i="1"/>
  <c r="M2008" i="1"/>
  <c r="N2031" i="1"/>
  <c r="M2009" i="1"/>
  <c r="N2032" i="1"/>
  <c r="M2010" i="1"/>
  <c r="N2033" i="1"/>
  <c r="M2011" i="1"/>
  <c r="N2034" i="1"/>
  <c r="M2012" i="1"/>
  <c r="N2035" i="1"/>
  <c r="M2013" i="1"/>
  <c r="N2036" i="1"/>
  <c r="M2014" i="1"/>
  <c r="N2037" i="1"/>
  <c r="M2015" i="1"/>
  <c r="N2038" i="1"/>
  <c r="M2016" i="1"/>
  <c r="N2039" i="1"/>
  <c r="M2017" i="1"/>
  <c r="N2040" i="1"/>
  <c r="M2018" i="1"/>
  <c r="N2041" i="1"/>
  <c r="M2019" i="1"/>
  <c r="N2042" i="1"/>
  <c r="M2020" i="1"/>
  <c r="N2043" i="1"/>
  <c r="M2021" i="1"/>
  <c r="N2044" i="1"/>
  <c r="M2022" i="1"/>
  <c r="N2045" i="1"/>
  <c r="M2023" i="1"/>
  <c r="N2046" i="1"/>
  <c r="M2024" i="1"/>
  <c r="N2047" i="1"/>
  <c r="M2025" i="1"/>
  <c r="N2048" i="1"/>
  <c r="M2026" i="1"/>
  <c r="N2049" i="1"/>
  <c r="M2027" i="1"/>
  <c r="N2050" i="1"/>
  <c r="M2028" i="1"/>
  <c r="N2051" i="1"/>
  <c r="M2029" i="1"/>
  <c r="N2052" i="1"/>
  <c r="M2030" i="1"/>
  <c r="N2053" i="1"/>
  <c r="M2031" i="1"/>
  <c r="N2054" i="1"/>
  <c r="M2032" i="1"/>
  <c r="N2055" i="1"/>
  <c r="M2033" i="1"/>
  <c r="N2056" i="1"/>
  <c r="M2034" i="1"/>
  <c r="N2057" i="1"/>
  <c r="M2035" i="1"/>
  <c r="N2058" i="1"/>
  <c r="M2036" i="1"/>
  <c r="N2059" i="1"/>
  <c r="M2037" i="1"/>
  <c r="N2060" i="1"/>
  <c r="M2038" i="1"/>
  <c r="N2061" i="1"/>
  <c r="M2039" i="1"/>
  <c r="N2062" i="1"/>
  <c r="M2040" i="1"/>
  <c r="N2063" i="1"/>
  <c r="M2041" i="1"/>
  <c r="N2064" i="1"/>
  <c r="M2042" i="1"/>
  <c r="N2065" i="1"/>
  <c r="M2043" i="1"/>
  <c r="N2066" i="1"/>
  <c r="M2044" i="1"/>
  <c r="N2067" i="1"/>
  <c r="M2045" i="1"/>
  <c r="N2068" i="1"/>
  <c r="M2046" i="1"/>
  <c r="N2069" i="1"/>
  <c r="M2047" i="1"/>
  <c r="N2070" i="1"/>
  <c r="M2048" i="1"/>
  <c r="N2071" i="1"/>
  <c r="M2049" i="1"/>
  <c r="N2072" i="1"/>
  <c r="M2050" i="1"/>
  <c r="N2073" i="1"/>
  <c r="M2051" i="1"/>
  <c r="N2074" i="1"/>
  <c r="M2052" i="1"/>
  <c r="N2075" i="1"/>
  <c r="M2053" i="1"/>
  <c r="N2076" i="1"/>
  <c r="M2054" i="1"/>
  <c r="N2077" i="1"/>
  <c r="M2055" i="1"/>
  <c r="N2078" i="1"/>
  <c r="M2056" i="1"/>
  <c r="N2079" i="1"/>
  <c r="M2057" i="1"/>
  <c r="N2080" i="1"/>
  <c r="M2058" i="1"/>
  <c r="N2081" i="1"/>
  <c r="M2059" i="1"/>
  <c r="N2082" i="1"/>
  <c r="M2060" i="1"/>
  <c r="N2083" i="1"/>
  <c r="M2061" i="1"/>
  <c r="N2084" i="1"/>
  <c r="M2062" i="1"/>
  <c r="N2085" i="1"/>
  <c r="M2063" i="1"/>
  <c r="N2086" i="1"/>
  <c r="M2064" i="1"/>
  <c r="N2087" i="1"/>
  <c r="M2065" i="1"/>
  <c r="N2088" i="1"/>
  <c r="M2066" i="1"/>
  <c r="N2089" i="1"/>
  <c r="M2067" i="1"/>
  <c r="N2090" i="1"/>
  <c r="M2068" i="1"/>
  <c r="N2091" i="1"/>
  <c r="M2069" i="1"/>
  <c r="N2092" i="1"/>
  <c r="M2070" i="1"/>
  <c r="N2093" i="1"/>
  <c r="M2071" i="1"/>
  <c r="N2094" i="1"/>
  <c r="M2072" i="1"/>
  <c r="N2095" i="1"/>
  <c r="M2073" i="1"/>
  <c r="N2096" i="1"/>
  <c r="M2074" i="1"/>
  <c r="N2097" i="1"/>
  <c r="M2075" i="1"/>
  <c r="N2098" i="1"/>
  <c r="M2076" i="1"/>
  <c r="N2099" i="1"/>
  <c r="M2077" i="1"/>
  <c r="N2100" i="1"/>
  <c r="M2078" i="1"/>
  <c r="N2101" i="1"/>
  <c r="M2079" i="1"/>
  <c r="N2102" i="1"/>
  <c r="M2080" i="1"/>
  <c r="N2103" i="1"/>
  <c r="M2081" i="1"/>
  <c r="N2104" i="1"/>
  <c r="M2082" i="1"/>
  <c r="N2105" i="1"/>
  <c r="M2083" i="1"/>
  <c r="N2106" i="1"/>
  <c r="M2084" i="1"/>
  <c r="N2107" i="1"/>
  <c r="M2085" i="1"/>
  <c r="N2108" i="1"/>
  <c r="M2086" i="1"/>
  <c r="N2109" i="1"/>
  <c r="M2087" i="1"/>
  <c r="N2110" i="1"/>
  <c r="M2088" i="1"/>
  <c r="N2111" i="1"/>
  <c r="M2089" i="1"/>
  <c r="N2112" i="1"/>
  <c r="M2090" i="1"/>
  <c r="N2113" i="1"/>
  <c r="M2091" i="1"/>
  <c r="N2114" i="1"/>
  <c r="M2092" i="1"/>
  <c r="N2115" i="1"/>
  <c r="M2093" i="1"/>
  <c r="N2116" i="1"/>
  <c r="M2094" i="1"/>
  <c r="N2117" i="1"/>
  <c r="M2095" i="1"/>
  <c r="N2118" i="1"/>
  <c r="M2096" i="1"/>
  <c r="N2119" i="1"/>
  <c r="M2097" i="1"/>
  <c r="N2120" i="1"/>
  <c r="M2098" i="1"/>
  <c r="N2121" i="1"/>
  <c r="M2099" i="1"/>
  <c r="N2122" i="1"/>
  <c r="M2100" i="1"/>
  <c r="N2123" i="1"/>
  <c r="M2101" i="1"/>
  <c r="N2124" i="1"/>
  <c r="M2102" i="1"/>
  <c r="N2125" i="1"/>
  <c r="M2103" i="1"/>
  <c r="N2126" i="1"/>
  <c r="M2104" i="1"/>
  <c r="N2127" i="1"/>
  <c r="M2105" i="1"/>
  <c r="N2128" i="1"/>
  <c r="M2106" i="1"/>
  <c r="N2129" i="1"/>
  <c r="M2107" i="1"/>
  <c r="N2130" i="1"/>
  <c r="M2108" i="1"/>
  <c r="N2131" i="1"/>
  <c r="M2109" i="1"/>
  <c r="N2132" i="1"/>
  <c r="M2110" i="1"/>
  <c r="N2133" i="1"/>
  <c r="M2111" i="1"/>
  <c r="N2134" i="1"/>
  <c r="M2112" i="1"/>
  <c r="N2135" i="1"/>
  <c r="M2113" i="1"/>
  <c r="N2136" i="1"/>
  <c r="M2114" i="1"/>
  <c r="N2137" i="1"/>
  <c r="M2115" i="1"/>
  <c r="N2138" i="1"/>
  <c r="M2116" i="1"/>
  <c r="N2139" i="1"/>
  <c r="M2117" i="1"/>
  <c r="N2140" i="1"/>
  <c r="M2118" i="1"/>
  <c r="N2141" i="1"/>
  <c r="M2119" i="1"/>
  <c r="N2142" i="1"/>
  <c r="M2120" i="1"/>
  <c r="N2143" i="1"/>
  <c r="M2121" i="1"/>
  <c r="N2144" i="1"/>
  <c r="M2122" i="1"/>
  <c r="N2145" i="1"/>
  <c r="M2123" i="1"/>
  <c r="N2146" i="1"/>
  <c r="M2124" i="1"/>
  <c r="N2147" i="1"/>
  <c r="M2125" i="1"/>
  <c r="N2148" i="1"/>
  <c r="M2126" i="1"/>
  <c r="N2149" i="1"/>
  <c r="M2127" i="1"/>
  <c r="N2150" i="1"/>
  <c r="M2128" i="1"/>
  <c r="N2151" i="1"/>
  <c r="M2129" i="1"/>
  <c r="N2152" i="1"/>
  <c r="M2130" i="1"/>
  <c r="N2153" i="1"/>
  <c r="M2131" i="1"/>
  <c r="N2154" i="1"/>
  <c r="M2132" i="1"/>
  <c r="N2155" i="1"/>
  <c r="M2133" i="1"/>
  <c r="N2156" i="1"/>
  <c r="M2134" i="1"/>
  <c r="N2157" i="1"/>
  <c r="M2135" i="1"/>
  <c r="N2158" i="1"/>
  <c r="M2136" i="1"/>
  <c r="N2159" i="1"/>
  <c r="M2137" i="1"/>
  <c r="N2160" i="1"/>
  <c r="M2138" i="1"/>
  <c r="N2161" i="1"/>
  <c r="M2139" i="1"/>
  <c r="N2162" i="1"/>
  <c r="M2140" i="1"/>
  <c r="N2163" i="1"/>
  <c r="M2141" i="1"/>
  <c r="N2164" i="1"/>
  <c r="M2142" i="1"/>
  <c r="N2165" i="1"/>
  <c r="M2143" i="1"/>
  <c r="N2166" i="1"/>
  <c r="M2144" i="1"/>
  <c r="N2167" i="1"/>
  <c r="M2145" i="1"/>
  <c r="N2168" i="1"/>
  <c r="M2146" i="1"/>
  <c r="N2169" i="1"/>
  <c r="M2147" i="1"/>
  <c r="N2170" i="1"/>
  <c r="M2148" i="1"/>
  <c r="N2171" i="1"/>
  <c r="M2149" i="1"/>
  <c r="N2172" i="1"/>
  <c r="M2150" i="1"/>
  <c r="N2173" i="1"/>
  <c r="M2151" i="1"/>
  <c r="N2174" i="1"/>
  <c r="M2152" i="1"/>
  <c r="N2175" i="1"/>
  <c r="M2153" i="1"/>
  <c r="N2176" i="1"/>
  <c r="M2154" i="1"/>
  <c r="N2177" i="1"/>
  <c r="M2155" i="1"/>
  <c r="N2178" i="1"/>
  <c r="M2156" i="1"/>
  <c r="N2179" i="1"/>
  <c r="M2157" i="1"/>
  <c r="N2180" i="1"/>
  <c r="M2158" i="1"/>
  <c r="N2181" i="1"/>
  <c r="M2159" i="1"/>
  <c r="N2182" i="1"/>
  <c r="M2160" i="1"/>
  <c r="N2183" i="1"/>
  <c r="M2161" i="1"/>
  <c r="N2184" i="1"/>
  <c r="M2162" i="1"/>
  <c r="N2185" i="1"/>
  <c r="M2163" i="1"/>
  <c r="N2186" i="1"/>
  <c r="M2164" i="1"/>
  <c r="N2187" i="1"/>
  <c r="M2165" i="1"/>
  <c r="N2188" i="1"/>
  <c r="M2166" i="1"/>
  <c r="N2189" i="1"/>
  <c r="M2167" i="1"/>
  <c r="N2190" i="1"/>
  <c r="M2168" i="1"/>
  <c r="N2191" i="1"/>
  <c r="M2169" i="1"/>
  <c r="N2192" i="1"/>
  <c r="M2170" i="1"/>
  <c r="N2193" i="1"/>
  <c r="M2171" i="1"/>
  <c r="N2194" i="1"/>
  <c r="M2172" i="1"/>
  <c r="N2195" i="1"/>
  <c r="M2173" i="1"/>
  <c r="N2196" i="1"/>
  <c r="M2174" i="1"/>
  <c r="N2197" i="1"/>
  <c r="M2175" i="1"/>
  <c r="N2198" i="1"/>
  <c r="M2176" i="1"/>
  <c r="N2199" i="1"/>
  <c r="M2177" i="1"/>
  <c r="N2200" i="1"/>
  <c r="M2178" i="1"/>
  <c r="N2201" i="1"/>
  <c r="M2179" i="1"/>
  <c r="N2202" i="1"/>
  <c r="M2180" i="1"/>
  <c r="N2203" i="1"/>
  <c r="M2181" i="1"/>
  <c r="N2204" i="1"/>
  <c r="M2182" i="1"/>
  <c r="N2205" i="1"/>
  <c r="M2183" i="1"/>
  <c r="N2206" i="1"/>
  <c r="M2184" i="1"/>
  <c r="N2207" i="1"/>
  <c r="M2185" i="1"/>
  <c r="N2208" i="1"/>
  <c r="M2186" i="1"/>
  <c r="N2209" i="1"/>
  <c r="M2187" i="1"/>
  <c r="N2210" i="1"/>
  <c r="M2188" i="1"/>
  <c r="N2211" i="1"/>
  <c r="M2189" i="1"/>
  <c r="N2212" i="1"/>
  <c r="M2190" i="1"/>
  <c r="N2213" i="1"/>
  <c r="M2191" i="1"/>
  <c r="N2214" i="1"/>
  <c r="M2192" i="1"/>
  <c r="N2215" i="1"/>
  <c r="M2193" i="1"/>
  <c r="N2216" i="1"/>
  <c r="M2194" i="1"/>
  <c r="N2217" i="1"/>
  <c r="M2195" i="1"/>
  <c r="N2218" i="1"/>
  <c r="M2196" i="1"/>
  <c r="N2219" i="1"/>
  <c r="M2197" i="1"/>
  <c r="N2220" i="1"/>
  <c r="M2198" i="1"/>
  <c r="N2221" i="1"/>
  <c r="M2199" i="1"/>
  <c r="N2222" i="1"/>
  <c r="M2200" i="1"/>
  <c r="N2223" i="1"/>
  <c r="M2201" i="1"/>
  <c r="N2224" i="1"/>
  <c r="M2202" i="1"/>
  <c r="N2225" i="1"/>
  <c r="M2203" i="1"/>
  <c r="N2226" i="1"/>
  <c r="M2204" i="1"/>
  <c r="N2227" i="1"/>
  <c r="M2205" i="1"/>
  <c r="N2228" i="1"/>
  <c r="M2206" i="1"/>
  <c r="N2229" i="1"/>
  <c r="M2207" i="1"/>
  <c r="N2230" i="1"/>
  <c r="M2208" i="1"/>
  <c r="N2231" i="1"/>
  <c r="M2209" i="1"/>
  <c r="N2232" i="1"/>
  <c r="M2210" i="1"/>
  <c r="N2233" i="1"/>
  <c r="M2211" i="1"/>
  <c r="N2234" i="1"/>
  <c r="M2212" i="1"/>
  <c r="N2235" i="1"/>
  <c r="M2213" i="1"/>
  <c r="N2236" i="1"/>
  <c r="M2214" i="1"/>
  <c r="N2237" i="1"/>
  <c r="M2215" i="1"/>
  <c r="N2238" i="1"/>
  <c r="M2216" i="1"/>
  <c r="N2239" i="1"/>
  <c r="M2217" i="1"/>
  <c r="N2240" i="1"/>
  <c r="M2218" i="1"/>
  <c r="N2241" i="1"/>
  <c r="M2219" i="1"/>
  <c r="N2242" i="1"/>
  <c r="M2220" i="1"/>
  <c r="N2243" i="1"/>
  <c r="M2221" i="1"/>
  <c r="N2244" i="1"/>
  <c r="M2222" i="1"/>
  <c r="N2245" i="1"/>
  <c r="M2223" i="1"/>
  <c r="N2246" i="1"/>
  <c r="M2224" i="1"/>
  <c r="N2247" i="1"/>
  <c r="M2225" i="1"/>
  <c r="N2248" i="1"/>
  <c r="M2226" i="1"/>
  <c r="N2249" i="1"/>
  <c r="M2227" i="1"/>
  <c r="N2250" i="1"/>
  <c r="M2228" i="1"/>
  <c r="N2251" i="1"/>
  <c r="M2229" i="1"/>
  <c r="N2252" i="1"/>
  <c r="M2230" i="1"/>
  <c r="N2253" i="1"/>
  <c r="M2231" i="1"/>
  <c r="N2254" i="1"/>
  <c r="M2232" i="1"/>
  <c r="N2255" i="1"/>
  <c r="M2233" i="1"/>
  <c r="N2256" i="1"/>
  <c r="M2234" i="1"/>
  <c r="N2257" i="1"/>
  <c r="M2235" i="1"/>
  <c r="N2258" i="1"/>
  <c r="M2236" i="1"/>
  <c r="N2259" i="1"/>
  <c r="M2237" i="1"/>
  <c r="N2260" i="1"/>
  <c r="M2238" i="1"/>
  <c r="N2261" i="1"/>
  <c r="M2239" i="1"/>
  <c r="N2262" i="1"/>
  <c r="M2240" i="1"/>
  <c r="N2263" i="1"/>
  <c r="M2241" i="1"/>
  <c r="N2264" i="1"/>
  <c r="M2242" i="1"/>
  <c r="N2265" i="1"/>
  <c r="M2243" i="1"/>
  <c r="N2266" i="1"/>
  <c r="M2244" i="1"/>
  <c r="N2267" i="1"/>
  <c r="M2245" i="1"/>
  <c r="N2268" i="1"/>
  <c r="M2246" i="1"/>
  <c r="N2269" i="1"/>
  <c r="M2247" i="1"/>
  <c r="N2270" i="1"/>
  <c r="M2248" i="1"/>
  <c r="N2271" i="1"/>
  <c r="M2249" i="1"/>
  <c r="N2272" i="1"/>
  <c r="M2250" i="1"/>
  <c r="N2273" i="1"/>
  <c r="M2251" i="1"/>
  <c r="N2274" i="1"/>
  <c r="M2252" i="1"/>
  <c r="N2275" i="1"/>
  <c r="M2253" i="1"/>
  <c r="N2276" i="1"/>
  <c r="M2254" i="1"/>
  <c r="N2277" i="1"/>
  <c r="M2255" i="1"/>
  <c r="N2278" i="1"/>
  <c r="M2256" i="1"/>
  <c r="N2279" i="1"/>
  <c r="M2257" i="1"/>
  <c r="N2280" i="1"/>
  <c r="M2258" i="1"/>
  <c r="N2281" i="1"/>
  <c r="M2259" i="1"/>
  <c r="N2282" i="1"/>
  <c r="M2260" i="1"/>
  <c r="N2283" i="1"/>
  <c r="M2261" i="1"/>
  <c r="N2284" i="1"/>
  <c r="M2262" i="1"/>
  <c r="N2285" i="1"/>
  <c r="M2263" i="1"/>
  <c r="N2286" i="1"/>
  <c r="M2264" i="1"/>
  <c r="N2287" i="1"/>
  <c r="M2265" i="1"/>
  <c r="N2288" i="1"/>
  <c r="M2266" i="1"/>
  <c r="N2289" i="1"/>
  <c r="M2267" i="1"/>
  <c r="N2290" i="1"/>
  <c r="M2268" i="1"/>
  <c r="N2291" i="1"/>
  <c r="M2269" i="1"/>
  <c r="N2292" i="1"/>
  <c r="M2270" i="1"/>
  <c r="N2293" i="1"/>
  <c r="M2271" i="1"/>
  <c r="N2294" i="1"/>
  <c r="M2272" i="1"/>
  <c r="N2295" i="1"/>
  <c r="M2273" i="1"/>
  <c r="N2296" i="1"/>
  <c r="M2274" i="1"/>
  <c r="N2297" i="1"/>
  <c r="M2275" i="1"/>
  <c r="N2298" i="1"/>
  <c r="M2276" i="1"/>
  <c r="N2299" i="1"/>
  <c r="M2277" i="1"/>
  <c r="N2300" i="1"/>
  <c r="M2278" i="1"/>
  <c r="N2301" i="1"/>
  <c r="M2279" i="1"/>
  <c r="N2302" i="1"/>
  <c r="M2280" i="1"/>
  <c r="N2303" i="1"/>
  <c r="M2281" i="1"/>
  <c r="N2304" i="1"/>
  <c r="M2282" i="1"/>
  <c r="N2305" i="1"/>
  <c r="M2283" i="1"/>
  <c r="N2306" i="1"/>
  <c r="M2284" i="1"/>
  <c r="N2307" i="1"/>
  <c r="M2285" i="1"/>
  <c r="N2308" i="1"/>
  <c r="M2286" i="1"/>
  <c r="N2309" i="1"/>
  <c r="M2287" i="1"/>
  <c r="N2310" i="1"/>
  <c r="M2288" i="1"/>
  <c r="N2311" i="1"/>
  <c r="M2289" i="1"/>
  <c r="N2312" i="1"/>
  <c r="M2290" i="1"/>
  <c r="N2313" i="1"/>
  <c r="M2291" i="1"/>
  <c r="N2314" i="1"/>
  <c r="M2292" i="1"/>
  <c r="N2315" i="1"/>
  <c r="M2293" i="1"/>
  <c r="N2316" i="1"/>
  <c r="M2294" i="1"/>
  <c r="N2317" i="1"/>
  <c r="M2295" i="1"/>
  <c r="N2318" i="1"/>
  <c r="M2296" i="1"/>
  <c r="N2319" i="1"/>
  <c r="M2297" i="1"/>
  <c r="N2320" i="1"/>
  <c r="M2298" i="1"/>
  <c r="N2321" i="1"/>
  <c r="M2299" i="1"/>
  <c r="N2322" i="1"/>
  <c r="M2300" i="1"/>
  <c r="N2323" i="1"/>
  <c r="M2301" i="1"/>
  <c r="N2324" i="1"/>
  <c r="M2302" i="1"/>
  <c r="N2325" i="1"/>
  <c r="M2303" i="1"/>
  <c r="N2326" i="1"/>
  <c r="M2304" i="1"/>
  <c r="N2327" i="1"/>
  <c r="M2305" i="1"/>
  <c r="N2328" i="1"/>
  <c r="M2306" i="1"/>
  <c r="N2329" i="1"/>
  <c r="M2307" i="1"/>
  <c r="N2330" i="1"/>
  <c r="M2308" i="1"/>
  <c r="N2331" i="1"/>
  <c r="M2309" i="1"/>
  <c r="N2332" i="1"/>
  <c r="M2310" i="1"/>
  <c r="N2333" i="1"/>
  <c r="M2311" i="1"/>
  <c r="N2334" i="1"/>
  <c r="M2312" i="1"/>
  <c r="N2335" i="1"/>
  <c r="M2313" i="1"/>
  <c r="N2336" i="1"/>
  <c r="M2314" i="1"/>
  <c r="N2337" i="1"/>
  <c r="M2315" i="1"/>
  <c r="N2338" i="1"/>
  <c r="M2316" i="1"/>
  <c r="N2339" i="1"/>
  <c r="M2317" i="1"/>
  <c r="N2340" i="1"/>
  <c r="M2318" i="1"/>
  <c r="N2341" i="1"/>
  <c r="M2319" i="1"/>
  <c r="N2342" i="1"/>
  <c r="M2320" i="1"/>
  <c r="N2343" i="1"/>
  <c r="M2321" i="1"/>
  <c r="N2344" i="1"/>
  <c r="M2322" i="1"/>
  <c r="N2345" i="1"/>
  <c r="M2323" i="1"/>
  <c r="N2346" i="1"/>
  <c r="M2324" i="1"/>
  <c r="N2347" i="1"/>
  <c r="M2325" i="1"/>
  <c r="N2348" i="1"/>
  <c r="M2326" i="1"/>
  <c r="N2349" i="1"/>
  <c r="M2327" i="1"/>
  <c r="N2350" i="1"/>
  <c r="M2328" i="1"/>
  <c r="N2351" i="1"/>
  <c r="M2329" i="1"/>
  <c r="N2352" i="1"/>
  <c r="M2330" i="1"/>
  <c r="N2353" i="1"/>
  <c r="M2331" i="1"/>
  <c r="N2354" i="1"/>
  <c r="M2332" i="1"/>
  <c r="N2355" i="1"/>
  <c r="M2333" i="1"/>
  <c r="N2356" i="1"/>
  <c r="M2334" i="1"/>
  <c r="N2357" i="1"/>
  <c r="M2335" i="1"/>
  <c r="N2358" i="1"/>
  <c r="M2336" i="1"/>
  <c r="N2359" i="1"/>
  <c r="M2337" i="1"/>
  <c r="N2360" i="1"/>
  <c r="M2338" i="1"/>
  <c r="N2361" i="1"/>
  <c r="M2339" i="1"/>
  <c r="N2362" i="1"/>
  <c r="M2340" i="1"/>
  <c r="N2363" i="1"/>
  <c r="M2341" i="1"/>
  <c r="N2364" i="1"/>
  <c r="M2342" i="1"/>
  <c r="N2365" i="1"/>
  <c r="M2343" i="1"/>
  <c r="N2366" i="1"/>
  <c r="M2344" i="1"/>
  <c r="N2367" i="1"/>
  <c r="M2345" i="1"/>
  <c r="N2368" i="1"/>
  <c r="M2346" i="1"/>
  <c r="N2369" i="1"/>
  <c r="M2347" i="1"/>
  <c r="N2370" i="1"/>
  <c r="M2348" i="1"/>
  <c r="N2371" i="1"/>
  <c r="M2349" i="1"/>
  <c r="N2372" i="1"/>
  <c r="M2350" i="1"/>
  <c r="N2373" i="1"/>
  <c r="M2351" i="1"/>
  <c r="N2374" i="1"/>
  <c r="M2352" i="1"/>
  <c r="N2375" i="1"/>
  <c r="M2353" i="1"/>
  <c r="N2376" i="1"/>
  <c r="M2354" i="1"/>
  <c r="N2377" i="1"/>
  <c r="M2355" i="1"/>
  <c r="N2378" i="1"/>
  <c r="M2356" i="1"/>
  <c r="N2379" i="1"/>
  <c r="M2357" i="1"/>
  <c r="N2380" i="1"/>
  <c r="M2358" i="1"/>
  <c r="N2381" i="1"/>
  <c r="M2359" i="1"/>
  <c r="N2382" i="1"/>
  <c r="M2360" i="1"/>
  <c r="N2383" i="1"/>
  <c r="M2361" i="1"/>
  <c r="N2384" i="1"/>
  <c r="M2362" i="1"/>
  <c r="N2385" i="1"/>
  <c r="M2363" i="1"/>
  <c r="N2386" i="1"/>
  <c r="M2364" i="1"/>
  <c r="N2387" i="1"/>
  <c r="M2365" i="1"/>
  <c r="N2388" i="1"/>
  <c r="M2366" i="1"/>
  <c r="N2389" i="1"/>
  <c r="M2367" i="1"/>
  <c r="N2390" i="1"/>
  <c r="M2368" i="1"/>
  <c r="N2391" i="1"/>
  <c r="M2369" i="1"/>
  <c r="N2392" i="1"/>
  <c r="M2370" i="1"/>
  <c r="N2393" i="1"/>
  <c r="M2371" i="1"/>
  <c r="N2394" i="1"/>
  <c r="M2372" i="1"/>
  <c r="N2395" i="1"/>
  <c r="M2373" i="1"/>
  <c r="N2396" i="1"/>
  <c r="M2374" i="1"/>
  <c r="N2397" i="1"/>
  <c r="M2375" i="1"/>
  <c r="N2398" i="1"/>
  <c r="M2376" i="1"/>
  <c r="N2399" i="1"/>
  <c r="M2377" i="1"/>
  <c r="N2400" i="1"/>
  <c r="M2378" i="1"/>
  <c r="N2401" i="1"/>
  <c r="M2379" i="1"/>
  <c r="N2402" i="1"/>
  <c r="M2380" i="1"/>
  <c r="N2403" i="1"/>
  <c r="M2381" i="1"/>
  <c r="N2404" i="1"/>
  <c r="M2382" i="1"/>
  <c r="N2405" i="1"/>
  <c r="M2383" i="1"/>
  <c r="N2406" i="1"/>
  <c r="M2384" i="1"/>
  <c r="N2407" i="1"/>
  <c r="M2385" i="1"/>
  <c r="N2408" i="1"/>
  <c r="M2386" i="1"/>
  <c r="N2409" i="1"/>
  <c r="M2387" i="1"/>
  <c r="N2410" i="1"/>
  <c r="M2388" i="1"/>
  <c r="N2411" i="1"/>
  <c r="M2389" i="1"/>
  <c r="N2412" i="1"/>
  <c r="M2390" i="1"/>
  <c r="N2413" i="1"/>
  <c r="M2391" i="1"/>
  <c r="N2414" i="1"/>
  <c r="M2392" i="1"/>
  <c r="N2415" i="1"/>
  <c r="M2393" i="1"/>
  <c r="N2416" i="1"/>
  <c r="M2394" i="1"/>
  <c r="N2417" i="1"/>
  <c r="M2395" i="1"/>
  <c r="N2418" i="1"/>
  <c r="M2396" i="1"/>
  <c r="N2419" i="1"/>
  <c r="M2397" i="1"/>
  <c r="N2420" i="1"/>
  <c r="M2398" i="1"/>
  <c r="N2421" i="1"/>
  <c r="M2399" i="1"/>
  <c r="N2422" i="1"/>
  <c r="M2400" i="1"/>
  <c r="N2423" i="1"/>
  <c r="M2401" i="1"/>
  <c r="N2424" i="1"/>
  <c r="M2402" i="1"/>
  <c r="N2425" i="1"/>
  <c r="M2403" i="1"/>
  <c r="N2426" i="1"/>
  <c r="M2404" i="1"/>
  <c r="N2427" i="1"/>
  <c r="M2405" i="1"/>
  <c r="N2428" i="1"/>
  <c r="M2406" i="1"/>
  <c r="N2429" i="1"/>
  <c r="M2407" i="1"/>
  <c r="N2430" i="1"/>
  <c r="M2408" i="1"/>
  <c r="N2431" i="1"/>
  <c r="M2409" i="1"/>
  <c r="N2432" i="1"/>
  <c r="M2410" i="1"/>
  <c r="N2433" i="1"/>
  <c r="M2411" i="1"/>
  <c r="N2434" i="1"/>
  <c r="M2412" i="1"/>
  <c r="N2435" i="1"/>
  <c r="M2413" i="1"/>
  <c r="N2436" i="1"/>
  <c r="M2414" i="1"/>
  <c r="N2437" i="1"/>
  <c r="M2415" i="1"/>
  <c r="N2438" i="1"/>
  <c r="M2416" i="1"/>
  <c r="N2439" i="1"/>
  <c r="M2417" i="1"/>
  <c r="N2440" i="1"/>
  <c r="M2418" i="1"/>
  <c r="N2441" i="1"/>
  <c r="M2419" i="1"/>
  <c r="N2442" i="1"/>
  <c r="M2420" i="1"/>
  <c r="N2443" i="1"/>
  <c r="M2421" i="1"/>
  <c r="N2444" i="1"/>
  <c r="M2422" i="1"/>
  <c r="N2445" i="1"/>
  <c r="M2423" i="1"/>
  <c r="N2446" i="1"/>
  <c r="M2424" i="1"/>
  <c r="N2447" i="1"/>
  <c r="M2425" i="1"/>
  <c r="N2448" i="1"/>
  <c r="M2426" i="1"/>
  <c r="N2449" i="1"/>
  <c r="M2427" i="1"/>
  <c r="N2450" i="1"/>
  <c r="M2428" i="1"/>
  <c r="N2451" i="1"/>
  <c r="M2429" i="1"/>
  <c r="N2452" i="1"/>
  <c r="M2430" i="1"/>
  <c r="N2453" i="1"/>
  <c r="M2431" i="1"/>
  <c r="N2454" i="1"/>
  <c r="M2432" i="1"/>
  <c r="N2455" i="1"/>
  <c r="M2433" i="1"/>
  <c r="N2456" i="1"/>
  <c r="M2434" i="1"/>
  <c r="N2457" i="1"/>
  <c r="M2435" i="1"/>
  <c r="N2458" i="1"/>
  <c r="M2436" i="1"/>
  <c r="N2459" i="1"/>
  <c r="M2437" i="1"/>
  <c r="N2460" i="1"/>
  <c r="M2438" i="1"/>
  <c r="N2461" i="1"/>
  <c r="M2439" i="1"/>
  <c r="N2462" i="1"/>
  <c r="M2440" i="1"/>
  <c r="N2463" i="1"/>
  <c r="M2441" i="1"/>
  <c r="N2464" i="1"/>
  <c r="M2442" i="1"/>
  <c r="N2465" i="1"/>
  <c r="M2443" i="1"/>
  <c r="N2466" i="1"/>
  <c r="M2444" i="1"/>
  <c r="N2467" i="1"/>
  <c r="M2445" i="1"/>
  <c r="N2468" i="1"/>
  <c r="M2446" i="1"/>
  <c r="N2469" i="1"/>
  <c r="M2447" i="1"/>
  <c r="N2470" i="1"/>
  <c r="M2448" i="1"/>
  <c r="N2471" i="1"/>
  <c r="M2449" i="1"/>
  <c r="N2472" i="1"/>
  <c r="M2450" i="1"/>
  <c r="N2473" i="1"/>
  <c r="M2451" i="1"/>
  <c r="N2474" i="1"/>
  <c r="M2452" i="1"/>
  <c r="N2475" i="1"/>
  <c r="M2453" i="1"/>
  <c r="N2476" i="1"/>
  <c r="M2454" i="1"/>
  <c r="N2477" i="1"/>
  <c r="M2455" i="1"/>
  <c r="N2478" i="1"/>
  <c r="M2456" i="1"/>
  <c r="N2479" i="1"/>
  <c r="M2457" i="1"/>
  <c r="N2480" i="1"/>
  <c r="M2458" i="1"/>
  <c r="N2481" i="1"/>
  <c r="M2459" i="1"/>
  <c r="N2482" i="1"/>
  <c r="M2460" i="1"/>
  <c r="N2483" i="1"/>
  <c r="M2461" i="1"/>
  <c r="N2484" i="1"/>
  <c r="M2462" i="1"/>
  <c r="N2485" i="1"/>
  <c r="M2463" i="1"/>
  <c r="N2486" i="1"/>
  <c r="M2464" i="1"/>
  <c r="N2487" i="1"/>
  <c r="M2465" i="1"/>
  <c r="N2488" i="1"/>
  <c r="M2466" i="1"/>
  <c r="N2489" i="1"/>
  <c r="M2467" i="1"/>
  <c r="N2490" i="1"/>
  <c r="M2468" i="1"/>
  <c r="N2491" i="1"/>
  <c r="M2469" i="1"/>
  <c r="N2492" i="1"/>
  <c r="M2470" i="1"/>
  <c r="N2493" i="1"/>
  <c r="M2471" i="1"/>
  <c r="N2494" i="1"/>
  <c r="M2472" i="1"/>
  <c r="N2495" i="1"/>
  <c r="M2473" i="1"/>
  <c r="N2496" i="1"/>
  <c r="M2474" i="1"/>
  <c r="N2497" i="1"/>
  <c r="M2475" i="1"/>
  <c r="N2498" i="1"/>
  <c r="M2476" i="1"/>
  <c r="N2499" i="1"/>
  <c r="M2477" i="1"/>
  <c r="N2500" i="1"/>
  <c r="M2478" i="1"/>
  <c r="N2501" i="1"/>
  <c r="M2479" i="1"/>
  <c r="N2502" i="1"/>
  <c r="M2480" i="1"/>
  <c r="N2503" i="1"/>
  <c r="M2481" i="1"/>
  <c r="N2504" i="1"/>
  <c r="M2482" i="1"/>
  <c r="N2505" i="1"/>
  <c r="M2483" i="1"/>
  <c r="N2506" i="1"/>
  <c r="M2484" i="1"/>
  <c r="N2507" i="1"/>
  <c r="M2485" i="1"/>
  <c r="N2508" i="1"/>
  <c r="M2486" i="1"/>
  <c r="N2509" i="1"/>
  <c r="M2487" i="1"/>
  <c r="N2510" i="1"/>
  <c r="M2488" i="1"/>
  <c r="N2511" i="1"/>
  <c r="M2489" i="1"/>
  <c r="N2512" i="1"/>
  <c r="M2490" i="1"/>
  <c r="N2513" i="1"/>
  <c r="M2491" i="1"/>
  <c r="N2514" i="1"/>
  <c r="M2492" i="1"/>
  <c r="N2515" i="1"/>
  <c r="M2493" i="1"/>
  <c r="N2516" i="1"/>
  <c r="M2494" i="1"/>
  <c r="N2517" i="1"/>
  <c r="M2495" i="1"/>
  <c r="N2518" i="1"/>
  <c r="M2496" i="1"/>
  <c r="N2519" i="1"/>
  <c r="M2497" i="1"/>
  <c r="N2520" i="1"/>
  <c r="M2498" i="1"/>
  <c r="N2521" i="1"/>
  <c r="M2499" i="1"/>
  <c r="N2522" i="1"/>
  <c r="M2500" i="1"/>
  <c r="N2523" i="1"/>
  <c r="M2501" i="1"/>
  <c r="N2524" i="1"/>
  <c r="M2502" i="1"/>
  <c r="N2525" i="1"/>
  <c r="M2503" i="1"/>
  <c r="N2526" i="1"/>
  <c r="M2504" i="1"/>
  <c r="N2527" i="1"/>
  <c r="M2505" i="1"/>
  <c r="N2528" i="1"/>
  <c r="M2506" i="1"/>
  <c r="N2529" i="1"/>
  <c r="M2507" i="1"/>
  <c r="N2530" i="1"/>
  <c r="M2508" i="1"/>
  <c r="N2531" i="1"/>
  <c r="M2509" i="1"/>
  <c r="N2532" i="1"/>
  <c r="M2510" i="1"/>
  <c r="N2533" i="1"/>
  <c r="M2511" i="1"/>
  <c r="N2534" i="1"/>
  <c r="M2512" i="1"/>
  <c r="N2535" i="1"/>
  <c r="M2513" i="1"/>
  <c r="N2536" i="1"/>
  <c r="M2514" i="1"/>
  <c r="N2537" i="1"/>
  <c r="M2515" i="1"/>
  <c r="N2538" i="1"/>
  <c r="M2516" i="1"/>
  <c r="N2539" i="1"/>
  <c r="M2517" i="1"/>
  <c r="N2540" i="1"/>
  <c r="M2518" i="1"/>
  <c r="N2541" i="1"/>
  <c r="M2519" i="1"/>
  <c r="N2542" i="1"/>
  <c r="M2520" i="1"/>
  <c r="N2543" i="1"/>
  <c r="M2521" i="1"/>
  <c r="N2544" i="1"/>
  <c r="M2522" i="1"/>
  <c r="N2545" i="1"/>
  <c r="M2523" i="1"/>
  <c r="N2546" i="1"/>
  <c r="M2524" i="1"/>
  <c r="N2547" i="1"/>
  <c r="M2525" i="1"/>
  <c r="N2548" i="1"/>
  <c r="M2526" i="1"/>
  <c r="N2549" i="1"/>
  <c r="M2527" i="1"/>
  <c r="N2550" i="1"/>
  <c r="M2528" i="1"/>
  <c r="N2551" i="1"/>
  <c r="M2529" i="1"/>
  <c r="N2552" i="1"/>
  <c r="M2530" i="1"/>
  <c r="N2553" i="1"/>
  <c r="M2531" i="1"/>
  <c r="N2554" i="1"/>
  <c r="M2532" i="1"/>
  <c r="N2555" i="1"/>
  <c r="M2533" i="1"/>
  <c r="N2556" i="1"/>
  <c r="M2534" i="1"/>
  <c r="N2557" i="1"/>
  <c r="M2535" i="1"/>
  <c r="N2558" i="1"/>
  <c r="M2536" i="1"/>
  <c r="N2559" i="1"/>
  <c r="M2537" i="1"/>
  <c r="N2560" i="1"/>
  <c r="M2538" i="1"/>
  <c r="N2561" i="1"/>
  <c r="M2539" i="1"/>
  <c r="N2562" i="1"/>
  <c r="M2540" i="1"/>
  <c r="N2563" i="1"/>
  <c r="M2541" i="1"/>
  <c r="N2564" i="1"/>
  <c r="M2542" i="1"/>
  <c r="N2565" i="1"/>
  <c r="M2543" i="1"/>
  <c r="N2566" i="1"/>
  <c r="M2544" i="1"/>
  <c r="N2567" i="1"/>
  <c r="M2545" i="1"/>
  <c r="N2568" i="1"/>
  <c r="M2546" i="1"/>
  <c r="N2569" i="1"/>
  <c r="M2547" i="1"/>
  <c r="N2570" i="1"/>
  <c r="M2548" i="1"/>
  <c r="N2571" i="1"/>
  <c r="M2549" i="1"/>
  <c r="N2572" i="1"/>
  <c r="M2550" i="1"/>
  <c r="N2573" i="1"/>
  <c r="M2551" i="1"/>
  <c r="N2574" i="1"/>
  <c r="M2552" i="1"/>
  <c r="N2575" i="1"/>
  <c r="M2553" i="1"/>
  <c r="N2576" i="1"/>
  <c r="M2554" i="1"/>
  <c r="N2577" i="1"/>
  <c r="M2555" i="1"/>
  <c r="N2578" i="1"/>
  <c r="M2556" i="1"/>
  <c r="N2579" i="1"/>
  <c r="M2557" i="1"/>
  <c r="N2580" i="1"/>
  <c r="M2558" i="1"/>
  <c r="N2581" i="1"/>
  <c r="M2559" i="1"/>
  <c r="N2582" i="1"/>
  <c r="M2560" i="1"/>
  <c r="N2583" i="1"/>
  <c r="M2561" i="1"/>
  <c r="N2584" i="1"/>
  <c r="M2562" i="1"/>
  <c r="N2585" i="1"/>
  <c r="M2563" i="1"/>
  <c r="N2586" i="1"/>
  <c r="M2564" i="1"/>
  <c r="N2587" i="1"/>
  <c r="M2565" i="1"/>
  <c r="N2588" i="1"/>
  <c r="M2566" i="1"/>
  <c r="N2589" i="1"/>
  <c r="M2567" i="1"/>
  <c r="N2590" i="1"/>
  <c r="M2568" i="1"/>
  <c r="N2591" i="1"/>
  <c r="M2569" i="1"/>
  <c r="N2592" i="1"/>
  <c r="M2570" i="1"/>
  <c r="N2593" i="1"/>
  <c r="M2571" i="1"/>
  <c r="N2594" i="1"/>
  <c r="M2572" i="1"/>
  <c r="N2595" i="1"/>
  <c r="M2573" i="1"/>
  <c r="N2596" i="1"/>
  <c r="M2574" i="1"/>
  <c r="N2597" i="1"/>
  <c r="M2575" i="1"/>
  <c r="N2598" i="1"/>
  <c r="M2576" i="1"/>
  <c r="N2599" i="1"/>
  <c r="M2577" i="1"/>
  <c r="N2600" i="1"/>
  <c r="M2578" i="1"/>
  <c r="N2601" i="1"/>
  <c r="M2579" i="1"/>
  <c r="N2602" i="1"/>
  <c r="M2580" i="1"/>
  <c r="N2603" i="1"/>
  <c r="M9" i="1"/>
  <c r="N32" i="1"/>
  <c r="M91" i="1"/>
  <c r="M90" i="1"/>
  <c r="M89" i="1"/>
  <c r="M88" i="1"/>
  <c r="M87" i="1"/>
  <c r="M86" i="1"/>
  <c r="M8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</calcChain>
</file>

<file path=xl/sharedStrings.xml><?xml version="1.0" encoding="utf-8"?>
<sst xmlns="http://schemas.openxmlformats.org/spreadsheetml/2006/main" count="2624" uniqueCount="2622">
  <si>
    <t>Date</t>
  </si>
  <si>
    <t>Price</t>
  </si>
  <si>
    <t>113,596.87</t>
  </si>
  <si>
    <t>114,006.15</t>
  </si>
  <si>
    <t>112,032.26</t>
  </si>
  <si>
    <t>114,632.29</t>
  </si>
  <si>
    <t>115,096.47</t>
  </si>
  <si>
    <t>115,426.89</t>
  </si>
  <si>
    <t>115,818.32</t>
  </si>
  <si>
    <t>115,994.17</t>
  </si>
  <si>
    <t>113,215.96</t>
  </si>
  <si>
    <t>114,052.91</t>
  </si>
  <si>
    <t>114,634.05</t>
  </si>
  <si>
    <t>113,654.22</t>
  </si>
  <si>
    <t>114,913.20</t>
  </si>
  <si>
    <t>114,544.37</t>
  </si>
  <si>
    <t>117,362.40</t>
  </si>
  <si>
    <t>117,380.17</t>
  </si>
  <si>
    <t>116,762.58</t>
  </si>
  <si>
    <t>118,443.05</t>
  </si>
  <si>
    <t>117,888.93</t>
  </si>
  <si>
    <t>119,153.90</t>
  </si>
  <si>
    <t>119,165.54</t>
  </si>
  <si>
    <t>115,017.05</t>
  </si>
  <si>
    <t>114,660.79</t>
  </si>
  <si>
    <t>115,180.53</t>
  </si>
  <si>
    <t>113,865.92</t>
  </si>
  <si>
    <t>114,400.33</t>
  </si>
  <si>
    <t>116,565.97</t>
  </si>
  <si>
    <t>116,449.09</t>
  </si>
  <si>
    <t>118,068.33</t>
  </si>
  <si>
    <t>118,412.24</t>
  </si>
  <si>
    <t>120,005.25</t>
  </si>
  <si>
    <t>121,249.37</t>
  </si>
  <si>
    <t>118,718.54</t>
  </si>
  <si>
    <t>119,353.22</t>
  </si>
  <si>
    <t>119,795.83</t>
  </si>
  <si>
    <t>118,486.97</t>
  </si>
  <si>
    <t>119,025.13</t>
  </si>
  <si>
    <t>118,205.04</t>
  </si>
  <si>
    <t>119,524.15</t>
  </si>
  <si>
    <t>114,967.70</t>
  </si>
  <si>
    <t>116,122.75</t>
  </si>
  <si>
    <t>116,600.36</t>
  </si>
  <si>
    <t>114,067.56</t>
  </si>
  <si>
    <t>112,418.36</t>
  </si>
  <si>
    <t>111,777.98</t>
  </si>
  <si>
    <t>112,847.23</t>
  </si>
  <si>
    <t>114,312.68</t>
  </si>
  <si>
    <t>110,804.74</t>
  </si>
  <si>
    <t>110,460.06</t>
  </si>
  <si>
    <t>110,070.23</t>
  </si>
  <si>
    <t>110,572.12</t>
  </si>
  <si>
    <t>113,709.76</t>
  </si>
  <si>
    <t>117,252.45</t>
  </si>
  <si>
    <t>116,562.25</t>
  </si>
  <si>
    <t>114,924.21</t>
  </si>
  <si>
    <t>116,948.44</t>
  </si>
  <si>
    <t>117,398.52</t>
  </si>
  <si>
    <t>119,606.91</t>
  </si>
  <si>
    <t>116,785.77</t>
  </si>
  <si>
    <t>116,583.41</t>
  </si>
  <si>
    <t>120,167.42</t>
  </si>
  <si>
    <t>121,114.33</t>
  </si>
  <si>
    <t>119,962.82</t>
  </si>
  <si>
    <t>126,991.00</t>
  </si>
  <si>
    <t>128,455.68</t>
  </si>
  <si>
    <t>126,583.84</t>
  </si>
  <si>
    <t>126,742.36</t>
  </si>
  <si>
    <t>125,162.06</t>
  </si>
  <si>
    <t>125,052.11</t>
  </si>
  <si>
    <t>123,022.03</t>
  </si>
  <si>
    <t>121,844.58</t>
  </si>
  <si>
    <t>122,517.32</t>
  </si>
  <si>
    <t>119,410.04</t>
  </si>
  <si>
    <t>120,988.65</t>
  </si>
  <si>
    <t>120,584.07</t>
  </si>
  <si>
    <t>122,213.40</t>
  </si>
  <si>
    <t>121,752.86</t>
  </si>
  <si>
    <t>120,886.62</t>
  </si>
  <si>
    <t>120,276.83</t>
  </si>
  <si>
    <t>120,051.24</t>
  </si>
  <si>
    <t>118,539.92</t>
  </si>
  <si>
    <t>120,813.77</t>
  </si>
  <si>
    <t>120,516.30</t>
  </si>
  <si>
    <t>118,902.86</t>
  </si>
  <si>
    <t>120,045.73</t>
  </si>
  <si>
    <t>125,249.08</t>
  </si>
  <si>
    <t>125,069.19</t>
  </si>
  <si>
    <t>123,419.62</t>
  </si>
  <si>
    <t>124,563.48</t>
  </si>
  <si>
    <t>122,281.28</t>
  </si>
  <si>
    <t>121,501.68</t>
  </si>
  <si>
    <t>120,780.97</t>
  </si>
  <si>
    <t>120,534.40</t>
  </si>
  <si>
    <t>120,116.38</t>
  </si>
  <si>
    <t>120,169.74</t>
  </si>
  <si>
    <t>120,870.11</t>
  </si>
  <si>
    <t>120,856.82</t>
  </si>
  <si>
    <t>120,964.38</t>
  </si>
  <si>
    <t>120,148.14</t>
  </si>
  <si>
    <t>118,110.22</t>
  </si>
  <si>
    <t>116,989.26</t>
  </si>
  <si>
    <t>117,922.55</t>
  </si>
  <si>
    <t>118,722.83</t>
  </si>
  <si>
    <t>116,582.66</t>
  </si>
  <si>
    <t>116,091.98</t>
  </si>
  <si>
    <t>115,832.28</t>
  </si>
  <si>
    <t>116,501.18</t>
  </si>
  <si>
    <t>116,047.93</t>
  </si>
  <si>
    <t>117,085.45</t>
  </si>
  <si>
    <t>116,602.49</t>
  </si>
  <si>
    <t>115,909.65</t>
  </si>
  <si>
    <t>114,849.89</t>
  </si>
  <si>
    <t>114,515.83</t>
  </si>
  <si>
    <t>114,044.15</t>
  </si>
  <si>
    <t>112,863.01</t>
  </si>
  <si>
    <t>113,301.77</t>
  </si>
  <si>
    <t>112,123.60</t>
  </si>
  <si>
    <t>111,042.85</t>
  </si>
  <si>
    <t>110,730.56</t>
  </si>
  <si>
    <t>110,827.39</t>
  </si>
  <si>
    <t>112,479.92</t>
  </si>
  <si>
    <t>110,924.74</t>
  </si>
  <si>
    <t>111,332.74</t>
  </si>
  <si>
    <t>110,836.89</t>
  </si>
  <si>
    <t>111,947.89</t>
  </si>
  <si>
    <t>110,958.51</t>
  </si>
  <si>
    <t>110,567.85</t>
  </si>
  <si>
    <t>111,861.66</t>
  </si>
  <si>
    <t>110,295.21</t>
  </si>
  <si>
    <t>110,015.43</t>
  </si>
  <si>
    <t>109,641.33</t>
  </si>
  <si>
    <t>111,896.75</t>
  </si>
  <si>
    <t>112,019.34</t>
  </si>
  <si>
    <t>110,391.91</t>
  </si>
  <si>
    <t>112,314.18</t>
  </si>
  <si>
    <t>111,973.21</t>
  </si>
  <si>
    <t>114,045.55</t>
  </si>
  <si>
    <t>112,908.47</t>
  </si>
  <si>
    <t>111,187.24</t>
  </si>
  <si>
    <t>110,841.60</t>
  </si>
  <si>
    <t>108,846.44</t>
  </si>
  <si>
    <t>110,100.53</t>
  </si>
  <si>
    <t>108,795.92</t>
  </si>
  <si>
    <t>107,381.91</t>
  </si>
  <si>
    <t>109,080.93</t>
  </si>
  <si>
    <t>109,243.56</t>
  </si>
  <si>
    <t>109,669.78</t>
  </si>
  <si>
    <t>110,371.25</t>
  </si>
  <si>
    <t>109,818.48</t>
  </si>
  <si>
    <t>108,707.33</t>
  </si>
  <si>
    <t>110,443.73</t>
  </si>
  <si>
    <t>110,742.69</t>
  </si>
  <si>
    <t>108,837.14</t>
  </si>
  <si>
    <t>108,902.00</t>
  </si>
  <si>
    <t>111,325.70</t>
  </si>
  <si>
    <t>110,736.11</t>
  </si>
  <si>
    <t>113,024.09</t>
  </si>
  <si>
    <t>111,634.60</t>
  </si>
  <si>
    <t>110,875.39</t>
  </si>
  <si>
    <t>111,028.82</t>
  </si>
  <si>
    <t>110,022.75</t>
  </si>
  <si>
    <t>110,243.26</t>
  </si>
  <si>
    <t>110,970.72</t>
  </si>
  <si>
    <t>109,448.89</t>
  </si>
  <si>
    <t>109,925.94</t>
  </si>
  <si>
    <t>109,778.12</t>
  </si>
  <si>
    <t>108,089.86</t>
  </si>
  <si>
    <t>108,649.81</t>
  </si>
  <si>
    <t>107,940.48</t>
  </si>
  <si>
    <t>107,243.58</t>
  </si>
  <si>
    <t>106,700.14</t>
  </si>
  <si>
    <t>105,803.18</t>
  </si>
  <si>
    <t>106,693.24</t>
  </si>
  <si>
    <t>105,963.07</t>
  </si>
  <si>
    <t>106,110.83</t>
  </si>
  <si>
    <t>105,422.83</t>
  </si>
  <si>
    <t>105,367.88</t>
  </si>
  <si>
    <t>104,884.98</t>
  </si>
  <si>
    <t>104,675.38</t>
  </si>
  <si>
    <t>104,458.36</t>
  </si>
  <si>
    <t>103,927.36</t>
  </si>
  <si>
    <t>103,587.74</t>
  </si>
  <si>
    <t>103,227.66</t>
  </si>
  <si>
    <t>102,771.76</t>
  </si>
  <si>
    <t>101,532.28</t>
  </si>
  <si>
    <t>100,432.95</t>
  </si>
  <si>
    <t>101,514.87</t>
  </si>
  <si>
    <t>101,167.18</t>
  </si>
  <si>
    <t>101,899.00</t>
  </si>
  <si>
    <t>101,835.59</t>
  </si>
  <si>
    <t>101,858.90</t>
  </si>
  <si>
    <t>102,006.75</t>
  </si>
  <si>
    <t>102,433.16</t>
  </si>
  <si>
    <t>102,978.47</t>
  </si>
  <si>
    <t>102,723.50</t>
  </si>
  <si>
    <t>101,750.49</t>
  </si>
  <si>
    <t>101,055.87</t>
  </si>
  <si>
    <t>101,196.15</t>
  </si>
  <si>
    <t>101,142.62</t>
  </si>
  <si>
    <t>101,950.32</t>
  </si>
  <si>
    <t>101,993.04</t>
  </si>
  <si>
    <t>102,278.42</t>
  </si>
  <si>
    <t>101,271.16</t>
  </si>
  <si>
    <t>100,630.37</t>
  </si>
  <si>
    <t>100,855.21</t>
  </si>
  <si>
    <t>100,643.36</t>
  </si>
  <si>
    <t>100,152.77</t>
  </si>
  <si>
    <t>99,674.14</t>
  </si>
  <si>
    <t>99,312.06</t>
  </si>
  <si>
    <t>97,744.15</t>
  </si>
  <si>
    <t>98,519.51</t>
  </si>
  <si>
    <t>99,314.70</t>
  </si>
  <si>
    <t>99,165.06</t>
  </si>
  <si>
    <t>98,696.39</t>
  </si>
  <si>
    <t>98,918.87</t>
  </si>
  <si>
    <t>99,971.12</t>
  </si>
  <si>
    <t>100,179.84</t>
  </si>
  <si>
    <t>99,324.53</t>
  </si>
  <si>
    <t>99,653.78</t>
  </si>
  <si>
    <t>98,687.07</t>
  </si>
  <si>
    <t>97,353.34</t>
  </si>
  <si>
    <t>97,064.25</t>
  </si>
  <si>
    <t>97,019.36</t>
  </si>
  <si>
    <t>96,799.66</t>
  </si>
  <si>
    <t>97,221.58</t>
  </si>
  <si>
    <t>97,364.46</t>
  </si>
  <si>
    <t>97,230.02</t>
  </si>
  <si>
    <t>97,255.74</t>
  </si>
  <si>
    <t>97,363.36</t>
  </si>
  <si>
    <t>97,182.71</t>
  </si>
  <si>
    <t>96,937.03</t>
  </si>
  <si>
    <t>96,609.37</t>
  </si>
  <si>
    <t>96,911.35</t>
  </si>
  <si>
    <t>96,429.74</t>
  </si>
  <si>
    <t>95,862.28</t>
  </si>
  <si>
    <t>95,968.26</t>
  </si>
  <si>
    <t>95,311.22</t>
  </si>
  <si>
    <t>95,887.03</t>
  </si>
  <si>
    <t>95,128.20</t>
  </si>
  <si>
    <t>94,710.48</t>
  </si>
  <si>
    <t>94,914.70</t>
  </si>
  <si>
    <t>94,992.81</t>
  </si>
  <si>
    <t>94,657.07</t>
  </si>
  <si>
    <t>95,324.34</t>
  </si>
  <si>
    <t>97,029.34</t>
  </si>
  <si>
    <t>96,404.14</t>
  </si>
  <si>
    <t>96,657.00</t>
  </si>
  <si>
    <t>96,413.48</t>
  </si>
  <si>
    <t>96,366.08</t>
  </si>
  <si>
    <t>96,411.77</t>
  </si>
  <si>
    <t>95,650.16</t>
  </si>
  <si>
    <t>94,882.30</t>
  </si>
  <si>
    <t>95,162.33</t>
  </si>
  <si>
    <t>94,330.84</t>
  </si>
  <si>
    <t>94,726.12</t>
  </si>
  <si>
    <t>93,868.87</t>
  </si>
  <si>
    <t>93,764.15</t>
  </si>
  <si>
    <t>93,724.31</t>
  </si>
  <si>
    <t>93,528.74</t>
  </si>
  <si>
    <t>93,135.11</t>
  </si>
  <si>
    <t>93,397.44</t>
  </si>
  <si>
    <t>92,763.22</t>
  </si>
  <si>
    <t>92,492.11</t>
  </si>
  <si>
    <t>92,618.55</t>
  </si>
  <si>
    <t>92,338.44</t>
  </si>
  <si>
    <t>92,473.98</t>
  </si>
  <si>
    <t>92,638.80</t>
  </si>
  <si>
    <t>92,170.83</t>
  </si>
  <si>
    <t>91,861.21</t>
  </si>
  <si>
    <t>90,890.08</t>
  </si>
  <si>
    <t>91,496.59</t>
  </si>
  <si>
    <t>92,027.51</t>
  </si>
  <si>
    <t>92,063.06</t>
  </si>
  <si>
    <t>92,332.59</t>
  </si>
  <si>
    <t>91,583.39</t>
  </si>
  <si>
    <t>91,311.15</t>
  </si>
  <si>
    <t>90,720.33</t>
  </si>
  <si>
    <t>90,552.77</t>
  </si>
  <si>
    <t>89,846.81</t>
  </si>
  <si>
    <t>89,912.00</t>
  </si>
  <si>
    <t>89,486.79</t>
  </si>
  <si>
    <t>89,696.69</t>
  </si>
  <si>
    <t>89,521.80</t>
  </si>
  <si>
    <t>88,717.11</t>
  </si>
  <si>
    <t>86,406.46</t>
  </si>
  <si>
    <t>86,041.54</t>
  </si>
  <si>
    <t>82,485.81</t>
  </si>
  <si>
    <t>84,227.34</t>
  </si>
  <si>
    <t>82,161.52</t>
  </si>
  <si>
    <t>81,553.66</t>
  </si>
  <si>
    <t>86,082.52</t>
  </si>
  <si>
    <t>89,105.74</t>
  </si>
  <si>
    <t>89,950.79</t>
  </si>
  <si>
    <t>88,637.45</t>
  </si>
  <si>
    <t>89,572.58</t>
  </si>
  <si>
    <t>89,897.64</t>
  </si>
  <si>
    <t>89,926.53</t>
  </si>
  <si>
    <t>89,713.04</t>
  </si>
  <si>
    <t>88,985.61</t>
  </si>
  <si>
    <t>89,518.75</t>
  </si>
  <si>
    <t>90,149.69</t>
  </si>
  <si>
    <t>88,893.11</t>
  </si>
  <si>
    <t>88,525.10</t>
  </si>
  <si>
    <t>87,916.46</t>
  </si>
  <si>
    <t>87,067.75</t>
  </si>
  <si>
    <t>86,853.81</t>
  </si>
  <si>
    <t>87,091.04</t>
  </si>
  <si>
    <t>87,291.39</t>
  </si>
  <si>
    <t>88,570.16</t>
  </si>
  <si>
    <t>88,260.08</t>
  </si>
  <si>
    <t>87,717.58</t>
  </si>
  <si>
    <t>86,730.82</t>
  </si>
  <si>
    <t>87,564.82</t>
  </si>
  <si>
    <t>85,942.71</t>
  </si>
  <si>
    <t>87,325.35</t>
  </si>
  <si>
    <t>88,321.76</t>
  </si>
  <si>
    <t>87,753.79</t>
  </si>
  <si>
    <t>87,423.27</t>
  </si>
  <si>
    <t>88,913.81</t>
  </si>
  <si>
    <t>88,873.33</t>
  </si>
  <si>
    <t>88,341.89</t>
  </si>
  <si>
    <t>89,061.67</t>
  </si>
  <si>
    <t>88,399.57</t>
  </si>
  <si>
    <t>88,717.13</t>
  </si>
  <si>
    <t>87,841.46</t>
  </si>
  <si>
    <t>87,942.18</t>
  </si>
  <si>
    <t>87,562.74</t>
  </si>
  <si>
    <t>87,765.36</t>
  </si>
  <si>
    <t>87,474.49</t>
  </si>
  <si>
    <t>87,191.22</t>
  </si>
  <si>
    <t>86,610.70</t>
  </si>
  <si>
    <t>86,452.63</t>
  </si>
  <si>
    <t>85,490.14</t>
  </si>
  <si>
    <t>85,956.65</t>
  </si>
  <si>
    <t>85,685.49</t>
  </si>
  <si>
    <t>85,314.73</t>
  </si>
  <si>
    <t>84,447.75</t>
  </si>
  <si>
    <t>84,187.66</t>
  </si>
  <si>
    <t>84,290.99</t>
  </si>
  <si>
    <t>83,944.07</t>
  </si>
  <si>
    <t>84,654.64</t>
  </si>
  <si>
    <t>84,845.84</t>
  </si>
  <si>
    <t>84,733.17</t>
  </si>
  <si>
    <t>84,700.44</t>
  </si>
  <si>
    <t>83,658.72</t>
  </si>
  <si>
    <t>83,515.29</t>
  </si>
  <si>
    <t>82,123.89</t>
  </si>
  <si>
    <t>82,045.80</t>
  </si>
  <si>
    <t>83,466.58</t>
  </si>
  <si>
    <t>83,698.32</t>
  </si>
  <si>
    <t>83,152.56</t>
  </si>
  <si>
    <t>84,141.54</t>
  </si>
  <si>
    <t>84,745.52</t>
  </si>
  <si>
    <t>84,711.80</t>
  </si>
  <si>
    <t>84,460.59</t>
  </si>
  <si>
    <t>84,095.14</t>
  </si>
  <si>
    <t>83,945.55</t>
  </si>
  <si>
    <t>84,736.18</t>
  </si>
  <si>
    <t>84,935.27</t>
  </si>
  <si>
    <t>84,712.32</t>
  </si>
  <si>
    <t>84,603.29</t>
  </si>
  <si>
    <t>84,465.35</t>
  </si>
  <si>
    <t>85,599.84</t>
  </si>
  <si>
    <t>85,746.04</t>
  </si>
  <si>
    <t>87,129.65</t>
  </si>
  <si>
    <t>86,965.35</t>
  </si>
  <si>
    <t>87,115.95</t>
  </si>
  <si>
    <t>87,271.05</t>
  </si>
  <si>
    <t>87,642.76</t>
  </si>
  <si>
    <t>86,938.44</t>
  </si>
  <si>
    <t>86,846.42</t>
  </si>
  <si>
    <t>86,314.51</t>
  </si>
  <si>
    <t>85,818.80</t>
  </si>
  <si>
    <t>85,731.51</t>
  </si>
  <si>
    <t>84,510.44</t>
  </si>
  <si>
    <t>84,787.41</t>
  </si>
  <si>
    <t>85,102.34</t>
  </si>
  <si>
    <t>85,397.50</t>
  </si>
  <si>
    <t>84,875.24</t>
  </si>
  <si>
    <t>85,608.47</t>
  </si>
  <si>
    <t>85,522.57</t>
  </si>
  <si>
    <t>85,274.83</t>
  </si>
  <si>
    <t>84,526.75</t>
  </si>
  <si>
    <t>84,425.00</t>
  </si>
  <si>
    <t>83,872.74</t>
  </si>
  <si>
    <t>83,834.31</t>
  </si>
  <si>
    <t>83,803.11</t>
  </si>
  <si>
    <t>84,201.75</t>
  </si>
  <si>
    <t>84,771.53</t>
  </si>
  <si>
    <t>85,124.52</t>
  </si>
  <si>
    <t>85,998.22</t>
  </si>
  <si>
    <t>85,329.75</t>
  </si>
  <si>
    <t>86,642.86</t>
  </si>
  <si>
    <t>86,223.60</t>
  </si>
  <si>
    <t>86,198.57</t>
  </si>
  <si>
    <t>85,384.82</t>
  </si>
  <si>
    <t>86,759.04</t>
  </si>
  <si>
    <t>87,300.97</t>
  </si>
  <si>
    <t>87,643.65</t>
  </si>
  <si>
    <t>87,015.81</t>
  </si>
  <si>
    <t>86,937.24</t>
  </si>
  <si>
    <t>86,464.19</t>
  </si>
  <si>
    <t>86,752.88</t>
  </si>
  <si>
    <t>87,076.55</t>
  </si>
  <si>
    <t>87,201.49</t>
  </si>
  <si>
    <t>86,582.35</t>
  </si>
  <si>
    <t>86,393.01</t>
  </si>
  <si>
    <t>85,949.77</t>
  </si>
  <si>
    <t>86,398.66</t>
  </si>
  <si>
    <t>86,149.45</t>
  </si>
  <si>
    <t>85,392.82</t>
  </si>
  <si>
    <t>85,336.85</t>
  </si>
  <si>
    <t>85,491.22</t>
  </si>
  <si>
    <t>86,308.92</t>
  </si>
  <si>
    <t>86,332.42</t>
  </si>
  <si>
    <t>86,461.05</t>
  </si>
  <si>
    <t>87,115.22</t>
  </si>
  <si>
    <t>86,619.39</t>
  </si>
  <si>
    <t>86,548.42</t>
  </si>
  <si>
    <t>87,579.71</t>
  </si>
  <si>
    <t>87,327.21</t>
  </si>
  <si>
    <t>85,960.32</t>
  </si>
  <si>
    <t>84,777.53</t>
  </si>
  <si>
    <t>83,829.99</t>
  </si>
  <si>
    <t>83,760.08</t>
  </si>
  <si>
    <t>82,718.58</t>
  </si>
  <si>
    <t>83,032.71</t>
  </si>
  <si>
    <t>82,007.34</t>
  </si>
  <si>
    <t>81,978.59</t>
  </si>
  <si>
    <t>81,668.39</t>
  </si>
  <si>
    <t>80,827.79</t>
  </si>
  <si>
    <t>81,641.90</t>
  </si>
  <si>
    <t>81,441.63</t>
  </si>
  <si>
    <t>81,364.89</t>
  </si>
  <si>
    <t>82,146.83</t>
  </si>
  <si>
    <t>81,915.38</t>
  </si>
  <si>
    <t>82,156.76</t>
  </si>
  <si>
    <t>83,483.36</t>
  </si>
  <si>
    <t>83,749.86</t>
  </si>
  <si>
    <t>84,239.42</t>
  </si>
  <si>
    <t>84,018.65</t>
  </si>
  <si>
    <t>84,553.54</t>
  </si>
  <si>
    <t>84,193.95</t>
  </si>
  <si>
    <t>84,351.57</t>
  </si>
  <si>
    <t>83,620.81</t>
  </si>
  <si>
    <t>84,026.18</t>
  </si>
  <si>
    <t>83,783.30</t>
  </si>
  <si>
    <t>83,799.30</t>
  </si>
  <si>
    <t>82,824.44</t>
  </si>
  <si>
    <t>82,226.43</t>
  </si>
  <si>
    <t>81,402.32</t>
  </si>
  <si>
    <t>80,956.22</t>
  </si>
  <si>
    <t>80,560.78</t>
  </si>
  <si>
    <t>80,739.31</t>
  </si>
  <si>
    <t>80,364.86</t>
  </si>
  <si>
    <t>79,430.05</t>
  </si>
  <si>
    <t>79,577.61</t>
  </si>
  <si>
    <t>80,538.57</t>
  </si>
  <si>
    <t>81,868.82</t>
  </si>
  <si>
    <t>82,765.12</t>
  </si>
  <si>
    <t>81,198.64</t>
  </si>
  <si>
    <t>81,011.65</t>
  </si>
  <si>
    <t>81,120.51</t>
  </si>
  <si>
    <t>80,678.20</t>
  </si>
  <si>
    <t>80,595.14</t>
  </si>
  <si>
    <t>80,706.44</t>
  </si>
  <si>
    <t>80,492.09</t>
  </si>
  <si>
    <t>79,922.67</t>
  </si>
  <si>
    <t>80,334.26</t>
  </si>
  <si>
    <t>80,452.58</t>
  </si>
  <si>
    <t>81,124.08</t>
  </si>
  <si>
    <t>82,154.07</t>
  </si>
  <si>
    <t>81,686.49</t>
  </si>
  <si>
    <t>81,093.99</t>
  </si>
  <si>
    <t>80,445.31</t>
  </si>
  <si>
    <t>80,620.02</t>
  </si>
  <si>
    <t>80,783.51</t>
  </si>
  <si>
    <t>80,797.38</t>
  </si>
  <si>
    <t>81,155.28</t>
  </si>
  <si>
    <t>80,772.78</t>
  </si>
  <si>
    <t>79,435.12</t>
  </si>
  <si>
    <t>79,853.83</t>
  </si>
  <si>
    <t>79,707.11</t>
  </si>
  <si>
    <t>78,969.33</t>
  </si>
  <si>
    <t>79,252.39</t>
  </si>
  <si>
    <t>79,577.57</t>
  </si>
  <si>
    <t>80,263.14</t>
  </si>
  <si>
    <t>79,767.56</t>
  </si>
  <si>
    <t>80,073.05</t>
  </si>
  <si>
    <t>80,713.72</t>
  </si>
  <si>
    <t>79,748.83</t>
  </si>
  <si>
    <t>77,053.78</t>
  </si>
  <si>
    <t>76,382.02</t>
  </si>
  <si>
    <t>77,050.80</t>
  </si>
  <si>
    <t>76,077.30</t>
  </si>
  <si>
    <t>76,188.16</t>
  </si>
  <si>
    <t>76,851.78</t>
  </si>
  <si>
    <t>77,123.64</t>
  </si>
  <si>
    <t>76,829.13</t>
  </si>
  <si>
    <t>76,832.74</t>
  </si>
  <si>
    <t>77,746.23</t>
  </si>
  <si>
    <t>76,704.26</t>
  </si>
  <si>
    <t>77,161.71</t>
  </si>
  <si>
    <t>78,576.14</t>
  </si>
  <si>
    <t>78,920.88</t>
  </si>
  <si>
    <t>79,150.84</t>
  </si>
  <si>
    <t>78,956.07</t>
  </si>
  <si>
    <t>79,492.57</t>
  </si>
  <si>
    <t>79,808.07</t>
  </si>
  <si>
    <t>80,072.99</t>
  </si>
  <si>
    <t>79,530.63</t>
  </si>
  <si>
    <t>79,508.98</t>
  </si>
  <si>
    <t>79,361.57</t>
  </si>
  <si>
    <t>78,632.58</t>
  </si>
  <si>
    <t>78,686.89</t>
  </si>
  <si>
    <t>78,464.22</t>
  </si>
  <si>
    <t>77,539.15</t>
  </si>
  <si>
    <t>77,177.43</t>
  </si>
  <si>
    <t>76,929.48</t>
  </si>
  <si>
    <t>76,776.45</t>
  </si>
  <si>
    <t>76,428.33</t>
  </si>
  <si>
    <t>76,046.85</t>
  </si>
  <si>
    <t>76,076.17</t>
  </si>
  <si>
    <t>76,456.15</t>
  </si>
  <si>
    <t>75,370.99</t>
  </si>
  <si>
    <t>74,329.37</t>
  </si>
  <si>
    <t>74,513.93</t>
  </si>
  <si>
    <t>74,010.83</t>
  </si>
  <si>
    <t>73,551.12</t>
  </si>
  <si>
    <t>73,363.56</t>
  </si>
  <si>
    <t>73,271.43</t>
  </si>
  <si>
    <t>72,995.18</t>
  </si>
  <si>
    <t>72,999.60</t>
  </si>
  <si>
    <t>74,518.63</t>
  </si>
  <si>
    <t>75,311.76</t>
  </si>
  <si>
    <t>75,303.25</t>
  </si>
  <si>
    <t>75,520.37</t>
  </si>
  <si>
    <t>75,486.92</t>
  </si>
  <si>
    <t>75,334.92</t>
  </si>
  <si>
    <t>74,774.72</t>
  </si>
  <si>
    <t>75,372.98</t>
  </si>
  <si>
    <t>74,097.93</t>
  </si>
  <si>
    <t>74,429.48</t>
  </si>
  <si>
    <t>74,535.99</t>
  </si>
  <si>
    <t>73,909.47</t>
  </si>
  <si>
    <t>73,608.07</t>
  </si>
  <si>
    <t>73,282.90</t>
  </si>
  <si>
    <t>73,254.19</t>
  </si>
  <si>
    <t>72,419.70</t>
  </si>
  <si>
    <t>71,868.07</t>
  </si>
  <si>
    <t>72,430.46</t>
  </si>
  <si>
    <t>72,990.70</t>
  </si>
  <si>
    <t>73,866.79</t>
  </si>
  <si>
    <t>74,258.63</t>
  </si>
  <si>
    <t>73,484.56</t>
  </si>
  <si>
    <t>73,481.74</t>
  </si>
  <si>
    <t>73,717.78</t>
  </si>
  <si>
    <t>73,604.11</t>
  </si>
  <si>
    <t>73,578.18</t>
  </si>
  <si>
    <t>72,241.72</t>
  </si>
  <si>
    <t>72,633.15</t>
  </si>
  <si>
    <t>72,775.49</t>
  </si>
  <si>
    <t>72,729.73</t>
  </si>
  <si>
    <t>72,204.53</t>
  </si>
  <si>
    <t>73,142.11</t>
  </si>
  <si>
    <t>73,621.24</t>
  </si>
  <si>
    <t>74,213.39</t>
  </si>
  <si>
    <t>74,112.74</t>
  </si>
  <si>
    <t>73,029.61</t>
  </si>
  <si>
    <t>72,946.01</t>
  </si>
  <si>
    <t>73,580.88</t>
  </si>
  <si>
    <t>73,616.06</t>
  </si>
  <si>
    <t>73,218.44</t>
  </si>
  <si>
    <t>73,009.74</t>
  </si>
  <si>
    <t>73,062.59</t>
  </si>
  <si>
    <t>73,722.10</t>
  </si>
  <si>
    <t>73,423.30</t>
  </si>
  <si>
    <t>73,725.38</t>
  </si>
  <si>
    <t>74,313.44</t>
  </si>
  <si>
    <t>74,558.52</t>
  </si>
  <si>
    <t>74,033.92</t>
  </si>
  <si>
    <t>74,381.96</t>
  </si>
  <si>
    <t>74,469.95</t>
  </si>
  <si>
    <t>74,555.87</t>
  </si>
  <si>
    <t>74,611.45</t>
  </si>
  <si>
    <t>74,370.53</t>
  </si>
  <si>
    <t>75,084.38</t>
  </si>
  <si>
    <t>74,040.54</t>
  </si>
  <si>
    <t>74,320.11</t>
  </si>
  <si>
    <t>73,337.19</t>
  </si>
  <si>
    <t>72,351.50</t>
  </si>
  <si>
    <t>72,660.91</t>
  </si>
  <si>
    <t>72,344.40</t>
  </si>
  <si>
    <t>71,693.09</t>
  </si>
  <si>
    <t>73,007.62</t>
  </si>
  <si>
    <t>73,675.74</t>
  </si>
  <si>
    <t>74,240.76</t>
  </si>
  <si>
    <t>73,834.28</t>
  </si>
  <si>
    <t>73,586.98</t>
  </si>
  <si>
    <t>73,826.15</t>
  </si>
  <si>
    <t>74,103.23</t>
  </si>
  <si>
    <t>74,488.20</t>
  </si>
  <si>
    <t>74,522.49</t>
  </si>
  <si>
    <t>74,510.72</t>
  </si>
  <si>
    <t>75,709.14</t>
  </si>
  <si>
    <t>76,893.15</t>
  </si>
  <si>
    <t>76,485.73</t>
  </si>
  <si>
    <t>76,657.94</t>
  </si>
  <si>
    <t>74,379.57</t>
  </si>
  <si>
    <t>75,412.93</t>
  </si>
  <si>
    <t>74,893.50</t>
  </si>
  <si>
    <t>74,842.59</t>
  </si>
  <si>
    <t>74,301.59</t>
  </si>
  <si>
    <t>75,289.86</t>
  </si>
  <si>
    <t>72,640.51</t>
  </si>
  <si>
    <t>72,621.84</t>
  </si>
  <si>
    <t>73,892.30</t>
  </si>
  <si>
    <t>73,790.85</t>
  </si>
  <si>
    <t>74,787.04</t>
  </si>
  <si>
    <t>75,400.62</t>
  </si>
  <si>
    <t>75,215.49</t>
  </si>
  <si>
    <t>75,941.06</t>
  </si>
  <si>
    <t>75,705.85</t>
  </si>
  <si>
    <t>75,534.36</t>
  </si>
  <si>
    <t>75,241.41</t>
  </si>
  <si>
    <t>75,589.18</t>
  </si>
  <si>
    <t>75,369.88</t>
  </si>
  <si>
    <t>75,712.40</t>
  </si>
  <si>
    <t>75,438.71</t>
  </si>
  <si>
    <t>74,763.96</t>
  </si>
  <si>
    <t>74,270.74</t>
  </si>
  <si>
    <t>74,321.48</t>
  </si>
  <si>
    <t>73,920.75</t>
  </si>
  <si>
    <t>73,736.61</t>
  </si>
  <si>
    <t>74,800.29</t>
  </si>
  <si>
    <t>73,443.50</t>
  </si>
  <si>
    <t>71,633.17</t>
  </si>
  <si>
    <t>71,393.30</t>
  </si>
  <si>
    <t>72,226.67</t>
  </si>
  <si>
    <t>72,465.63</t>
  </si>
  <si>
    <t>71,572.99</t>
  </si>
  <si>
    <t>73,293.69</t>
  </si>
  <si>
    <t>72,856.18</t>
  </si>
  <si>
    <t>71,383.92</t>
  </si>
  <si>
    <t>69,740.30</t>
  </si>
  <si>
    <t>69,653.44</t>
  </si>
  <si>
    <t>69,871.16</t>
  </si>
  <si>
    <t>69,451.97</t>
  </si>
  <si>
    <t>69,930.52</t>
  </si>
  <si>
    <t>70,274.34</t>
  </si>
  <si>
    <t>70,578.25</t>
  </si>
  <si>
    <t>70,100.28</t>
  </si>
  <si>
    <t>70,198.01</t>
  </si>
  <si>
    <t>70,961.33</t>
  </si>
  <si>
    <t>71,968.67</t>
  </si>
  <si>
    <t>72,831.80</t>
  </si>
  <si>
    <t>73,146.75</t>
  </si>
  <si>
    <t>72,919.72</t>
  </si>
  <si>
    <t>73,390.81</t>
  </si>
  <si>
    <t>73,849.53</t>
  </si>
  <si>
    <t>73,840.50</t>
  </si>
  <si>
    <t>71,648.39</t>
  </si>
  <si>
    <t>71,657.25</t>
  </si>
  <si>
    <t>71,249.59</t>
  </si>
  <si>
    <t>70,564.69</t>
  </si>
  <si>
    <t>70,773.21</t>
  </si>
  <si>
    <t>71,238.06</t>
  </si>
  <si>
    <t>72,382.89</t>
  </si>
  <si>
    <t>72,505.99</t>
  </si>
  <si>
    <t>72,174.14</t>
  </si>
  <si>
    <t>72,652.10</t>
  </si>
  <si>
    <t>73,398.78</t>
  </si>
  <si>
    <t>73,238.11</t>
  </si>
  <si>
    <t>74,824.09</t>
  </si>
  <si>
    <t>73,806.42</t>
  </si>
  <si>
    <t>73,908.03</t>
  </si>
  <si>
    <t>74,589.81</t>
  </si>
  <si>
    <t>74,354.37</t>
  </si>
  <si>
    <t>73,302.56</t>
  </si>
  <si>
    <t>74,086.62</t>
  </si>
  <si>
    <t>74,106.18</t>
  </si>
  <si>
    <t>73,652.67</t>
  </si>
  <si>
    <t>73,185.12</t>
  </si>
  <si>
    <t>74,411.02</t>
  </si>
  <si>
    <t>75,016.00</t>
  </si>
  <si>
    <t>75,375.22</t>
  </si>
  <si>
    <t>74,786.79</t>
  </si>
  <si>
    <t>74,953.73</t>
  </si>
  <si>
    <t>75,256.19</t>
  </si>
  <si>
    <t>74,776.18</t>
  </si>
  <si>
    <t>75,079.61</t>
  </si>
  <si>
    <t>73,836.01</t>
  </si>
  <si>
    <t>74,301.56</t>
  </si>
  <si>
    <t>74,022.58</t>
  </si>
  <si>
    <t>73,277.88</t>
  </si>
  <si>
    <t>73,760.21</t>
  </si>
  <si>
    <t>73,080.87</t>
  </si>
  <si>
    <t>74,375.22</t>
  </si>
  <si>
    <t>74,914.52</t>
  </si>
  <si>
    <t>75,590.77</t>
  </si>
  <si>
    <t>76,160.87</t>
  </si>
  <si>
    <t>76,974.26</t>
  </si>
  <si>
    <t>77,749.68</t>
  </si>
  <si>
    <t>76,837.44</t>
  </si>
  <si>
    <t>77,013.74</t>
  </si>
  <si>
    <t>76,960.61</t>
  </si>
  <si>
    <t>76,747.20</t>
  </si>
  <si>
    <t>76,477.22</t>
  </si>
  <si>
    <t>78,641.91</t>
  </si>
  <si>
    <t>78,977.89</t>
  </si>
  <si>
    <t>78,506.90</t>
  </si>
  <si>
    <t>78,267.25</t>
  </si>
  <si>
    <t>77,546.38</t>
  </si>
  <si>
    <t>77,525.62</t>
  </si>
  <si>
    <t>76,766.07</t>
  </si>
  <si>
    <t>76,826.63</t>
  </si>
  <si>
    <t>77,016.83</t>
  </si>
  <si>
    <t>77,080.97</t>
  </si>
  <si>
    <t>77,098.55</t>
  </si>
  <si>
    <t>77,253.51</t>
  </si>
  <si>
    <t>77,750.51</t>
  </si>
  <si>
    <t>77,317.26</t>
  </si>
  <si>
    <t>76,544.79</t>
  </si>
  <si>
    <t>74,876.59</t>
  </si>
  <si>
    <t>74,345.98</t>
  </si>
  <si>
    <t>74,823.02</t>
  </si>
  <si>
    <t>74,113.22</t>
  </si>
  <si>
    <t>75,909.49</t>
  </si>
  <si>
    <t>76,223.70</t>
  </si>
  <si>
    <t>76,233.93</t>
  </si>
  <si>
    <t>76,027.83</t>
  </si>
  <si>
    <t>74,892.51</t>
  </si>
  <si>
    <t>74,831.11</t>
  </si>
  <si>
    <t>74,543.48</t>
  </si>
  <si>
    <t>74,265.04</t>
  </si>
  <si>
    <t>74,402.90</t>
  </si>
  <si>
    <t>75,105.79</t>
  </si>
  <si>
    <t>75,629.88</t>
  </si>
  <si>
    <t>76,769.22</t>
  </si>
  <si>
    <t>78,014.35</t>
  </si>
  <si>
    <t>78,531.81</t>
  </si>
  <si>
    <t>78,060.22</t>
  </si>
  <si>
    <t>77,827.73</t>
  </si>
  <si>
    <t>76,282.13</t>
  </si>
  <si>
    <t>76,936.11</t>
  </si>
  <si>
    <t>77,015.21</t>
  </si>
  <si>
    <t>77,125.85</t>
  </si>
  <si>
    <t>76,840.11</t>
  </si>
  <si>
    <t>76,602.84</t>
  </si>
  <si>
    <t>77,126.06</t>
  </si>
  <si>
    <t>75,783.25</t>
  </si>
  <si>
    <t>75,067.47</t>
  </si>
  <si>
    <t>75,939.46</t>
  </si>
  <si>
    <t>76,613.35</t>
  </si>
  <si>
    <t>76,589.54</t>
  </si>
  <si>
    <t>76,174.61</t>
  </si>
  <si>
    <t>75,621.90</t>
  </si>
  <si>
    <t>76,748.27</t>
  </si>
  <si>
    <t>77,962.73</t>
  </si>
  <si>
    <t>78,175.82</t>
  </si>
  <si>
    <t>77,667.96</t>
  </si>
  <si>
    <t>78,390.74</t>
  </si>
  <si>
    <t>77,973.02</t>
  </si>
  <si>
    <t>78,261.65</t>
  </si>
  <si>
    <t>78,330.20</t>
  </si>
  <si>
    <t>76,997.16</t>
  </si>
  <si>
    <t>77,775.02</t>
  </si>
  <si>
    <t>77,776.87</t>
  </si>
  <si>
    <t>78,572.33</t>
  </si>
  <si>
    <t>78,132.77</t>
  </si>
  <si>
    <t>77,271.13</t>
  </si>
  <si>
    <t>78,218.60</t>
  </si>
  <si>
    <t>77,532.90</t>
  </si>
  <si>
    <t>78,218.37</t>
  </si>
  <si>
    <t>78,122.12</t>
  </si>
  <si>
    <t>77,891.13</t>
  </si>
  <si>
    <t>78,121.37</t>
  </si>
  <si>
    <t>77,910.96</t>
  </si>
  <si>
    <t>78,883.26</t>
  </si>
  <si>
    <t>78,796.86</t>
  </si>
  <si>
    <t>79,294.76</t>
  </si>
  <si>
    <t>78,723.70</t>
  </si>
  <si>
    <t>78,870.36</t>
  </si>
  <si>
    <t>78,462.77</t>
  </si>
  <si>
    <t>77,740.69</t>
  </si>
  <si>
    <t>77,990.54</t>
  </si>
  <si>
    <t>77,113.70</t>
  </si>
  <si>
    <t>76,656.42</t>
  </si>
  <si>
    <t>77,458.58</t>
  </si>
  <si>
    <t>76,614.96</t>
  </si>
  <si>
    <t>76,100.17</t>
  </si>
  <si>
    <t>76,704.63</t>
  </si>
  <si>
    <t>76,480.11</t>
  </si>
  <si>
    <t>76,047.34</t>
  </si>
  <si>
    <t>75,283.68</t>
  </si>
  <si>
    <t>74,695.04</t>
  </si>
  <si>
    <t>75,585.23</t>
  </si>
  <si>
    <t>75,243.44</t>
  </si>
  <si>
    <t>74,271.06</t>
  </si>
  <si>
    <t>72,527.92</t>
  </si>
  <si>
    <t>72,905.50</t>
  </si>
  <si>
    <t>72,895.54</t>
  </si>
  <si>
    <t>75,008.68</t>
  </si>
  <si>
    <t>75,502.28</t>
  </si>
  <si>
    <t>76,454.36</t>
  </si>
  <si>
    <t>77,664.05</t>
  </si>
  <si>
    <t>77,741.83</t>
  </si>
  <si>
    <t>78,556.54</t>
  </si>
  <si>
    <t>78,697.83</t>
  </si>
  <si>
    <t>78,293.01</t>
  </si>
  <si>
    <t>77,547.01</t>
  </si>
  <si>
    <t>78,631.45</t>
  </si>
  <si>
    <t>77,733.87</t>
  </si>
  <si>
    <t>77,513.78</t>
  </si>
  <si>
    <t>76,937.77</t>
  </si>
  <si>
    <t>79,010.83</t>
  </si>
  <si>
    <t>78,170.14</t>
  </si>
  <si>
    <t>78,811.05</t>
  </si>
  <si>
    <t>79,829.39</t>
  </si>
  <si>
    <t>79,271.78</t>
  </si>
  <si>
    <t>80,227.19</t>
  </si>
  <si>
    <t>79,471.76</t>
  </si>
  <si>
    <t>79,858.02</t>
  </si>
  <si>
    <t>79,770.21</t>
  </si>
  <si>
    <t>78,985.35</t>
  </si>
  <si>
    <t>80,021.09</t>
  </si>
  <si>
    <t>79,975.59</t>
  </si>
  <si>
    <t>79,534.22</t>
  </si>
  <si>
    <t>79,582.83</t>
  </si>
  <si>
    <t>80,240.92</t>
  </si>
  <si>
    <t>79,802.09</t>
  </si>
  <si>
    <t>79,816.87</t>
  </si>
  <si>
    <t>79,476.60</t>
  </si>
  <si>
    <t>80,324.86</t>
  </si>
  <si>
    <t>80,791.36</t>
  </si>
  <si>
    <t>80,508.97</t>
  </si>
  <si>
    <t>79,725.46</t>
  </si>
  <si>
    <t>80,037.01</t>
  </si>
  <si>
    <t>80,128.63</t>
  </si>
  <si>
    <t>79,269.77</t>
  </si>
  <si>
    <t>79,505.06</t>
  </si>
  <si>
    <t>79,865.48</t>
  </si>
  <si>
    <t>79,385.11</t>
  </si>
  <si>
    <t>79,167.80</t>
  </si>
  <si>
    <t>79,333.72</t>
  </si>
  <si>
    <t>78,627.55</t>
  </si>
  <si>
    <t>78,522.10</t>
  </si>
  <si>
    <t>78,000.31</t>
  </si>
  <si>
    <t>78,342.70</t>
  </si>
  <si>
    <t>76,858.94</t>
  </si>
  <si>
    <t>75,439.30</t>
  </si>
  <si>
    <t>74,567.61</t>
  </si>
  <si>
    <t>74,436.48</t>
  </si>
  <si>
    <t>73,048.57</t>
  </si>
  <si>
    <t>73,597.14</t>
  </si>
  <si>
    <t>74,277.56</t>
  </si>
  <si>
    <t>73,493.47</t>
  </si>
  <si>
    <t>73,225.13</t>
  </si>
  <si>
    <t>73,836.91</t>
  </si>
  <si>
    <t>73,040.51</t>
  </si>
  <si>
    <t>73,359.60</t>
  </si>
  <si>
    <t>72,989.34</t>
  </si>
  <si>
    <t>74,294.67</t>
  </si>
  <si>
    <t>75,835.45</t>
  </si>
  <si>
    <t>74,422.18</t>
  </si>
  <si>
    <t>74,548.14</t>
  </si>
  <si>
    <t>74,467.26</t>
  </si>
  <si>
    <t>74,011.12</t>
  </si>
  <si>
    <t>74,557.31</t>
  </si>
  <si>
    <t>74,693.42</t>
  </si>
  <si>
    <t>74,322.91</t>
  </si>
  <si>
    <t>75,020.01</t>
  </si>
  <si>
    <t>74,828.00</t>
  </si>
  <si>
    <t>73,127.92</t>
  </si>
  <si>
    <t>73,368.25</t>
  </si>
  <si>
    <t>73,151.38</t>
  </si>
  <si>
    <t>73,127.34</t>
  </si>
  <si>
    <t>72,891.45</t>
  </si>
  <si>
    <t>72,242.33</t>
  </si>
  <si>
    <t>71,938.01</t>
  </si>
  <si>
    <t>72,576.86</t>
  </si>
  <si>
    <t>72,155.29</t>
  </si>
  <si>
    <t>72,607.46</t>
  </si>
  <si>
    <t>72,998.69</t>
  </si>
  <si>
    <t>72,822.47</t>
  </si>
  <si>
    <t>72,982.80</t>
  </si>
  <si>
    <t>70,710.27</t>
  </si>
  <si>
    <t>69,640.23</t>
  </si>
  <si>
    <t>69,011.45</t>
  </si>
  <si>
    <t>69,439.32</t>
  </si>
  <si>
    <t>69,305.19</t>
  </si>
  <si>
    <t>66,046.65</t>
  </si>
  <si>
    <t>67,123.10</t>
  </si>
  <si>
    <t>67,414.27</t>
  </si>
  <si>
    <t>66,671.65</t>
  </si>
  <si>
    <t>66,385.58</t>
  </si>
  <si>
    <t>67,123.41</t>
  </si>
  <si>
    <t>67,103.09</t>
  </si>
  <si>
    <t>65,850.84</t>
  </si>
  <si>
    <t>64,975.95</t>
  </si>
  <si>
    <t>65,539.24</t>
  </si>
  <si>
    <t>65,794.28</t>
  </si>
  <si>
    <t>65,652.50</t>
  </si>
  <si>
    <t>66,350.98</t>
  </si>
  <si>
    <t>66,190.75</t>
  </si>
  <si>
    <t>64,271.36</t>
  </si>
  <si>
    <t>64,392.43</t>
  </si>
  <si>
    <t>64,528.23</t>
  </si>
  <si>
    <t>64,588.09</t>
  </si>
  <si>
    <t>64,769.20</t>
  </si>
  <si>
    <t>65,675.48</t>
  </si>
  <si>
    <t>65,832.67</t>
  </si>
  <si>
    <t>65,612.76</t>
  </si>
  <si>
    <t>66,312.83</t>
  </si>
  <si>
    <t>64,227.23</t>
  </si>
  <si>
    <t>63,726.37</t>
  </si>
  <si>
    <t>63,263.94</t>
  </si>
  <si>
    <t>63,808.32</t>
  </si>
  <si>
    <t>64,025.95</t>
  </si>
  <si>
    <t>63,625.66</t>
  </si>
  <si>
    <t>63,416.66</t>
  </si>
  <si>
    <t>65,276.97</t>
  </si>
  <si>
    <t>66,208.71</t>
  </si>
  <si>
    <t>66,602.84</t>
  </si>
  <si>
    <t>66,474.86</t>
  </si>
  <si>
    <t>66,584.34</t>
  </si>
  <si>
    <t>67,568.26</t>
  </si>
  <si>
    <t>67,964.02</t>
  </si>
  <si>
    <t>68,273.71</t>
  </si>
  <si>
    <t>69,772.41</t>
  </si>
  <si>
    <t>68,708.48</t>
  </si>
  <si>
    <t>67,260.23</t>
  </si>
  <si>
    <t>66,715.83</t>
  </si>
  <si>
    <t>67,538.77</t>
  </si>
  <si>
    <t>67,399.39</t>
  </si>
  <si>
    <t>67,378.31</t>
  </si>
  <si>
    <t>66,021.71</t>
  </si>
  <si>
    <t>67,257.14</t>
  </si>
  <si>
    <t>67,900.48</t>
  </si>
  <si>
    <t>69,207.02</t>
  </si>
  <si>
    <t>70,173.09</t>
  </si>
  <si>
    <t>70,340.70</t>
  </si>
  <si>
    <t>69,808.71</t>
  </si>
  <si>
    <t>69,772.27</t>
  </si>
  <si>
    <t>69,195.60</t>
  </si>
  <si>
    <t>69,719.43</t>
  </si>
  <si>
    <t>71,011.38</t>
  </si>
  <si>
    <t>70,967.35</t>
  </si>
  <si>
    <t>71,504.69</t>
  </si>
  <si>
    <t>70,740.63</t>
  </si>
  <si>
    <t>70,731.32</t>
  </si>
  <si>
    <t>71,264.77</t>
  </si>
  <si>
    <t>69,744.90</t>
  </si>
  <si>
    <t>70,266.13</t>
  </si>
  <si>
    <t>69,519.27</t>
  </si>
  <si>
    <t>68,717.02</t>
  </si>
  <si>
    <t>68,610.57</t>
  </si>
  <si>
    <t>68,002.23</t>
  </si>
  <si>
    <t>68,642.59</t>
  </si>
  <si>
    <t>68,934.01</t>
  </si>
  <si>
    <t>68,610.75</t>
  </si>
  <si>
    <t>68,424.97</t>
  </si>
  <si>
    <t>68,421.80</t>
  </si>
  <si>
    <t>67,749.79</t>
  </si>
  <si>
    <t>68,069.58</t>
  </si>
  <si>
    <t>67,907.24</t>
  </si>
  <si>
    <t>67,652.46</t>
  </si>
  <si>
    <t>67,785.04</t>
  </si>
  <si>
    <t>67,016.14</t>
  </si>
  <si>
    <t>65,088.90</t>
  </si>
  <si>
    <t>64,712.88</t>
  </si>
  <si>
    <t>66,142.69</t>
  </si>
  <si>
    <t>67,163.71</t>
  </si>
  <si>
    <t>67,226.75</t>
  </si>
  <si>
    <t>68,327.40</t>
  </si>
  <si>
    <t>67,909.29</t>
  </si>
  <si>
    <t>65,756.36</t>
  </si>
  <si>
    <t>65,005.81</t>
  </si>
  <si>
    <t>67,024.82</t>
  </si>
  <si>
    <t>65,661.73</t>
  </si>
  <si>
    <t>66,223.31</t>
  </si>
  <si>
    <t>67,747.41</t>
  </si>
  <si>
    <t>68,058.12</t>
  </si>
  <si>
    <t>67,826.78</t>
  </si>
  <si>
    <t>66,348.75</t>
  </si>
  <si>
    <t>65,295.42</t>
  </si>
  <si>
    <t>65,712.68</t>
  </si>
  <si>
    <t>66,747.23</t>
  </si>
  <si>
    <t>66,350.31</t>
  </si>
  <si>
    <t>65,390.88</t>
  </si>
  <si>
    <t>67,502.09</t>
  </si>
  <si>
    <t>65,683.52</t>
  </si>
  <si>
    <t>66,381.03</t>
  </si>
  <si>
    <t>67,803.51</t>
  </si>
  <si>
    <t>68,910.80</t>
  </si>
  <si>
    <t>69,950.21</t>
  </si>
  <si>
    <t>70,318.23</t>
  </si>
  <si>
    <t>71,120.09</t>
  </si>
  <si>
    <t>70,920.45</t>
  </si>
  <si>
    <t>71,035.00</t>
  </si>
  <si>
    <t>70,849.38</t>
  </si>
  <si>
    <t>72,094.87</t>
  </si>
  <si>
    <t>71,958.15</t>
  </si>
  <si>
    <t>70,485.46</t>
  </si>
  <si>
    <t>69,483.76</t>
  </si>
  <si>
    <t>67,585.25</t>
  </si>
  <si>
    <t>67,690.72</t>
  </si>
  <si>
    <t>68,367.37</t>
  </si>
  <si>
    <t>67,575.28</t>
  </si>
  <si>
    <t>68,245.84</t>
  </si>
  <si>
    <t>69,083.44</t>
  </si>
  <si>
    <t>69,696.39</t>
  </si>
  <si>
    <t>69,211.76</t>
  </si>
  <si>
    <t>68,650.66</t>
  </si>
  <si>
    <t>67,251.89</t>
  </si>
  <si>
    <t>68,416.41</t>
  </si>
  <si>
    <t>66,966.73</t>
  </si>
  <si>
    <t>66,769.12</t>
  </si>
  <si>
    <t>67,978.14</t>
  </si>
  <si>
    <t>69,682.65</t>
  </si>
  <si>
    <t>70,357.58</t>
  </si>
  <si>
    <t>71,338.99</t>
  </si>
  <si>
    <t>72,438.25</t>
  </si>
  <si>
    <t>71,534.57</t>
  </si>
  <si>
    <t>70,264.11</t>
  </si>
  <si>
    <t>69,750.67</t>
  </si>
  <si>
    <t>72,264.90</t>
  </si>
  <si>
    <t>73,350.94</t>
  </si>
  <si>
    <t>73,783.43</t>
  </si>
  <si>
    <t>73,830.27</t>
  </si>
  <si>
    <t>73,382.83</t>
  </si>
  <si>
    <t>73,128.65</t>
  </si>
  <si>
    <t>73,801.88</t>
  </si>
  <si>
    <t>74,426.40</t>
  </si>
  <si>
    <t>74,776.11</t>
  </si>
  <si>
    <t>74,008.07</t>
  </si>
  <si>
    <t>74,359.03</t>
  </si>
  <si>
    <t>75,286.61</t>
  </si>
  <si>
    <t>75,835.07</t>
  </si>
  <si>
    <t>75,907.90</t>
  </si>
  <si>
    <t>75,497.15</t>
  </si>
  <si>
    <t>75,425.31</t>
  </si>
  <si>
    <t>74,776.39</t>
  </si>
  <si>
    <t>74,194.35</t>
  </si>
  <si>
    <t>74,324.67</t>
  </si>
  <si>
    <t>74,349.94</t>
  </si>
  <si>
    <t>74,838.09</t>
  </si>
  <si>
    <t>75,751.41</t>
  </si>
  <si>
    <t>74,847.63</t>
  </si>
  <si>
    <t>74,124.27</t>
  </si>
  <si>
    <t>73,484.30</t>
  </si>
  <si>
    <t>70,628.20</t>
  </si>
  <si>
    <t>71,903.72</t>
  </si>
  <si>
    <t>73,685.89</t>
  </si>
  <si>
    <t>73,889.41</t>
  </si>
  <si>
    <t>72,684.82</t>
  </si>
  <si>
    <t>72,398.62</t>
  </si>
  <si>
    <t>73,295.88</t>
  </si>
  <si>
    <t>74,734.37</t>
  </si>
  <si>
    <t>77,390.85</t>
  </si>
  <si>
    <t>77,536.12</t>
  </si>
  <si>
    <t>77,110.69</t>
  </si>
  <si>
    <t>76,090.51</t>
  </si>
  <si>
    <t>74,205.69</t>
  </si>
  <si>
    <t>73,697.11</t>
  </si>
  <si>
    <t>74,987.05</t>
  </si>
  <si>
    <t>75,653.84</t>
  </si>
  <si>
    <t>75,528.46</t>
  </si>
  <si>
    <t>76,368.34</t>
  </si>
  <si>
    <t>76,154.69</t>
  </si>
  <si>
    <t>76,502.59</t>
  </si>
  <si>
    <t>75,853.16</t>
  </si>
  <si>
    <t>75,765.16</t>
  </si>
  <si>
    <t>76,382.95</t>
  </si>
  <si>
    <t>76,585.19</t>
  </si>
  <si>
    <t>76,690.92</t>
  </si>
  <si>
    <t>76,090.52</t>
  </si>
  <si>
    <t>75,679.56</t>
  </si>
  <si>
    <t>75,206.00</t>
  </si>
  <si>
    <t>75,021.67</t>
  </si>
  <si>
    <t>75,190.74</t>
  </si>
  <si>
    <t>74,889.17</t>
  </si>
  <si>
    <t>74,304.56</t>
  </si>
  <si>
    <t>73,454.96</t>
  </si>
  <si>
    <t>73,504.04</t>
  </si>
  <si>
    <t>73,797.33</t>
  </si>
  <si>
    <t>72,314.81</t>
  </si>
  <si>
    <t>72,164.02</t>
  </si>
  <si>
    <t>74,834.52</t>
  </si>
  <si>
    <t>76,233.26</t>
  </si>
  <si>
    <t>76,176.15</t>
  </si>
  <si>
    <t>74,955.66</t>
  </si>
  <si>
    <t>75,593.47</t>
  </si>
  <si>
    <t>75,160.21</t>
  </si>
  <si>
    <t>75,925.55</t>
  </si>
  <si>
    <t>75,884.75</t>
  </si>
  <si>
    <t>73,971.43</t>
  </si>
  <si>
    <t>73,830.47</t>
  </si>
  <si>
    <t>73,939.71</t>
  </si>
  <si>
    <t>74,165.25</t>
  </si>
  <si>
    <t>75,060.92</t>
  </si>
  <si>
    <t>75,052.06</t>
  </si>
  <si>
    <t>73,722.60</t>
  </si>
  <si>
    <t>73,709.39</t>
  </si>
  <si>
    <t>73,786.45</t>
  </si>
  <si>
    <t>73,238.01</t>
  </si>
  <si>
    <t>72,444.52</t>
  </si>
  <si>
    <t>71,570.64</t>
  </si>
  <si>
    <t>71,684.10</t>
  </si>
  <si>
    <t>71,359.04</t>
  </si>
  <si>
    <t>71,119.36</t>
  </si>
  <si>
    <t>70,087.63</t>
  </si>
  <si>
    <t>71,203.13</t>
  </si>
  <si>
    <t>71,467.17</t>
  </si>
  <si>
    <t>71,544.82</t>
  </si>
  <si>
    <t>71,429.88</t>
  </si>
  <si>
    <t>71,686.33</t>
  </si>
  <si>
    <t>72,207.64</t>
  </si>
  <si>
    <t>72,403.88</t>
  </si>
  <si>
    <t>72,939.25</t>
  </si>
  <si>
    <t>71,016.63</t>
  </si>
  <si>
    <t>70,807.60</t>
  </si>
  <si>
    <t>71,020.76</t>
  </si>
  <si>
    <t>71,198.08</t>
  </si>
  <si>
    <t>70,475.02</t>
  </si>
  <si>
    <t>70,008.54</t>
  </si>
  <si>
    <t>68,614.98</t>
  </si>
  <si>
    <t>70,554.68</t>
  </si>
  <si>
    <t>70,558.89</t>
  </si>
  <si>
    <t>71,015.40</t>
  </si>
  <si>
    <t>70,865.85</t>
  </si>
  <si>
    <t>70,376.42</t>
  </si>
  <si>
    <t>70,866.57</t>
  </si>
  <si>
    <t>70,942.34</t>
  </si>
  <si>
    <t>70,938.41</t>
  </si>
  <si>
    <t>70,090.54</t>
  </si>
  <si>
    <t>69,921.37</t>
  </si>
  <si>
    <t>69,131.56</t>
  </si>
  <si>
    <t>68,279.40</t>
  </si>
  <si>
    <t>67,983.20</t>
  </si>
  <si>
    <t>68,049.34</t>
  </si>
  <si>
    <t>67,825.34</t>
  </si>
  <si>
    <t>68,156.21</t>
  </si>
  <si>
    <t>68,587.27</t>
  </si>
  <si>
    <t>67,782.20</t>
  </si>
  <si>
    <t>67,464.69</t>
  </si>
  <si>
    <t>67,759.76</t>
  </si>
  <si>
    <t>67,475.09</t>
  </si>
  <si>
    <t>67,615.31</t>
  </si>
  <si>
    <t>66,980.45</t>
  </si>
  <si>
    <t>67,050.52</t>
  </si>
  <si>
    <t>66,057.58</t>
  </si>
  <si>
    <t>66,894.79</t>
  </si>
  <si>
    <t>66,776.15</t>
  </si>
  <si>
    <t>66,792.10</t>
  </si>
  <si>
    <t>67,028.86</t>
  </si>
  <si>
    <t>66,846.17</t>
  </si>
  <si>
    <t>66,012.78</t>
  </si>
  <si>
    <t>65,988.12</t>
  </si>
  <si>
    <t>66,101.04</t>
  </si>
  <si>
    <t>65,242.61</t>
  </si>
  <si>
    <t>65,157.75</t>
  </si>
  <si>
    <t>63,987.02</t>
  </si>
  <si>
    <t>64,542.87</t>
  </si>
  <si>
    <t>64,129.00</t>
  </si>
  <si>
    <t>63,661.02</t>
  </si>
  <si>
    <t>64,281.77</t>
  </si>
  <si>
    <t>64,363.66</t>
  </si>
  <si>
    <t>63,784.41</t>
  </si>
  <si>
    <t>64,197.36</t>
  </si>
  <si>
    <t>64,049.05</t>
  </si>
  <si>
    <t>63,353.05</t>
  </si>
  <si>
    <t>62,362.18</t>
  </si>
  <si>
    <t>61,453.42</t>
  </si>
  <si>
    <t>62,863.64</t>
  </si>
  <si>
    <t>63,313.75</t>
  </si>
  <si>
    <t>64,385.13</t>
  </si>
  <si>
    <t>64,300.46</t>
  </si>
  <si>
    <t>64,652.32</t>
  </si>
  <si>
    <t>64,296.06</t>
  </si>
  <si>
    <t>64,176.53</t>
  </si>
  <si>
    <t>65,525.35</t>
  </si>
  <si>
    <t>66,514.91</t>
  </si>
  <si>
    <t>66,253.80</t>
  </si>
  <si>
    <t>66,371.85</t>
  </si>
  <si>
    <t>66,654.24</t>
  </si>
  <si>
    <t>66,976.05</t>
  </si>
  <si>
    <t>67,427.93</t>
  </si>
  <si>
    <t>67,064.69</t>
  </si>
  <si>
    <t>67,646.08</t>
  </si>
  <si>
    <t>67,068.74</t>
  </si>
  <si>
    <t>67,452.86</t>
  </si>
  <si>
    <t>67,451.54</t>
  </si>
  <si>
    <t>66,829.21</t>
  </si>
  <si>
    <t>66,011.06</t>
  </si>
  <si>
    <t>66,113.48</t>
  </si>
  <si>
    <t>67,905.68</t>
  </si>
  <si>
    <t>68,939.84</t>
  </si>
  <si>
    <t>68,824.70</t>
  </si>
  <si>
    <t>69,384.76</t>
  </si>
  <si>
    <t>69,401.95</t>
  </si>
  <si>
    <t>69,617.16</t>
  </si>
  <si>
    <t>69,602.04</t>
  </si>
  <si>
    <t>68,673.95</t>
  </si>
  <si>
    <t>68,371.23</t>
  </si>
  <si>
    <t>68,898.04</t>
  </si>
  <si>
    <t>68,705.73</t>
  </si>
  <si>
    <t>68,822.75</t>
  </si>
  <si>
    <t>68,970.78</t>
  </si>
  <si>
    <t>69,565.23</t>
  </si>
  <si>
    <t>68,525.54</t>
  </si>
  <si>
    <t>67,340.72</t>
  </si>
  <si>
    <t>68,051.05</t>
  </si>
  <si>
    <t>68,063.70</t>
  </si>
  <si>
    <t>67,404.27</t>
  </si>
  <si>
    <t>66,558.46</t>
  </si>
  <si>
    <t>65,724.68</t>
  </si>
  <si>
    <t>64,804.74</t>
  </si>
  <si>
    <t>66,529.53</t>
  </si>
  <si>
    <t>67,538.61</t>
  </si>
  <si>
    <t>67,897.60</t>
  </si>
  <si>
    <t>67,088.27</t>
  </si>
  <si>
    <t>67,293.33</t>
  </si>
  <si>
    <t>66,385.57</t>
  </si>
  <si>
    <t>65,243.50</t>
  </si>
  <si>
    <t>66,806.36</t>
  </si>
  <si>
    <t>65,849.75</t>
  </si>
  <si>
    <t>66,166.86</t>
  </si>
  <si>
    <t>66,323.76</t>
  </si>
  <si>
    <t>66,555.78</t>
  </si>
  <si>
    <t>66,248.74</t>
  </si>
  <si>
    <t>66,548.71</t>
  </si>
  <si>
    <t>65,809.35</t>
  </si>
  <si>
    <t>66,215.47</t>
  </si>
  <si>
    <t>66,263.49</t>
  </si>
  <si>
    <t>65,819.63</t>
  </si>
  <si>
    <t>65,551.73</t>
  </si>
  <si>
    <t>65,563.48</t>
  </si>
  <si>
    <t>65,635.23</t>
  </si>
  <si>
    <t>66,585.48</t>
  </si>
  <si>
    <t>67,310.57</t>
  </si>
  <si>
    <t>67,941.48</t>
  </si>
  <si>
    <t>67,723.91</t>
  </si>
  <si>
    <t>67,542.84</t>
  </si>
  <si>
    <t>67,681.47</t>
  </si>
  <si>
    <t>67,644.84</t>
  </si>
  <si>
    <t>67,575.42</t>
  </si>
  <si>
    <t>67,825.02</t>
  </si>
  <si>
    <t>67,791.38</t>
  </si>
  <si>
    <t>69,049.04</t>
  </si>
  <si>
    <t>68,922.86</t>
  </si>
  <si>
    <t>67,964.04</t>
  </si>
  <si>
    <t>67,554.86</t>
  </si>
  <si>
    <t>66,940.25</t>
  </si>
  <si>
    <t>66,108.23</t>
  </si>
  <si>
    <t>66,076.68</t>
  </si>
  <si>
    <t>66,054.92</t>
  </si>
  <si>
    <t>66,238.93</t>
  </si>
  <si>
    <t>66,124.44</t>
  </si>
  <si>
    <t>65,855.81</t>
  </si>
  <si>
    <t>67,254.92</t>
  </si>
  <si>
    <t>67,217.11</t>
  </si>
  <si>
    <t>66,598.13</t>
  </si>
  <si>
    <t>66,168.65</t>
  </si>
  <si>
    <t>67,424.27</t>
  </si>
  <si>
    <t>67,241.20</t>
  </si>
  <si>
    <t>68,377.23</t>
  </si>
  <si>
    <t>68,519.53</t>
  </si>
  <si>
    <t>67,608.89</t>
  </si>
  <si>
    <t>67,346.19</t>
  </si>
  <si>
    <t>66,173.97</t>
  </si>
  <si>
    <t>66,586.24</t>
  </si>
  <si>
    <t>66,937.00</t>
  </si>
  <si>
    <t>67,392.73</t>
  </si>
  <si>
    <t>67,740.11</t>
  </si>
  <si>
    <t>67,572.58</t>
  </si>
  <si>
    <t>67,295.74</t>
  </si>
  <si>
    <t>66,971.59</t>
  </si>
  <si>
    <t>67,145.75</t>
  </si>
  <si>
    <t>66,835.52</t>
  </si>
  <si>
    <t>68,094.28</t>
  </si>
  <si>
    <t>68,698.78</t>
  </si>
  <si>
    <t>67,823.09</t>
  </si>
  <si>
    <t>67,812.15</t>
  </si>
  <si>
    <t>67,072.49</t>
  </si>
  <si>
    <t>66,390.02</t>
  </si>
  <si>
    <t>67,191.27</t>
  </si>
  <si>
    <t>67,053.97</t>
  </si>
  <si>
    <t>67,160.42</t>
  </si>
  <si>
    <t>68,063.89</t>
  </si>
  <si>
    <t>67,236.31</t>
  </si>
  <si>
    <t>66,485.29</t>
  </si>
  <si>
    <t>67,291.66</t>
  </si>
  <si>
    <t>67,089.37</t>
  </si>
  <si>
    <t>66,833.99</t>
  </si>
  <si>
    <t>64,783.62</t>
  </si>
  <si>
    <t>65,257.09</t>
  </si>
  <si>
    <t>65,318.52</t>
  </si>
  <si>
    <t>65,911.27</t>
  </si>
  <si>
    <t>66,739.74</t>
  </si>
  <si>
    <t>66,494.49</t>
  </si>
  <si>
    <t>67,289.37</t>
  </si>
  <si>
    <t>67,566.42</t>
  </si>
  <si>
    <t>68,209.86</t>
  </si>
  <si>
    <t>68,775.06</t>
  </si>
  <si>
    <t>68,516.99</t>
  </si>
  <si>
    <t>68,655.96</t>
  </si>
  <si>
    <t>68,426.17</t>
  </si>
  <si>
    <t>68,271.19</t>
  </si>
  <si>
    <t>67,743.54</t>
  </si>
  <si>
    <t>68,326.79</t>
  </si>
  <si>
    <t>68,510.75</t>
  </si>
  <si>
    <t>67,536.96</t>
  </si>
  <si>
    <t>66,138.05</t>
  </si>
  <si>
    <t>67,483.76</t>
  </si>
  <si>
    <t>66,200.76</t>
  </si>
  <si>
    <t>65,921.60</t>
  </si>
  <si>
    <t>67,362.82</t>
  </si>
  <si>
    <t>67,464.86</t>
  </si>
  <si>
    <t>66,575.45</t>
  </si>
  <si>
    <t>67,110.07</t>
  </si>
  <si>
    <t>67,227.06</t>
  </si>
  <si>
    <t>67,124.83</t>
  </si>
  <si>
    <t>66,132.24</t>
  </si>
  <si>
    <t>65,882.72</t>
  </si>
  <si>
    <t>66,150.82</t>
  </si>
  <si>
    <t>65,162.69</t>
  </si>
  <si>
    <t>65,059.16</t>
  </si>
  <si>
    <t>64,289.48</t>
  </si>
  <si>
    <t>63,786.21</t>
  </si>
  <si>
    <t>63,010.61</t>
  </si>
  <si>
    <t>62,733.65</t>
  </si>
  <si>
    <t>62,796.65</t>
  </si>
  <si>
    <t>62,472.10</t>
  </si>
  <si>
    <t>63,206.72</t>
  </si>
  <si>
    <t>62,784.52</t>
  </si>
  <si>
    <t>63,923.63</t>
  </si>
  <si>
    <t>64,559.85</t>
  </si>
  <si>
    <t>63,987.92</t>
  </si>
  <si>
    <t>64,174.88</t>
  </si>
  <si>
    <t>64,108.51</t>
  </si>
  <si>
    <t>63,603.26</t>
  </si>
  <si>
    <t>63,713.87</t>
  </si>
  <si>
    <t>63,549.75</t>
  </si>
  <si>
    <t>63,884.77</t>
  </si>
  <si>
    <t>63,474.53</t>
  </si>
  <si>
    <t>63,535.10</t>
  </si>
  <si>
    <t>63,759.93</t>
  </si>
  <si>
    <t>63,519.18</t>
  </si>
  <si>
    <t>63,042.88</t>
  </si>
  <si>
    <t>61,857.42</t>
  </si>
  <si>
    <t>60,921.37</t>
  </si>
  <si>
    <t>60,479.42</t>
  </si>
  <si>
    <t>59,408.68</t>
  </si>
  <si>
    <t>59,634.93</t>
  </si>
  <si>
    <t>59,246.40</t>
  </si>
  <si>
    <t>59,006.07</t>
  </si>
  <si>
    <t>59,175.80</t>
  </si>
  <si>
    <t>58,986.72</t>
  </si>
  <si>
    <t>58,619.75</t>
  </si>
  <si>
    <t>58,714.87</t>
  </si>
  <si>
    <t>59,788.12</t>
  </si>
  <si>
    <t>60,544.30</t>
  </si>
  <si>
    <t>59,478.26</t>
  </si>
  <si>
    <t>59,508.80</t>
  </si>
  <si>
    <t>59,412.61</t>
  </si>
  <si>
    <t>59,282.77</t>
  </si>
  <si>
    <t>59,291.75</t>
  </si>
  <si>
    <t>59,159.36</t>
  </si>
  <si>
    <t>59,527.70</t>
  </si>
  <si>
    <t>59,419.37</t>
  </si>
  <si>
    <t>58,947.48</t>
  </si>
  <si>
    <t>58,281.98</t>
  </si>
  <si>
    <t>57,509.72</t>
  </si>
  <si>
    <t>57,091.89</t>
  </si>
  <si>
    <t>57,822.50</t>
  </si>
  <si>
    <t>57,923.69</t>
  </si>
  <si>
    <t>57,742.19</t>
  </si>
  <si>
    <t>57,761.92</t>
  </si>
  <si>
    <t>57,147.31</t>
  </si>
  <si>
    <t>56,615.28</t>
  </si>
  <si>
    <t>56,753.49</t>
  </si>
  <si>
    <t>57,323.67</t>
  </si>
  <si>
    <t>57,053.01</t>
  </si>
  <si>
    <t>57,267.00</t>
  </si>
  <si>
    <t>57,182.60</t>
  </si>
  <si>
    <t>57,031.19</t>
  </si>
  <si>
    <t>57,607.30</t>
  </si>
  <si>
    <t>57,672.12</t>
  </si>
  <si>
    <t>57,307.49</t>
  </si>
  <si>
    <t>56,387.04</t>
  </si>
  <si>
    <t>55,225.24</t>
  </si>
  <si>
    <t>53,656.21</t>
  </si>
  <si>
    <t>53,187.81</t>
  </si>
  <si>
    <t>52,618.04</t>
  </si>
  <si>
    <t>51,684.70</t>
  </si>
  <si>
    <t>51,896.97</t>
  </si>
  <si>
    <t>52,308.14</t>
  </si>
  <si>
    <t>54,079.43</t>
  </si>
  <si>
    <t>54,890.88</t>
  </si>
  <si>
    <t>55,339.58</t>
  </si>
  <si>
    <t>54,796.42</t>
  </si>
  <si>
    <t>55,345.49</t>
  </si>
  <si>
    <t>55,271.75</t>
  </si>
  <si>
    <t>55,161.03</t>
  </si>
  <si>
    <t>55,047.26</t>
  </si>
  <si>
    <t>54,843.96</t>
  </si>
  <si>
    <t>55,394.23</t>
  </si>
  <si>
    <t>55,054.53</t>
  </si>
  <si>
    <t>55,552.35</t>
  </si>
  <si>
    <t>55,182.99</t>
  </si>
  <si>
    <t>54,554.85</t>
  </si>
  <si>
    <t>54,749.77</t>
  </si>
  <si>
    <t>54,203.83</t>
  </si>
  <si>
    <t>54,524.05</t>
  </si>
  <si>
    <t>54,219.24</t>
  </si>
  <si>
    <t>54,446.78</t>
  </si>
  <si>
    <t>54,264.96</t>
  </si>
  <si>
    <t>54,506.88</t>
  </si>
  <si>
    <t>54,718.80</t>
  </si>
  <si>
    <t>53,587.11</t>
  </si>
  <si>
    <t>54,247.81</t>
  </si>
  <si>
    <t>53,265.33</t>
  </si>
  <si>
    <t>53,319.08</t>
  </si>
  <si>
    <t>54,673.65</t>
  </si>
  <si>
    <t>55,035.60</t>
  </si>
  <si>
    <t>55,960.74</t>
  </si>
  <si>
    <t>56,130.78</t>
  </si>
  <si>
    <t>56,327.05</t>
  </si>
  <si>
    <t>56,087.84</t>
  </si>
  <si>
    <t>55,953.96</t>
  </si>
  <si>
    <t>55,211.34</t>
  </si>
  <si>
    <t>54,438.82</t>
  </si>
  <si>
    <t>54,400.28</t>
  </si>
  <si>
    <t>53,878.95</t>
  </si>
  <si>
    <t>54,522.35</t>
  </si>
  <si>
    <t>55,861.88</t>
  </si>
  <si>
    <t>55,927.69</t>
  </si>
  <si>
    <t>55,476.11</t>
  </si>
  <si>
    <t>56,057.10</t>
  </si>
  <si>
    <t>56,869.67</t>
  </si>
  <si>
    <t>56,572.24</t>
  </si>
  <si>
    <t>56,114.23</t>
  </si>
  <si>
    <t>56,625.42</t>
  </si>
  <si>
    <t>55,949.92</t>
  </si>
  <si>
    <t>55,629.98</t>
  </si>
  <si>
    <t>56,433.28</t>
  </si>
  <si>
    <t>57,025.16</t>
  </si>
  <si>
    <t>57,435.08</t>
  </si>
  <si>
    <t>57,077.48</t>
  </si>
  <si>
    <t>57,419.46</t>
  </si>
  <si>
    <t>57,417.28</t>
  </si>
  <si>
    <t>57,168.24</t>
  </si>
  <si>
    <t>56,757.73</t>
  </si>
  <si>
    <t>57,656.69</t>
  </si>
  <si>
    <t>57,629.36</t>
  </si>
  <si>
    <t>56,248.93</t>
  </si>
  <si>
    <t>55,829.40</t>
  </si>
  <si>
    <t>55,721.80</t>
  </si>
  <si>
    <t>55,844.90</t>
  </si>
  <si>
    <t>56,707.74</t>
  </si>
  <si>
    <t>56,488.11</t>
  </si>
  <si>
    <t>56,326.20</t>
  </si>
  <si>
    <t>55,645.65</t>
  </si>
  <si>
    <t>56,070.70</t>
  </si>
  <si>
    <t>55,834.24</t>
  </si>
  <si>
    <t>56,422.14</t>
  </si>
  <si>
    <t>56,265.36</t>
  </si>
  <si>
    <t>55,911.80</t>
  </si>
  <si>
    <t>55,729.45</t>
  </si>
  <si>
    <t>55,947.05</t>
  </si>
  <si>
    <t>55,531.05</t>
  </si>
  <si>
    <t>56,199.46</t>
  </si>
  <si>
    <t>55,417.89</t>
  </si>
  <si>
    <t>55,787.90</t>
  </si>
  <si>
    <t>55,870.69</t>
  </si>
  <si>
    <t>55,243.80</t>
  </si>
  <si>
    <t>54,846.28</t>
  </si>
  <si>
    <t>54,521.90</t>
  </si>
  <si>
    <t>54,617.19</t>
  </si>
  <si>
    <t>53,787.72</t>
  </si>
  <si>
    <t>54,362.36</t>
  </si>
  <si>
    <t>54,141.50</t>
  </si>
  <si>
    <t>53,648.05</t>
  </si>
  <si>
    <t>53,914.05</t>
  </si>
  <si>
    <t>54,447.73</t>
  </si>
  <si>
    <t>55,474.93</t>
  </si>
  <si>
    <t>54,230.17</t>
  </si>
  <si>
    <t>54,224.40</t>
  </si>
  <si>
    <t>53,941.22</t>
  </si>
  <si>
    <t>54,027.42</t>
  </si>
  <si>
    <t>52,270.20</t>
  </si>
  <si>
    <t>53,639.64</t>
  </si>
  <si>
    <t>53,295.30</t>
  </si>
  <si>
    <t>53,672.63</t>
  </si>
  <si>
    <t>54,483.48</t>
  </si>
  <si>
    <t>54,684.32</t>
  </si>
  <si>
    <t>54,722.38</t>
  </si>
  <si>
    <t>53,204.79</t>
  </si>
  <si>
    <t>53,645.28</t>
  </si>
  <si>
    <t>52,496.86</t>
  </si>
  <si>
    <t>50,929.59</t>
  </si>
  <si>
    <t>50,483.00</t>
  </si>
  <si>
    <t>51,389.12</t>
  </si>
  <si>
    <t>50,495.95</t>
  </si>
  <si>
    <t>50,602.50</t>
  </si>
  <si>
    <t>50,074.21</t>
  </si>
  <si>
    <t>50,147.21</t>
  </si>
  <si>
    <t>51,022.76</t>
  </si>
  <si>
    <t>52,142.75</t>
  </si>
  <si>
    <t>51,950.14</t>
  </si>
  <si>
    <t>51,382.06</t>
  </si>
  <si>
    <t>49,628.72</t>
  </si>
  <si>
    <t>49,113.06</t>
  </si>
  <si>
    <t>50,152.05</t>
  </si>
  <si>
    <t>50,319.41</t>
  </si>
  <si>
    <t>50,202.85</t>
  </si>
  <si>
    <t>51,003.58</t>
  </si>
  <si>
    <t>50,019.70</t>
  </si>
  <si>
    <t>49,831.99</t>
  </si>
  <si>
    <t>49,184.16</t>
  </si>
  <si>
    <t>49,186.59</t>
  </si>
  <si>
    <t>50,336.72</t>
  </si>
  <si>
    <t>50,857.25</t>
  </si>
  <si>
    <t>50,029.22</t>
  </si>
  <si>
    <t>49,527.23</t>
  </si>
  <si>
    <t>49,601.82</t>
  </si>
  <si>
    <t>48,108.49</t>
  </si>
  <si>
    <t>47,628.87</t>
  </si>
  <si>
    <t>48,849.52</t>
  </si>
  <si>
    <t>49,134.65</t>
  </si>
  <si>
    <t>48,245.11</t>
  </si>
  <si>
    <t>48,301.28</t>
  </si>
  <si>
    <t>49,874.51</t>
  </si>
  <si>
    <t>48,011.56</t>
  </si>
  <si>
    <t>46,689.90</t>
  </si>
  <si>
    <t>47,496.72</t>
  </si>
  <si>
    <t>46,240.35</t>
  </si>
  <si>
    <t>44,598.70</t>
  </si>
  <si>
    <t>45,060.69</t>
  </si>
  <si>
    <t>43,732.44</t>
  </si>
  <si>
    <t>44,490.31</t>
  </si>
  <si>
    <t>43,413.63</t>
  </si>
  <si>
    <t>42,946.83</t>
  </si>
  <si>
    <t>45,046.35</t>
  </si>
  <si>
    <t>41,149.35</t>
  </si>
  <si>
    <t>38,267.21</t>
  </si>
  <si>
    <t>40,272.00</t>
  </si>
  <si>
    <t>37,963.01</t>
  </si>
  <si>
    <t>38,604.88</t>
  </si>
  <si>
    <t>41,579.58</t>
  </si>
  <si>
    <t>40,500.23</t>
  </si>
  <si>
    <t>44,177.63</t>
  </si>
  <si>
    <t>44,303.47</t>
  </si>
  <si>
    <t>49,074.09</t>
  </si>
  <si>
    <t>49,466.01</t>
  </si>
  <si>
    <t>48,819.55</t>
  </si>
  <si>
    <t>52,064.72</t>
  </si>
  <si>
    <t>52,936.27</t>
  </si>
  <si>
    <t>52,926.75</t>
  </si>
  <si>
    <t>52,957.85</t>
  </si>
  <si>
    <t>51,840.09</t>
  </si>
  <si>
    <t>51,038.18</t>
  </si>
  <si>
    <t>53,444.83</t>
  </si>
  <si>
    <t>55,047.20</t>
  </si>
  <si>
    <t>54,809.51</t>
  </si>
  <si>
    <t>54,881.56</t>
  </si>
  <si>
    <t>57,336.21</t>
  </si>
  <si>
    <t>57,793.03</t>
  </si>
  <si>
    <t>57,940.97</t>
  </si>
  <si>
    <t>57,714.66</t>
  </si>
  <si>
    <t>58,187.96</t>
  </si>
  <si>
    <t>57,861.76</t>
  </si>
  <si>
    <t>57,835.69</t>
  </si>
  <si>
    <t>57,744.13</t>
  </si>
  <si>
    <t>56,981.20</t>
  </si>
  <si>
    <t>56,847.74</t>
  </si>
  <si>
    <t>57,276.49</t>
  </si>
  <si>
    <t>57,531.49</t>
  </si>
  <si>
    <t>57,426.20</t>
  </si>
  <si>
    <t>56,817.03</t>
  </si>
  <si>
    <t>55,828.49</t>
  </si>
  <si>
    <t>56,079.54</t>
  </si>
  <si>
    <t>56,590.93</t>
  </si>
  <si>
    <t>56,370.72</t>
  </si>
  <si>
    <t>55,748.24</t>
  </si>
  <si>
    <t>55,902.94</t>
  </si>
  <si>
    <t>57,261.04</t>
  </si>
  <si>
    <t>56,894.67</t>
  </si>
  <si>
    <t>57,918.89</t>
  </si>
  <si>
    <t>57,976.39</t>
  </si>
  <si>
    <t>58,850.41</t>
  </si>
  <si>
    <t>59,001.87</t>
  </si>
  <si>
    <t>58,217.43</t>
  </si>
  <si>
    <t>58,063.59</t>
  </si>
  <si>
    <t>57,967.13</t>
  </si>
  <si>
    <t>57,572.72</t>
  </si>
  <si>
    <t>57,484.84</t>
  </si>
  <si>
    <t>57,128.68</t>
  </si>
  <si>
    <t>57,322.33</t>
  </si>
  <si>
    <t>57,384.41</t>
  </si>
  <si>
    <t>57,195.35</t>
  </si>
  <si>
    <t>57,810.00</t>
  </si>
  <si>
    <t>57,718.00</t>
  </si>
  <si>
    <t>57,084.10</t>
  </si>
  <si>
    <t>57,703.56</t>
  </si>
  <si>
    <t>57,430.70</t>
  </si>
  <si>
    <t>57,244.87</t>
  </si>
  <si>
    <t>57,092.85</t>
  </si>
  <si>
    <t>57,411.21</t>
  </si>
  <si>
    <t>57,558.92</t>
  </si>
  <si>
    <t>57,767.81</t>
  </si>
  <si>
    <t>57,326.18</t>
  </si>
  <si>
    <t>56,749.12</t>
  </si>
  <si>
    <t>55,824.08</t>
  </si>
  <si>
    <t>55,766.45</t>
  </si>
  <si>
    <t>55,417.93</t>
  </si>
  <si>
    <t>55,269.20</t>
  </si>
  <si>
    <t>55,307.31</t>
  </si>
  <si>
    <t>54,779.76</t>
  </si>
  <si>
    <t>55,022.87</t>
  </si>
  <si>
    <t>54,485.41</t>
  </si>
  <si>
    <t>54,814.07</t>
  </si>
  <si>
    <t>55,349.01</t>
  </si>
  <si>
    <t>55,702.45</t>
  </si>
  <si>
    <t>56,173.86</t>
  </si>
  <si>
    <t>56,053.38</t>
  </si>
  <si>
    <t>56,747.88</t>
  </si>
  <si>
    <t>56,759.62</t>
  </si>
  <si>
    <t>56,540.25</t>
  </si>
  <si>
    <t>57,313.44</t>
  </si>
  <si>
    <t>57,372.55</t>
  </si>
  <si>
    <t>56,467.03</t>
  </si>
  <si>
    <t>56,054.77</t>
  </si>
  <si>
    <t>56,235.94</t>
  </si>
  <si>
    <t>56,338.33</t>
  </si>
  <si>
    <t>56,399.10</t>
  </si>
  <si>
    <t>56,174.93</t>
  </si>
  <si>
    <t>56,617.02</t>
  </si>
  <si>
    <t>57,483.00</t>
  </si>
  <si>
    <t>57,652.58</t>
  </si>
  <si>
    <t>57,246.91</t>
  </si>
  <si>
    <t>56,928.87</t>
  </si>
  <si>
    <t>56,650.01</t>
  </si>
  <si>
    <t>56,425.11</t>
  </si>
  <si>
    <t>55,872.60</t>
  </si>
  <si>
    <t>55,716.69</t>
  </si>
  <si>
    <t>55,761.98</t>
  </si>
  <si>
    <t>55,141.98</t>
  </si>
  <si>
    <t>55,478.45</t>
  </si>
  <si>
    <t>55,571.45</t>
  </si>
  <si>
    <t>55,936.83</t>
  </si>
  <si>
    <t>56,110.78</t>
  </si>
  <si>
    <t>55,722.79</t>
  </si>
  <si>
    <t>55,993.42</t>
  </si>
  <si>
    <t>56,090.51</t>
  </si>
  <si>
    <t>55,573.79</t>
  </si>
  <si>
    <t>55,219.21</t>
  </si>
  <si>
    <t>55,537.02</t>
  </si>
  <si>
    <t>55,071.77</t>
  </si>
  <si>
    <t>54,339.47</t>
  </si>
  <si>
    <t>54,532.68</t>
  </si>
  <si>
    <t>54,714.75</t>
  </si>
  <si>
    <t>53,993.87</t>
  </si>
  <si>
    <t>53,727.29</t>
  </si>
  <si>
    <t>54,003.82</t>
  </si>
  <si>
    <t>54,945.89</t>
  </si>
  <si>
    <t>54,824.97</t>
  </si>
  <si>
    <t>55,209.03</t>
  </si>
  <si>
    <t>55,271.38</t>
  </si>
  <si>
    <t>54,876.83</t>
  </si>
  <si>
    <t>55,622.80</t>
  </si>
  <si>
    <t>56,406.89</t>
  </si>
  <si>
    <t>56,123.83</t>
  </si>
  <si>
    <t>56,220.41</t>
  </si>
  <si>
    <t>56,895.23</t>
  </si>
  <si>
    <t>57,853.90</t>
  </si>
  <si>
    <t>57,123.78</t>
  </si>
  <si>
    <t>56,781.94</t>
  </si>
  <si>
    <t>56,243.78</t>
  </si>
  <si>
    <t>55,335.81</t>
  </si>
  <si>
    <t>55,523.07</t>
  </si>
  <si>
    <t>55,591.09</t>
  </si>
  <si>
    <t>55,476.36</t>
  </si>
  <si>
    <t>54,907.17</t>
  </si>
  <si>
    <t>54,742.07</t>
  </si>
  <si>
    <t>54,785.18</t>
  </si>
  <si>
    <t>55,259.57</t>
  </si>
  <si>
    <t>54,411.47</t>
  </si>
  <si>
    <t>54,255.62</t>
  </si>
  <si>
    <t>53,895.75</t>
  </si>
  <si>
    <t>53,811.89</t>
  </si>
  <si>
    <t>53,995.82</t>
  </si>
  <si>
    <t>54,187.93</t>
  </si>
  <si>
    <t>54,638.03</t>
  </si>
  <si>
    <t>54,280.80</t>
  </si>
  <si>
    <t>54,386.31</t>
  </si>
  <si>
    <t>53,874.52</t>
  </si>
  <si>
    <t>53,840.93</t>
  </si>
  <si>
    <t>54,029.43</t>
  </si>
  <si>
    <t>55,191.97</t>
  </si>
  <si>
    <t>55,371.53</t>
  </si>
  <si>
    <t>55,535.24</t>
  </si>
  <si>
    <t>55,225.32</t>
  </si>
  <si>
    <t>55,062.01</t>
  </si>
  <si>
    <t>54,975.38</t>
  </si>
  <si>
    <t>56,273.92</t>
  </si>
  <si>
    <t>57,223.61</t>
  </si>
  <si>
    <t>56,784.61</t>
  </si>
  <si>
    <t>57,241.55</t>
  </si>
  <si>
    <t>58,034.77</t>
  </si>
  <si>
    <t>57,570.54</t>
  </si>
  <si>
    <t>57,662.89</t>
  </si>
  <si>
    <t>57,718.10</t>
  </si>
  <si>
    <t>58,309.59</t>
  </si>
  <si>
    <t>58,015.09</t>
  </si>
  <si>
    <t>58,248.73</t>
  </si>
  <si>
    <t>57,872.53</t>
  </si>
  <si>
    <t>57,636.01</t>
  </si>
  <si>
    <t>58,052.72</t>
  </si>
  <si>
    <t>57,537.23</t>
  </si>
  <si>
    <t>57,277.35</t>
  </si>
  <si>
    <t>57,273.14</t>
  </si>
  <si>
    <t>57,597.87</t>
  </si>
  <si>
    <t>56,963.80</t>
  </si>
  <si>
    <t>57,731.40</t>
  </si>
  <si>
    <t>57,589.82</t>
  </si>
  <si>
    <t>57,829.47</t>
  </si>
  <si>
    <t>58,012.18</t>
  </si>
  <si>
    <t>58,092.48</t>
  </si>
  <si>
    <t>58,472.52</t>
  </si>
  <si>
    <t>58,203.84</t>
  </si>
  <si>
    <t>58,066.65</t>
  </si>
  <si>
    <t>58,421.72</t>
  </si>
  <si>
    <t>58,343.23</t>
  </si>
  <si>
    <t>58,756.01</t>
  </si>
  <si>
    <t>58,941.47</t>
  </si>
  <si>
    <t>58,973.62</t>
  </si>
  <si>
    <t>58,564.72</t>
  </si>
  <si>
    <t>58,629.09</t>
  </si>
  <si>
    <t>58,193.78</t>
  </si>
  <si>
    <t>58,697.63</t>
  </si>
  <si>
    <t>58,710.55</t>
  </si>
  <si>
    <t>58,767.63</t>
  </si>
  <si>
    <t>58,481.05</t>
  </si>
  <si>
    <t>58,099.84</t>
  </si>
  <si>
    <t>57,090.53</t>
  </si>
  <si>
    <t>57,073.38</t>
  </si>
  <si>
    <t>56,500.38</t>
  </si>
  <si>
    <t>56,286.31</t>
  </si>
  <si>
    <t>55,650.41</t>
  </si>
  <si>
    <t>55,700.59</t>
  </si>
  <si>
    <t>54,997.34</t>
  </si>
  <si>
    <t>54,431.63</t>
  </si>
  <si>
    <t>54,488.15</t>
  </si>
  <si>
    <t>54,423.56</t>
  </si>
  <si>
    <t>54,271.24</t>
  </si>
  <si>
    <t>55,231.05</t>
  </si>
  <si>
    <t>55,523.95</t>
  </si>
  <si>
    <t>55,616.97</t>
  </si>
  <si>
    <t>56,183.21</t>
  </si>
  <si>
    <t>56,537.72</t>
  </si>
  <si>
    <t>56,043.21</t>
  </si>
  <si>
    <t>56,234.28</t>
  </si>
  <si>
    <t>56,373.68</t>
  </si>
  <si>
    <t>56,780.75</t>
  </si>
  <si>
    <t>56,496.08</t>
  </si>
  <si>
    <t>58,043.60</t>
  </si>
  <si>
    <t>58,712.83</t>
  </si>
  <si>
    <t>59,335.90</t>
  </si>
  <si>
    <t>58,743.56</t>
  </si>
  <si>
    <t>58,528.40</t>
  </si>
  <si>
    <t>58,662.68</t>
  </si>
  <si>
    <t>58,894.19</t>
  </si>
  <si>
    <t>58,807.07</t>
  </si>
  <si>
    <t>59,102.68</t>
  </si>
  <si>
    <t>59,544.80</t>
  </si>
  <si>
    <t>59,222.47</t>
  </si>
  <si>
    <t>58,908.31</t>
  </si>
  <si>
    <t>58,902.64</t>
  </si>
  <si>
    <t>58,249.35</t>
  </si>
  <si>
    <t>58,405.30</t>
  </si>
  <si>
    <t>58,186.19</t>
  </si>
  <si>
    <t>58,411.65</t>
  </si>
  <si>
    <t>57,838.37</t>
  </si>
  <si>
    <t>57,985.78</t>
  </si>
  <si>
    <t>57,776.36</t>
  </si>
  <si>
    <t>57,711.02</t>
  </si>
  <si>
    <t>57,926.01</t>
  </si>
  <si>
    <t>57,158.00</t>
  </si>
  <si>
    <t>57,109.64</t>
  </si>
  <si>
    <t>56,462.55</t>
  </si>
  <si>
    <t>56,059.50</t>
  </si>
  <si>
    <t>56,149.30</t>
  </si>
  <si>
    <t>55,638.43</t>
  </si>
  <si>
    <t>55,367.11</t>
  </si>
  <si>
    <t>56,107.48</t>
  </si>
  <si>
    <t>56,145.67</t>
  </si>
  <si>
    <t>56,849.67</t>
  </si>
  <si>
    <t>56,769.86</t>
  </si>
  <si>
    <t>56,040.21</t>
  </si>
  <si>
    <t>55,789.45</t>
  </si>
  <si>
    <t>55,829.10</t>
  </si>
  <si>
    <t>55,699.80</t>
  </si>
  <si>
    <t>55,580.65</t>
  </si>
  <si>
    <t>55,488.79</t>
  </si>
  <si>
    <t>55,857.89</t>
  </si>
  <si>
    <t>56,073.86</t>
  </si>
  <si>
    <t>55,815.43</t>
  </si>
  <si>
    <t>56,217.13</t>
  </si>
  <si>
    <t>56,203.11</t>
  </si>
  <si>
    <t>56,002.08</t>
  </si>
  <si>
    <t>56,297.95</t>
  </si>
  <si>
    <t>56,242.80</t>
  </si>
  <si>
    <t>55,878.20</t>
  </si>
  <si>
    <t>55,992.97</t>
  </si>
  <si>
    <t>55,483.79</t>
  </si>
  <si>
    <t>55,691.58</t>
  </si>
  <si>
    <t>55,194.62</t>
  </si>
  <si>
    <t>55,259.98</t>
  </si>
  <si>
    <t>54,628.41</t>
  </si>
  <si>
    <t>54,527.11</t>
  </si>
  <si>
    <t>54,543.22</t>
  </si>
  <si>
    <t>53,960.51</t>
  </si>
  <si>
    <t>53,409.14</t>
  </si>
  <si>
    <t>53,244.18</t>
  </si>
  <si>
    <t>53,888.85</t>
  </si>
  <si>
    <t>54,574.28</t>
  </si>
  <si>
    <t>54,209.41</t>
  </si>
  <si>
    <t>53,391.83</t>
  </si>
  <si>
    <t>53,930.14</t>
  </si>
  <si>
    <t>54,156.75</t>
  </si>
  <si>
    <t>54,131.67</t>
  </si>
  <si>
    <t>54,387.70</t>
  </si>
  <si>
    <t>53,767.47</t>
  </si>
  <si>
    <t>54,050.23</t>
  </si>
  <si>
    <t>53,639.09</t>
  </si>
  <si>
    <t>53,915.15</t>
  </si>
  <si>
    <t>54,078.37</t>
  </si>
  <si>
    <t>54,139.05</t>
  </si>
  <si>
    <t>53,731.50</t>
  </si>
  <si>
    <t>53,436.21</t>
  </si>
  <si>
    <t>53,786.74</t>
  </si>
  <si>
    <t>53,533.54</t>
  </si>
  <si>
    <t>53,485.59</t>
  </si>
  <si>
    <t>53,653.38</t>
  </si>
  <si>
    <t>53,271.02</t>
  </si>
  <si>
    <t>53,222.89</t>
  </si>
  <si>
    <t>52,165.47</t>
  </si>
  <si>
    <t>51,959.30</t>
  </si>
  <si>
    <t>52,202.95</t>
  </si>
  <si>
    <t>51,669.94</t>
  </si>
  <si>
    <t>51,264.06</t>
  </si>
  <si>
    <t>52,736.86</t>
  </si>
  <si>
    <t>52,444.89</t>
  </si>
  <si>
    <t>51,551.71</t>
  </si>
  <si>
    <t>52,081.11</t>
  </si>
  <si>
    <t>51,430.36</t>
  </si>
  <si>
    <t>51,347.57</t>
  </si>
  <si>
    <t>51,569.77</t>
  </si>
  <si>
    <t>51,237.08</t>
  </si>
  <si>
    <t>51,560.47</t>
  </si>
  <si>
    <t>51,744.16</t>
  </si>
  <si>
    <t>51,598.10</t>
  </si>
  <si>
    <t>51,187.99</t>
  </si>
  <si>
    <t>50,434.39</t>
  </si>
  <si>
    <t>51,037.69</t>
  </si>
  <si>
    <t>50,806.06</t>
  </si>
  <si>
    <t>51,709.16</t>
  </si>
  <si>
    <t>52,234.55</t>
  </si>
  <si>
    <t>52,079.22</t>
  </si>
  <si>
    <t>50,663.94</t>
  </si>
  <si>
    <t>51,737.56</t>
  </si>
  <si>
    <t>51,895.12</t>
  </si>
  <si>
    <t>51,353.98</t>
  </si>
  <si>
    <t>51,690.12</t>
  </si>
  <si>
    <t>50,697.70</t>
  </si>
  <si>
    <t>51,187.35</t>
  </si>
  <si>
    <t>51,318.65</t>
  </si>
  <si>
    <t>51,067.78</t>
  </si>
  <si>
    <t>52,423.53</t>
  </si>
  <si>
    <t>52,096.04</t>
  </si>
  <si>
    <t>52,146.04</t>
  </si>
  <si>
    <t>51,999.45</t>
  </si>
  <si>
    <t>52,109.80</t>
  </si>
  <si>
    <t>52,259.47</t>
  </si>
  <si>
    <t>53,295.35</t>
  </si>
  <si>
    <t>54,064.82</t>
  </si>
  <si>
    <t>54,700.64</t>
  </si>
  <si>
    <t>54,450.55</t>
  </si>
  <si>
    <t>54,915.66</t>
  </si>
  <si>
    <t>54,271.19</t>
  </si>
  <si>
    <t>53,578.76</t>
  </si>
  <si>
    <t>52,388.87</t>
  </si>
  <si>
    <t>50,756.59</t>
  </si>
  <si>
    <t>51,320.52</t>
  </si>
  <si>
    <t>50,837.57</t>
  </si>
  <si>
    <t>51,624.86</t>
  </si>
  <si>
    <t>50,877.34</t>
  </si>
  <si>
    <t>51,168.50</t>
  </si>
  <si>
    <t>52,204.16</t>
  </si>
  <si>
    <t>52,092.98</t>
  </si>
  <si>
    <t>52,132.60</t>
  </si>
  <si>
    <t>52,391.02</t>
  </si>
  <si>
    <t>53,241.35</t>
  </si>
  <si>
    <t>52,466.98</t>
  </si>
  <si>
    <t>53,473.11</t>
  </si>
  <si>
    <t>52,229.33</t>
  </si>
  <si>
    <t>52,813.37</t>
  </si>
  <si>
    <t>54,187.82</t>
  </si>
  <si>
    <t>54,219.20</t>
  </si>
  <si>
    <t>54,409.47</t>
  </si>
  <si>
    <t>55,030.60</t>
  </si>
  <si>
    <t>55,171.50</t>
  </si>
  <si>
    <t>55,472.57</t>
  </si>
  <si>
    <t>55,789.75</t>
  </si>
  <si>
    <t>55,708.47</t>
  </si>
  <si>
    <t>55,988.57</t>
  </si>
  <si>
    <t>56,570.15</t>
  </si>
  <si>
    <t>56,882.75</t>
  </si>
  <si>
    <t>57,164.25</t>
  </si>
  <si>
    <t>56,546.80</t>
  </si>
  <si>
    <t>56,445.57</t>
  </si>
  <si>
    <t>56,381.30</t>
  </si>
  <si>
    <t>56,298.65</t>
  </si>
  <si>
    <t>56,581.88</t>
  </si>
  <si>
    <t>56,166.86</t>
  </si>
  <si>
    <t>55,952.05</t>
  </si>
  <si>
    <t>56,174.01</t>
  </si>
  <si>
    <t>56,715.26</t>
  </si>
  <si>
    <t>57,068.45</t>
  </si>
  <si>
    <t>57,130.48</t>
  </si>
  <si>
    <t>57,102.13</t>
  </si>
  <si>
    <t>57,891.82</t>
  </si>
  <si>
    <t>58,711.15</t>
  </si>
  <si>
    <t>58,668.48</t>
  </si>
  <si>
    <t>58,802.69</t>
  </si>
  <si>
    <t>60,165.51</t>
  </si>
  <si>
    <t>60,039.27</t>
  </si>
  <si>
    <t>59,655.56</t>
  </si>
  <si>
    <t>58,797.68</t>
  </si>
  <si>
    <t>58,204.72</t>
  </si>
  <si>
    <t>58,125.95</t>
  </si>
  <si>
    <t>57,186.66</t>
  </si>
  <si>
    <t>57,145.62</t>
  </si>
  <si>
    <t>56,647.52</t>
  </si>
  <si>
    <t>56,562.34</t>
  </si>
  <si>
    <t>55,646.15</t>
  </si>
  <si>
    <t>57,608.94</t>
  </si>
  <si>
    <t>57,885.26</t>
  </si>
  <si>
    <t>57,703.02</t>
  </si>
  <si>
    <t>57,786.31</t>
  </si>
  <si>
    <t>57,705.64</t>
  </si>
  <si>
    <t>56,861.21</t>
  </si>
  <si>
    <t>57,118.03</t>
  </si>
  <si>
    <t>56,470.72</t>
  </si>
  <si>
    <t>57,399.53</t>
  </si>
  <si>
    <t>57,432.46</t>
  </si>
  <si>
    <t>57,313.14</t>
  </si>
  <si>
    <t>57,162.38</t>
  </si>
  <si>
    <t>56,743.25</t>
  </si>
  <si>
    <t>56,387.87</t>
  </si>
  <si>
    <t>57,054.84</t>
  </si>
  <si>
    <t>56,556.81</t>
  </si>
  <si>
    <t>56,990.20</t>
  </si>
  <si>
    <t>56,276.72</t>
  </si>
  <si>
    <t>56,237.20</t>
  </si>
  <si>
    <t>56,113.06</t>
  </si>
  <si>
    <t>55,442.04</t>
  </si>
  <si>
    <t>56,364.14</t>
  </si>
  <si>
    <t>56,849.36</t>
  </si>
  <si>
    <t>57,231.01</t>
  </si>
  <si>
    <t>58,027.11</t>
  </si>
  <si>
    <t>58,219.91</t>
  </si>
  <si>
    <t>57,313.88</t>
  </si>
  <si>
    <t>57,414.00</t>
  </si>
  <si>
    <t>57,600.02</t>
  </si>
  <si>
    <t>57,488.76</t>
  </si>
  <si>
    <t>57,159.59</t>
  </si>
  <si>
    <t>57,610.98</t>
  </si>
  <si>
    <t>55,795.20</t>
  </si>
  <si>
    <t>55,369.26</t>
  </si>
  <si>
    <t>55,254.67</t>
  </si>
  <si>
    <t>55,889.26</t>
  </si>
  <si>
    <t>56,856.66</t>
  </si>
  <si>
    <t>56,234.43</t>
  </si>
  <si>
    <t>56,651.66</t>
  </si>
  <si>
    <t>56,253.31</t>
  </si>
  <si>
    <t>57,236.84</t>
  </si>
  <si>
    <t>57,660.50</t>
  </si>
  <si>
    <t>58,495.67</t>
  </si>
  <si>
    <t>58,437.23</t>
  </si>
  <si>
    <t>58,207.82</t>
  </si>
  <si>
    <t>58,146.10</t>
  </si>
  <si>
    <t>58,223.72</t>
  </si>
  <si>
    <t>58,391.64</t>
  </si>
  <si>
    <t>58,081.87</t>
  </si>
  <si>
    <t>57,779.11</t>
  </si>
  <si>
    <t>57,870.89</t>
  </si>
  <si>
    <t>57,282.14</t>
  </si>
  <si>
    <t>56,157.89</t>
  </si>
  <si>
    <t>55,601.63</t>
  </si>
  <si>
    <t>55,935.75</t>
  </si>
  <si>
    <t>56,857.24</t>
  </si>
  <si>
    <t>56,916.97</t>
  </si>
  <si>
    <t>56,699.20</t>
  </si>
  <si>
    <t>57,043.42</t>
  </si>
  <si>
    <t>58,121.84</t>
  </si>
  <si>
    <t>57,821.20</t>
  </si>
  <si>
    <t>57,804.33</t>
  </si>
  <si>
    <t>58,184.25</t>
  </si>
  <si>
    <t>58,621.77</t>
  </si>
  <si>
    <t>57,891.77</t>
  </si>
  <si>
    <t>58,614.45</t>
  </si>
  <si>
    <t>58,422.86</t>
  </si>
  <si>
    <t>58,005.62</t>
  </si>
  <si>
    <t>57,915.13</t>
  </si>
  <si>
    <t>57,665.24</t>
  </si>
  <si>
    <t>57,880.72</t>
  </si>
  <si>
    <t>57,648.87</t>
  </si>
  <si>
    <t>57,273.88</t>
  </si>
  <si>
    <t>58,450.44</t>
  </si>
  <si>
    <t>58,252.12</t>
  </si>
  <si>
    <t>57,453.04</t>
  </si>
  <si>
    <t>56,987.19</t>
  </si>
  <si>
    <t>57,675.21</t>
  </si>
  <si>
    <t>57,679.51</t>
  </si>
  <si>
    <t>57,581.73</t>
  </si>
  <si>
    <t>57,526.79</t>
  </si>
  <si>
    <t>57,713.29</t>
  </si>
  <si>
    <t>56,826.74</t>
  </si>
  <si>
    <t>56,733.47</t>
  </si>
  <si>
    <t>56,563.17</t>
  </si>
  <si>
    <t>56,480.98</t>
  </si>
  <si>
    <t>56,170.07</t>
  </si>
  <si>
    <t>56,747.24</t>
  </si>
  <si>
    <t>56,091.56</t>
  </si>
  <si>
    <t>55,878.81</t>
  </si>
  <si>
    <t>55,761.15</t>
  </si>
  <si>
    <t>54,602.68</t>
  </si>
  <si>
    <t>54,864.79</t>
  </si>
  <si>
    <t>55,474.52</t>
  </si>
  <si>
    <t>54,763.97</t>
  </si>
  <si>
    <t>56,050.79</t>
  </si>
  <si>
    <t>56,176.43</t>
  </si>
  <si>
    <t>56,405.64</t>
  </si>
  <si>
    <t>57,224.60</t>
  </si>
  <si>
    <t>58,288.87</t>
  </si>
  <si>
    <t>58,088.42</t>
  </si>
  <si>
    <t>58,101.02</t>
  </si>
  <si>
    <t>58,203.77</t>
  </si>
  <si>
    <t>58,423.17</t>
  </si>
  <si>
    <t>59,084.51</t>
  </si>
  <si>
    <t>59,194.45</t>
  </si>
  <si>
    <t>59,169.23</t>
  </si>
  <si>
    <t>58,926.01</t>
  </si>
  <si>
    <t>58,962.65</t>
  </si>
  <si>
    <t>59,242.86</t>
  </si>
  <si>
    <t>57,912.40</t>
  </si>
  <si>
    <t>57,744.70</t>
  </si>
  <si>
    <t>57,923.16</t>
  </si>
  <si>
    <t>58,325.09</t>
  </si>
  <si>
    <t>59,027.22</t>
  </si>
  <si>
    <t>58,868.93</t>
  </si>
  <si>
    <t>58,715.46</t>
  </si>
  <si>
    <t>58,155.09</t>
  </si>
  <si>
    <t>58,605.97</t>
  </si>
  <si>
    <t>57,928.78</t>
  </si>
  <si>
    <t>58,701.37</t>
  </si>
  <si>
    <t>59,122.34</t>
  </si>
  <si>
    <t>59,533.10</t>
  </si>
  <si>
    <t>57,399.55</t>
  </si>
  <si>
    <t>57,208.97</t>
  </si>
  <si>
    <t>56,206.76</t>
  </si>
  <si>
    <t>55,902.62</t>
  </si>
  <si>
    <t>56,635.69</t>
  </si>
  <si>
    <t>56,886.45</t>
  </si>
  <si>
    <t>56,377.21</t>
  </si>
  <si>
    <t>57,113.74</t>
  </si>
  <si>
    <t>58,656.82</t>
  </si>
  <si>
    <t>59,258.37</t>
  </si>
  <si>
    <t>59,506.12</t>
  </si>
  <si>
    <t>59,546.23</t>
  </si>
  <si>
    <t>60,806.90</t>
  </si>
  <si>
    <t>61,595.86</t>
  </si>
  <si>
    <t>61,684.77</t>
  </si>
  <si>
    <t>61,623.13</t>
  </si>
  <si>
    <t>61,475.44</t>
  </si>
  <si>
    <t>61,060.28</t>
  </si>
  <si>
    <t>60,912.88</t>
  </si>
  <si>
    <t>60,922.55</t>
  </si>
  <si>
    <t>60,924.46</t>
  </si>
  <si>
    <t>60,649.60</t>
  </si>
  <si>
    <t>60,240.96</t>
  </si>
  <si>
    <t>60,083.13</t>
  </si>
  <si>
    <t>59,606.02</t>
  </si>
  <si>
    <t>59,979.63</t>
  </si>
  <si>
    <t>60,113.65</t>
  </si>
  <si>
    <t>60,038.39</t>
  </si>
  <si>
    <t>59,717.20</t>
  </si>
  <si>
    <t>59,476.77</t>
  </si>
  <si>
    <t>59,629.64</t>
  </si>
  <si>
    <t>59,731.16</t>
  </si>
  <si>
    <t>59,504.67</t>
  </si>
  <si>
    <t>58,952.89</t>
  </si>
  <si>
    <t>58,844.01</t>
  </si>
  <si>
    <t>58,800.23</t>
  </si>
  <si>
    <t>58,771.79</t>
  </si>
  <si>
    <t>58,032.09</t>
  </si>
  <si>
    <t>58,170.44</t>
  </si>
  <si>
    <t>57,707.42</t>
  </si>
  <si>
    <t>57,412.76</t>
  </si>
  <si>
    <t>57,845.57</t>
  </si>
  <si>
    <t>57,344.41</t>
  </si>
  <si>
    <t>57,523.62</t>
  </si>
  <si>
    <t>57,997.33</t>
  </si>
  <si>
    <t>58,012.31</t>
  </si>
  <si>
    <t>58,013.18</t>
  </si>
  <si>
    <t>58,010.18</t>
  </si>
  <si>
    <t>58,977.23</t>
  </si>
  <si>
    <t>59,607.34</t>
  </si>
  <si>
    <t>59,449.38</t>
  </si>
  <si>
    <t>59,772.83</t>
  </si>
  <si>
    <t>60,418.39</t>
  </si>
  <si>
    <t>60,082.79</t>
  </si>
  <si>
    <t>60,157.56</t>
  </si>
  <si>
    <t>60,323.95</t>
  </si>
  <si>
    <t>60,298.16</t>
  </si>
  <si>
    <t>60,751.18</t>
  </si>
  <si>
    <t>61,211.52</t>
  </si>
  <si>
    <t>60,500.61</t>
  </si>
  <si>
    <t>60,128.41</t>
  </si>
  <si>
    <t>59,549.22</t>
  </si>
  <si>
    <t>59,185.21</t>
  </si>
  <si>
    <t>59,518.90</t>
  </si>
  <si>
    <t>59,821.49</t>
  </si>
  <si>
    <t>59,776.12</t>
  </si>
  <si>
    <t>59,862.11</t>
  </si>
  <si>
    <t>60,078.03</t>
  </si>
  <si>
    <t>60,182.60</t>
  </si>
  <si>
    <t>59,975.67</t>
  </si>
  <si>
    <t>59,638.21</t>
  </si>
  <si>
    <t>59,331.20</t>
  </si>
  <si>
    <t>59,514.11</t>
  </si>
  <si>
    <t>58,980.11</t>
  </si>
  <si>
    <t>58,879.14</t>
  </si>
  <si>
    <t>58,714.04</t>
  </si>
  <si>
    <t>58,576.29</t>
  </si>
  <si>
    <t>58,123.13</t>
  </si>
  <si>
    <t>57,904.72</t>
  </si>
  <si>
    <t>57,999.60</t>
  </si>
  <si>
    <t>57,948.66</t>
  </si>
  <si>
    <t>57,896.83</t>
  </si>
  <si>
    <t>58,152.41</t>
  </si>
  <si>
    <t>57,882.67</t>
  </si>
  <si>
    <t>58,163.56</t>
  </si>
  <si>
    <t>57,876.60</t>
  </si>
  <si>
    <t>57,747.34</t>
  </si>
  <si>
    <t>57,770.73</t>
  </si>
  <si>
    <t>57,629.93</t>
  </si>
  <si>
    <t>57,530.11</t>
  </si>
  <si>
    <t>57,231.87</t>
  </si>
  <si>
    <t>56,999.79</t>
  </si>
  <si>
    <t>56,750.03</t>
  </si>
  <si>
    <t>56,358.26</t>
  </si>
  <si>
    <t>55,778.27</t>
  </si>
  <si>
    <t>55,579.92</t>
  </si>
  <si>
    <t>54,994.35</t>
  </si>
  <si>
    <t>55,214.07</t>
  </si>
  <si>
    <t>55,070.38</t>
  </si>
  <si>
    <t>55,839.73</t>
  </si>
  <si>
    <t>55,867.34</t>
  </si>
  <si>
    <t>55,867.46</t>
  </si>
  <si>
    <t>56,011.16</t>
  </si>
  <si>
    <t>56,050.10</t>
  </si>
  <si>
    <t>55,645.15</t>
  </si>
  <si>
    <t>55,850.32</t>
  </si>
  <si>
    <t>56,152.54</t>
  </si>
  <si>
    <t>56,366.16</t>
  </si>
  <si>
    <t>56,008.77</t>
  </si>
  <si>
    <t>55,724.67</t>
  </si>
  <si>
    <t>55,878.19</t>
  </si>
  <si>
    <t>55,480.20</t>
  </si>
  <si>
    <t>56,144.80</t>
  </si>
  <si>
    <t>56,312.85</t>
  </si>
  <si>
    <t>56,513.46</t>
  </si>
  <si>
    <t>56,522.11</t>
  </si>
  <si>
    <t>56,168.00</t>
  </si>
  <si>
    <t>56,409.62</t>
  </si>
  <si>
    <t>56,555.62</t>
  </si>
  <si>
    <t>56,655.88</t>
  </si>
  <si>
    <t>56,588.99</t>
  </si>
  <si>
    <t>56,162.30</t>
  </si>
  <si>
    <t>56,033.96</t>
  </si>
  <si>
    <t>55,450.53</t>
  </si>
  <si>
    <t>55,304.23</t>
  </si>
  <si>
    <t>55,415.27</t>
  </si>
  <si>
    <t>55,534.60</t>
  </si>
  <si>
    <t>54,983.32</t>
  </si>
  <si>
    <t>55,465.65</t>
  </si>
  <si>
    <t>55,155.13</t>
  </si>
  <si>
    <t>55,700.64</t>
  </si>
  <si>
    <t>55,980.05</t>
  </si>
  <si>
    <t>56,163.60</t>
  </si>
  <si>
    <t>55,944.83</t>
  </si>
  <si>
    <t>55,685.01</t>
  </si>
  <si>
    <t>55,200.49</t>
  </si>
  <si>
    <t>55,390.07</t>
  </si>
  <si>
    <t>55,207.41</t>
  </si>
  <si>
    <t>54,883.21</t>
  </si>
  <si>
    <t>54,888.89</t>
  </si>
  <si>
    <t>54,836.19</t>
  </si>
  <si>
    <t>54,499.11</t>
  </si>
  <si>
    <t>54,368.62</t>
  </si>
  <si>
    <t>54,162.71</t>
  </si>
  <si>
    <t>54,287.32</t>
  </si>
  <si>
    <t>54,091.11</t>
  </si>
  <si>
    <t>53,261.64</t>
  </si>
  <si>
    <t>53,827.41</t>
  </si>
  <si>
    <t>53,597.96</t>
  </si>
  <si>
    <t>53,300.96</t>
  </si>
  <si>
    <t>52,905.98</t>
  </si>
  <si>
    <t>52,376.38</t>
  </si>
  <si>
    <t>52,187.92</t>
  </si>
  <si>
    <t>51,900.26</t>
  </si>
  <si>
    <t>52,285.08</t>
  </si>
  <si>
    <t>52,483.90</t>
  </si>
  <si>
    <t>52,049.25</t>
  </si>
  <si>
    <t>52,163.80</t>
  </si>
  <si>
    <t>51,611.01</t>
  </si>
  <si>
    <t>51,355.97</t>
  </si>
  <si>
    <t>51,596.84</t>
  </si>
  <si>
    <t>51,432.24</t>
  </si>
  <si>
    <t>51,288.71</t>
  </si>
  <si>
    <t>51,503.52</t>
  </si>
  <si>
    <t>51,072.86</t>
  </si>
  <si>
    <t>51,402.69</t>
  </si>
  <si>
    <t>51,160.57</t>
  </si>
  <si>
    <t>51,615.90</t>
  </si>
  <si>
    <t>50,831.89</t>
  </si>
  <si>
    <t>51,489.16</t>
  </si>
  <si>
    <t>51,625.07</t>
  </si>
  <si>
    <t>51,564.00</t>
  </si>
  <si>
    <t>52,216.93</t>
  </si>
  <si>
    <t>51,958.52</t>
  </si>
  <si>
    <t>52,117.82</t>
  </si>
  <si>
    <t>52,251.87</t>
  </si>
  <si>
    <t>52,870.12</t>
  </si>
  <si>
    <t>52,889.70</t>
  </si>
  <si>
    <t>52,840.68</t>
  </si>
  <si>
    <t>53,562.57</t>
  </si>
  <si>
    <t>54,158.04</t>
  </si>
  <si>
    <t>53,944.22</t>
  </si>
  <si>
    <t>53,996.14</t>
  </si>
  <si>
    <t>54,028.39</t>
  </si>
  <si>
    <t>54,308.67</t>
  </si>
  <si>
    <t>54,548.91</t>
  </si>
  <si>
    <t>54,517.06</t>
  </si>
  <si>
    <t>54,427.30</t>
  </si>
  <si>
    <t>54,197.12</t>
  </si>
  <si>
    <t>54,001.94</t>
  </si>
  <si>
    <t>54,023.12</t>
  </si>
  <si>
    <t>54,052.18</t>
  </si>
  <si>
    <t>54,063.34</t>
  </si>
  <si>
    <t>54,114.00</t>
  </si>
  <si>
    <t>54,254.35</t>
  </si>
  <si>
    <t>54,172.76</t>
  </si>
  <si>
    <t>53,696.37</t>
  </si>
  <si>
    <t>53,579.01</t>
  </si>
  <si>
    <t>53,406.31</t>
  </si>
  <si>
    <t>53,586.63</t>
  </si>
  <si>
    <t>53,915.64</t>
  </si>
  <si>
    <t>53,817.31</t>
  </si>
  <si>
    <t>53,680.69</t>
  </si>
  <si>
    <t>53,257.44</t>
  </si>
  <si>
    <t>52,921.41</t>
  </si>
  <si>
    <t>52,194.59</t>
  </si>
  <si>
    <t>52,496.62</t>
  </si>
  <si>
    <t>52,545.12</t>
  </si>
  <si>
    <t>52,672.75</t>
  </si>
  <si>
    <t>53,510.22</t>
  </si>
  <si>
    <t>53,551.31</t>
  </si>
  <si>
    <t>53,535.16</t>
  </si>
  <si>
    <t>53,139.96</t>
  </si>
  <si>
    <t>52,853.36</t>
  </si>
  <si>
    <t>52,918.42</t>
  </si>
  <si>
    <t>52,990.08</t>
  </si>
  <si>
    <t>52,660.74</t>
  </si>
  <si>
    <t>52,457.76</t>
  </si>
  <si>
    <t>52,056.06</t>
  </si>
  <si>
    <t>52,261.18</t>
  </si>
  <si>
    <t>52,444.78</t>
  </si>
  <si>
    <t>52,309.23</t>
  </si>
  <si>
    <t>51,724.92</t>
  </si>
  <si>
    <t>51,816.31</t>
  </si>
  <si>
    <t>52,027.98</t>
  </si>
  <si>
    <t>52,096.71</t>
  </si>
  <si>
    <t>52,753.56</t>
  </si>
  <si>
    <t>52,550.99</t>
  </si>
  <si>
    <t>52,748.97</t>
  </si>
  <si>
    <t>51,701.60</t>
  </si>
  <si>
    <t>51,699.46</t>
  </si>
  <si>
    <t>51,855.38</t>
  </si>
  <si>
    <t>51,269.54</t>
  </si>
  <si>
    <t>50,910.71</t>
  </si>
  <si>
    <t>51,299.99</t>
  </si>
  <si>
    <t>51,377.78</t>
  </si>
  <si>
    <t>51,498.14</t>
  </si>
  <si>
    <t>51,708.61</t>
  </si>
  <si>
    <t>51,893.19</t>
  </si>
  <si>
    <t>51,682.19</t>
  </si>
  <si>
    <t>51,146.05</t>
  </si>
  <si>
    <t>51,497.16</t>
  </si>
  <si>
    <t>51,609.86</t>
  </si>
  <si>
    <t>52,183.10</t>
  </si>
  <si>
    <t>52,088.56</t>
  </si>
  <si>
    <t>52,586.61</t>
  </si>
  <si>
    <t>52,558.61</t>
  </si>
  <si>
    <t>52,223.54</t>
  </si>
  <si>
    <t>52,586.37</t>
  </si>
  <si>
    <t>52,485.16</t>
  </si>
  <si>
    <t>52,465.64</t>
  </si>
  <si>
    <t>52,956.71</t>
  </si>
  <si>
    <t>52,687.29</t>
  </si>
  <si>
    <t>51,904.34</t>
  </si>
  <si>
    <t>51,803.48</t>
  </si>
  <si>
    <t>52,181.91</t>
  </si>
  <si>
    <t>52,151.16</t>
  </si>
  <si>
    <t>52,265.16</t>
  </si>
  <si>
    <t>52,719.58</t>
  </si>
  <si>
    <t>53,104.12</t>
  </si>
  <si>
    <t>52,788.12</t>
  </si>
  <si>
    <t>52,660.94</t>
  </si>
  <si>
    <t>52,973.83</t>
  </si>
  <si>
    <t>53,405.74</t>
  </si>
  <si>
    <t>53,250.79</t>
  </si>
  <si>
    <t>53,342.04</t>
  </si>
  <si>
    <t>53,040.48</t>
  </si>
  <si>
    <t>52,532.26</t>
  </si>
  <si>
    <t>52,900.77</t>
  </si>
  <si>
    <t>52,933.28</t>
  </si>
  <si>
    <t>52,817.73</t>
  </si>
  <si>
    <t>53,158.54</t>
  </si>
  <si>
    <t>52,794.81</t>
  </si>
  <si>
    <t>52,444.36</t>
  </si>
  <si>
    <t>52,437.91</t>
  </si>
  <si>
    <t>51,740.17</t>
  </si>
  <si>
    <t>51,049.71</t>
  </si>
  <si>
    <t>51,216.00</t>
  </si>
  <si>
    <t>50,474.95</t>
  </si>
  <si>
    <t>50,760.24</t>
  </si>
  <si>
    <t>51,020.66</t>
  </si>
  <si>
    <t>50,653.54</t>
  </si>
  <si>
    <t>50,682.08</t>
  </si>
  <si>
    <t>50,322.72</t>
  </si>
  <si>
    <t>49,400.56</t>
  </si>
  <si>
    <t>49,833.77</t>
  </si>
  <si>
    <t>50,163.92</t>
  </si>
  <si>
    <t>50,343.24</t>
  </si>
  <si>
    <t>49,880.99</t>
  </si>
  <si>
    <t>49,691.31</t>
  </si>
  <si>
    <t>50,716.25</t>
  </si>
  <si>
    <t>50,839.25</t>
  </si>
  <si>
    <t>50,527.86</t>
  </si>
  <si>
    <t>50,899.92</t>
  </si>
  <si>
    <t>50,543.44</t>
  </si>
  <si>
    <t>49,476.06</t>
  </si>
  <si>
    <t>48,935.90</t>
  </si>
  <si>
    <t>49,713.56</t>
  </si>
  <si>
    <t>49,256.10</t>
  </si>
  <si>
    <t>49,927.00</t>
  </si>
  <si>
    <t>50,209.43</t>
  </si>
  <si>
    <t>50,157.28</t>
  </si>
  <si>
    <t>50,193.64</t>
  </si>
  <si>
    <t>50,696.10</t>
  </si>
  <si>
    <t>50,561.43</t>
  </si>
  <si>
    <t>50,616.43</t>
  </si>
  <si>
    <t>51,117.74</t>
  </si>
  <si>
    <t>50,596.52</t>
  </si>
  <si>
    <t>50,626.06</t>
  </si>
  <si>
    <t>50,617.57</t>
  </si>
  <si>
    <t>50,004.82</t>
  </si>
  <si>
    <t>49,430.21</t>
  </si>
  <si>
    <t>49,731.89</t>
  </si>
  <si>
    <t>50,294.72</t>
  </si>
  <si>
    <t>51,493.00</t>
  </si>
  <si>
    <t>50,977.85</t>
  </si>
  <si>
    <t>50,700.70</t>
  </si>
  <si>
    <t>50,303.77</t>
  </si>
  <si>
    <t>49,686.10</t>
  </si>
  <si>
    <t>50,239.27</t>
  </si>
  <si>
    <t>50,384.87</t>
  </si>
  <si>
    <t>51,002.69</t>
  </si>
  <si>
    <t>50,590.08</t>
  </si>
  <si>
    <t>50,797.70</t>
  </si>
  <si>
    <t>51,139.66</t>
  </si>
  <si>
    <t>51,552.32</t>
  </si>
  <si>
    <t>51,749.86</t>
  </si>
  <si>
    <t>51,683.39</t>
  </si>
  <si>
    <t>51,629.23</t>
  </si>
  <si>
    <t>51,420.66</t>
  </si>
  <si>
    <t>51,504.87</t>
  </si>
  <si>
    <t>51,126.79</t>
  </si>
  <si>
    <t>50,769.01</t>
  </si>
  <si>
    <t>51,146.78</t>
  </si>
  <si>
    <t>50,494.51</t>
  </si>
  <si>
    <t>51,548.13</t>
  </si>
  <si>
    <t>51,898.82</t>
  </si>
  <si>
    <t>51,675.51</t>
  </si>
  <si>
    <t>51,662.07</t>
  </si>
  <si>
    <t>51,610.78</t>
  </si>
  <si>
    <t>51,868.53</t>
  </si>
  <si>
    <t>52,040.85</t>
  </si>
  <si>
    <t>51,658.99</t>
  </si>
  <si>
    <t>51,949.83</t>
  </si>
  <si>
    <t>52,698.58</t>
  </si>
  <si>
    <t>51,773.50</t>
  </si>
  <si>
    <t>50,899.66</t>
  </si>
  <si>
    <t>51,479.80</t>
  </si>
  <si>
    <t>51,895.18</t>
  </si>
  <si>
    <t>50,757.82</t>
  </si>
  <si>
    <t>51,335.75</t>
  </si>
  <si>
    <t>51,975.89</t>
  </si>
  <si>
    <t>51,832.55</t>
  </si>
  <si>
    <t>52,174.26</t>
  </si>
  <si>
    <t>52,501.97</t>
  </si>
  <si>
    <t>52,805.96</t>
  </si>
  <si>
    <t>52,802.00</t>
  </si>
  <si>
    <t>53,347.30</t>
  </si>
  <si>
    <t>53,250.25</t>
  </si>
  <si>
    <t>53,456.43</t>
  </si>
  <si>
    <t>53,680.43</t>
  </si>
  <si>
    <t>53,622.00</t>
  </si>
  <si>
    <t>53,500.07</t>
  </si>
  <si>
    <t>52,631.33</t>
  </si>
  <si>
    <t>52,733.12</t>
  </si>
  <si>
    <t>53,448.69</t>
  </si>
  <si>
    <t>53,563.93</t>
  </si>
  <si>
    <t>53,506.62</t>
  </si>
  <si>
    <t>53,482.88</t>
  </si>
  <si>
    <t>53,562.80</t>
  </si>
  <si>
    <t>52,957.80</t>
  </si>
  <si>
    <t>52,828.93</t>
  </si>
  <si>
    <t>52,771.95</t>
  </si>
  <si>
    <t>52,989.66</t>
  </si>
  <si>
    <t>52,309.70</t>
  </si>
  <si>
    <t>52,396.40</t>
  </si>
  <si>
    <t>52,397.97</t>
  </si>
  <si>
    <t>52,806.50</t>
  </si>
  <si>
    <t>52,321.78</t>
  </si>
  <si>
    <t>52,218.61</t>
  </si>
  <si>
    <t>52,486.65</t>
  </si>
  <si>
    <t>52,348.36</t>
  </si>
  <si>
    <t>52,543.37</t>
  </si>
  <si>
    <t>52,532.76</t>
  </si>
  <si>
    <t>53,126.80</t>
  </si>
  <si>
    <t>52,797.58</t>
  </si>
  <si>
    <t>53,282.16</t>
  </si>
  <si>
    <t>53,764.26</t>
  </si>
  <si>
    <t>53,638.04</t>
  </si>
  <si>
    <t>53,292.52</t>
  </si>
  <si>
    <t>53,005.22</t>
  </si>
  <si>
    <t>52,974.03</t>
  </si>
  <si>
    <t>52,837.86</t>
  </si>
  <si>
    <t>52,892.92</t>
  </si>
  <si>
    <t>53,046.31</t>
  </si>
  <si>
    <t>53,088.46</t>
  </si>
  <si>
    <t>52,837.03</t>
  </si>
  <si>
    <t>52,814.88</t>
  </si>
  <si>
    <t>52,547.52</t>
  </si>
  <si>
    <t>52,170.37</t>
  </si>
  <si>
    <t>51,276.40</t>
  </si>
  <si>
    <t>51,097.48</t>
  </si>
  <si>
    <t>50,811.66</t>
  </si>
  <si>
    <t>51,670.16</t>
  </si>
  <si>
    <t>52,454.24</t>
  </si>
  <si>
    <t>52,357.50</t>
  </si>
  <si>
    <t>52,217.72</t>
  </si>
  <si>
    <t>51,890.42</t>
  </si>
  <si>
    <t>51,141.14</t>
  </si>
  <si>
    <t>50,086.68</t>
  </si>
  <si>
    <t>51,679.66</t>
  </si>
  <si>
    <t>53,585.53</t>
  </si>
  <si>
    <t>53,557.20</t>
  </si>
  <si>
    <t>52,955.18</t>
  </si>
  <si>
    <t>53,032.14</t>
  </si>
  <si>
    <t>52,140.61</t>
  </si>
  <si>
    <t>52,026.71</t>
  </si>
  <si>
    <t>51,394.31</t>
  </si>
  <si>
    <t>52,511.52</t>
  </si>
  <si>
    <t>53,175.15</t>
  </si>
  <si>
    <t>53,353.87</t>
  </si>
  <si>
    <t>53,960.18</t>
  </si>
  <si>
    <t>54,305.73</t>
  </si>
  <si>
    <t>53,990.76</t>
  </si>
  <si>
    <t>54,259.36</t>
  </si>
  <si>
    <t>53,716.91</t>
  </si>
  <si>
    <t>53,518.36</t>
  </si>
  <si>
    <t>53,905.21</t>
  </si>
  <si>
    <t>54,474.09</t>
  </si>
  <si>
    <t>54,105.37</t>
  </si>
  <si>
    <t>53,921.00</t>
  </si>
  <si>
    <t>53,721.88</t>
  </si>
  <si>
    <t>53,050.76</t>
  </si>
  <si>
    <t>52,628.62</t>
  </si>
  <si>
    <t>52,638.25</t>
  </si>
  <si>
    <t>52,370.10</t>
  </si>
  <si>
    <t>52,797.23</t>
  </si>
  <si>
    <t>52,528.84</t>
  </si>
  <si>
    <t>52,412.68</t>
  </si>
  <si>
    <t>51,602.55</t>
  </si>
  <si>
    <t>51,458.48</t>
  </si>
  <si>
    <t>52,130.34</t>
  </si>
  <si>
    <t>51,875.26</t>
  </si>
  <si>
    <t>51,348.72</t>
  </si>
  <si>
    <t>51,417.38</t>
  </si>
  <si>
    <t>51,933.80</t>
  </si>
  <si>
    <t>51,873.50</t>
  </si>
  <si>
    <t>51,912.11</t>
  </si>
  <si>
    <t>52,957.32</t>
  </si>
  <si>
    <t>53,223.98</t>
  </si>
  <si>
    <t>53,062.95</t>
  </si>
  <si>
    <t>52,985.31</t>
  </si>
  <si>
    <t>52,925.75</t>
  </si>
  <si>
    <t>53,323.58</t>
  </si>
  <si>
    <t>53,789.75</t>
  </si>
  <si>
    <t>53,380.94</t>
  </si>
  <si>
    <t>53,166.59</t>
  </si>
  <si>
    <t>53,038.91</t>
  </si>
  <si>
    <t>52,848.00</t>
  </si>
  <si>
    <t>52,938.24</t>
  </si>
  <si>
    <t>52,059.76</t>
  </si>
  <si>
    <t>51,428.08</t>
  </si>
  <si>
    <t>51,424.48</t>
  </si>
  <si>
    <t>51,146.82</t>
  </si>
  <si>
    <t>51,184.32</t>
  </si>
  <si>
    <t>51,226.09</t>
  </si>
  <si>
    <t>51,895.14</t>
  </si>
  <si>
    <t>51,584.13</t>
  </si>
  <si>
    <t>52,250.28</t>
  </si>
  <si>
    <t>52,495.46</t>
  </si>
  <si>
    <t>51,787.20</t>
  </si>
  <si>
    <t>52,323.78</t>
  </si>
  <si>
    <t>52,569.55</t>
  </si>
  <si>
    <t>53,392.86</t>
  </si>
  <si>
    <t>53,824.28</t>
  </si>
  <si>
    <t>53,190.56</t>
  </si>
  <si>
    <t>52,685.70</t>
  </si>
  <si>
    <t>52,253.79</t>
  </si>
  <si>
    <t>52,471.72</t>
  </si>
  <si>
    <t>51,739.83</t>
  </si>
  <si>
    <t>51,533.78</t>
  </si>
  <si>
    <t>51,484.46</t>
  </si>
  <si>
    <t>52,247.84</t>
  </si>
  <si>
    <t>52,673.79</t>
  </si>
  <si>
    <t>52,200.71</t>
  </si>
  <si>
    <t>51,787.01</t>
  </si>
  <si>
    <t>50,966.93</t>
  </si>
  <si>
    <t>50,315.09</t>
  </si>
  <si>
    <t>49,415.31</t>
  </si>
  <si>
    <t>49,429.40</t>
  </si>
  <si>
    <t>48,373.17</t>
  </si>
  <si>
    <t>47,995.82</t>
  </si>
  <si>
    <t>48,421.99</t>
  </si>
  <si>
    <t>49,112.80</t>
  </si>
  <si>
    <t>48,940.43</t>
  </si>
  <si>
    <t>49,857.70</t>
  </si>
  <si>
    <t>50,039.31</t>
  </si>
  <si>
    <t>49,387.10</t>
  </si>
  <si>
    <t>49,851.95</t>
  </si>
  <si>
    <t>48,589.69</t>
  </si>
  <si>
    <t>47,411.57</t>
  </si>
  <si>
    <t>48,273.24</t>
  </si>
  <si>
    <t>48,344.75</t>
  </si>
  <si>
    <t>49,429.59</t>
  </si>
  <si>
    <t>49,753.29</t>
  </si>
  <si>
    <t>49,627.53</t>
  </si>
  <si>
    <t>48,535.48</t>
  </si>
  <si>
    <t>48,029.24</t>
  </si>
  <si>
    <t>49,055.54</t>
  </si>
  <si>
    <t>49,141.94</t>
  </si>
  <si>
    <t>48,702.61</t>
  </si>
  <si>
    <t>47,923.92</t>
  </si>
  <si>
    <t>47,532.40</t>
  </si>
  <si>
    <t>47,210.42</t>
  </si>
  <si>
    <t>47,661.87</t>
  </si>
  <si>
    <t>46,282.02</t>
  </si>
  <si>
    <t>46,329.78</t>
  </si>
  <si>
    <t>47,627.76</t>
  </si>
  <si>
    <t>46,876.62</t>
  </si>
  <si>
    <t>46,960.37</t>
  </si>
  <si>
    <t>47,697.53</t>
  </si>
  <si>
    <t>48,412.80</t>
  </si>
  <si>
    <t>48,396.18</t>
  </si>
  <si>
    <t>48,322.68</t>
  </si>
  <si>
    <t>48,104.68</t>
  </si>
  <si>
    <t>48,052.78</t>
  </si>
  <si>
    <t>49,082.29</t>
  </si>
  <si>
    <t>49,599.72</t>
  </si>
  <si>
    <t>49,316.61</t>
  </si>
  <si>
    <t>Price_New</t>
  </si>
  <si>
    <t>Year</t>
  </si>
  <si>
    <t>Month</t>
  </si>
  <si>
    <t>Month_Name</t>
  </si>
  <si>
    <t>7D_Moving_Average</t>
  </si>
  <si>
    <t>Log_Returns</t>
  </si>
  <si>
    <t>Daily_Returns</t>
  </si>
  <si>
    <t>Day</t>
  </si>
  <si>
    <t>30D_Moving_Average</t>
  </si>
  <si>
    <t>90D_Moving_Average</t>
  </si>
  <si>
    <t>7D_Volatility</t>
  </si>
  <si>
    <t>30D_Volatility</t>
  </si>
  <si>
    <t>Missing Values:</t>
  </si>
  <si>
    <t>Mean</t>
  </si>
  <si>
    <t>Median</t>
  </si>
  <si>
    <t>Standard Deviation</t>
  </si>
  <si>
    <t>Minimum</t>
  </si>
  <si>
    <t>Maximum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</si>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</sst>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,##0.00;[Red]#,##0.00"/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6" fillId="33" borderId="0" xfId="0" applyNumberFormat="1" applyFont="1" applyFill="1" applyAlignment="1">
      <alignment horizontal="center"/>
    </xf>
    <xf numFmtId="165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10" fontId="16" fillId="33" borderId="0" xfId="0" applyNumberFormat="1" applyFont="1" applyFill="1" applyAlignment="1">
      <alignment horizontal="center"/>
    </xf>
    <xf numFmtId="10" fontId="0" fillId="0" borderId="0" xfId="0" applyNumberFormat="1"/>
    <xf numFmtId="166" fontId="16" fillId="33" borderId="0" xfId="0" applyNumberFormat="1" applyFont="1" applyFill="1" applyAlignment="1">
      <alignment horizontal="center"/>
    </xf>
    <xf numFmtId="166" fontId="0" fillId="0" borderId="0" xfId="0" applyNumberFormat="1"/>
    <xf numFmtId="164" fontId="16" fillId="34" borderId="0" xfId="0" applyNumberFormat="1" applyFont="1" applyFill="1"/>
    <xf numFmtId="165" fontId="0" fillId="34" borderId="0" xfId="0" applyNumberFormat="1" applyFill="1"/>
    <xf numFmtId="0" fontId="0" fillId="34" borderId="0" xfId="0" applyFill="1"/>
    <xf numFmtId="166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ZA" sz="2000" b="0" i="0" u="none" strike="noStrike" cap="none" normalizeH="0" baseline="0"/>
              <a:t>JSE ALSI Price Trend</a:t>
            </a:r>
            <a:endParaRPr lang="en-ZA"/>
          </a:p>
        </c:rich>
      </c:tx>
      <c:layout>
        <c:manualLayout>
          <c:xMode val="edge"/>
          <c:yMode val="edge"/>
          <c:x val="0.41103187934978408"/>
          <c:y val="2.4134878624365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'FTSE_JSE All Share Historical D'!$A$2:$A$2603</c:f>
              <c:numCache>
                <c:formatCode>yyyy\-mm\-dd;@</c:formatCode>
                <c:ptCount val="2602"/>
                <c:pt idx="0">
                  <c:v>42373</c:v>
                </c:pt>
                <c:pt idx="1">
                  <c:v>42374</c:v>
                </c:pt>
                <c:pt idx="2">
                  <c:v>42375</c:v>
                </c:pt>
                <c:pt idx="3">
                  <c:v>42376</c:v>
                </c:pt>
                <c:pt idx="4">
                  <c:v>42377</c:v>
                </c:pt>
                <c:pt idx="5">
                  <c:v>42380</c:v>
                </c:pt>
                <c:pt idx="6">
                  <c:v>42381</c:v>
                </c:pt>
                <c:pt idx="7">
                  <c:v>42382</c:v>
                </c:pt>
                <c:pt idx="8">
                  <c:v>42383</c:v>
                </c:pt>
                <c:pt idx="9">
                  <c:v>42384</c:v>
                </c:pt>
                <c:pt idx="10">
                  <c:v>42387</c:v>
                </c:pt>
                <c:pt idx="11">
                  <c:v>42388</c:v>
                </c:pt>
                <c:pt idx="12">
                  <c:v>42389</c:v>
                </c:pt>
                <c:pt idx="13">
                  <c:v>42390</c:v>
                </c:pt>
                <c:pt idx="14">
                  <c:v>42391</c:v>
                </c:pt>
                <c:pt idx="15">
                  <c:v>42394</c:v>
                </c:pt>
                <c:pt idx="16">
                  <c:v>42395</c:v>
                </c:pt>
                <c:pt idx="17">
                  <c:v>42396</c:v>
                </c:pt>
                <c:pt idx="18">
                  <c:v>42397</c:v>
                </c:pt>
                <c:pt idx="19">
                  <c:v>42398</c:v>
                </c:pt>
                <c:pt idx="20">
                  <c:v>42401</c:v>
                </c:pt>
                <c:pt idx="21">
                  <c:v>42402</c:v>
                </c:pt>
                <c:pt idx="22">
                  <c:v>42403</c:v>
                </c:pt>
                <c:pt idx="23">
                  <c:v>42404</c:v>
                </c:pt>
                <c:pt idx="24">
                  <c:v>42405</c:v>
                </c:pt>
                <c:pt idx="25">
                  <c:v>42408</c:v>
                </c:pt>
                <c:pt idx="26">
                  <c:v>42409</c:v>
                </c:pt>
                <c:pt idx="27">
                  <c:v>42410</c:v>
                </c:pt>
                <c:pt idx="28">
                  <c:v>42411</c:v>
                </c:pt>
                <c:pt idx="29">
                  <c:v>42412</c:v>
                </c:pt>
                <c:pt idx="30">
                  <c:v>42415</c:v>
                </c:pt>
                <c:pt idx="31">
                  <c:v>42416</c:v>
                </c:pt>
                <c:pt idx="32">
                  <c:v>42417</c:v>
                </c:pt>
                <c:pt idx="33">
                  <c:v>42418</c:v>
                </c:pt>
                <c:pt idx="34">
                  <c:v>42419</c:v>
                </c:pt>
                <c:pt idx="35">
                  <c:v>42422</c:v>
                </c:pt>
                <c:pt idx="36">
                  <c:v>42423</c:v>
                </c:pt>
                <c:pt idx="37">
                  <c:v>42424</c:v>
                </c:pt>
                <c:pt idx="38">
                  <c:v>42425</c:v>
                </c:pt>
                <c:pt idx="39">
                  <c:v>42426</c:v>
                </c:pt>
                <c:pt idx="40">
                  <c:v>42429</c:v>
                </c:pt>
                <c:pt idx="41">
                  <c:v>42430</c:v>
                </c:pt>
                <c:pt idx="42">
                  <c:v>42431</c:v>
                </c:pt>
                <c:pt idx="43">
                  <c:v>42432</c:v>
                </c:pt>
                <c:pt idx="44">
                  <c:v>42433</c:v>
                </c:pt>
                <c:pt idx="45">
                  <c:v>42436</c:v>
                </c:pt>
                <c:pt idx="46">
                  <c:v>42437</c:v>
                </c:pt>
                <c:pt idx="47">
                  <c:v>42438</c:v>
                </c:pt>
                <c:pt idx="48">
                  <c:v>42439</c:v>
                </c:pt>
                <c:pt idx="49">
                  <c:v>42440</c:v>
                </c:pt>
                <c:pt idx="50">
                  <c:v>42443</c:v>
                </c:pt>
                <c:pt idx="51">
                  <c:v>42444</c:v>
                </c:pt>
                <c:pt idx="52">
                  <c:v>42445</c:v>
                </c:pt>
                <c:pt idx="53">
                  <c:v>42446</c:v>
                </c:pt>
                <c:pt idx="54">
                  <c:v>42447</c:v>
                </c:pt>
                <c:pt idx="55">
                  <c:v>42451</c:v>
                </c:pt>
                <c:pt idx="56">
                  <c:v>42452</c:v>
                </c:pt>
                <c:pt idx="57">
                  <c:v>42453</c:v>
                </c:pt>
                <c:pt idx="58">
                  <c:v>42458</c:v>
                </c:pt>
                <c:pt idx="59">
                  <c:v>42459</c:v>
                </c:pt>
                <c:pt idx="60">
                  <c:v>42460</c:v>
                </c:pt>
                <c:pt idx="61">
                  <c:v>42461</c:v>
                </c:pt>
                <c:pt idx="62">
                  <c:v>42464</c:v>
                </c:pt>
                <c:pt idx="63">
                  <c:v>42465</c:v>
                </c:pt>
                <c:pt idx="64">
                  <c:v>42466</c:v>
                </c:pt>
                <c:pt idx="65">
                  <c:v>42467</c:v>
                </c:pt>
                <c:pt idx="66">
                  <c:v>42468</c:v>
                </c:pt>
                <c:pt idx="67">
                  <c:v>42471</c:v>
                </c:pt>
                <c:pt idx="68">
                  <c:v>42472</c:v>
                </c:pt>
                <c:pt idx="69">
                  <c:v>42473</c:v>
                </c:pt>
                <c:pt idx="70">
                  <c:v>42474</c:v>
                </c:pt>
                <c:pt idx="71">
                  <c:v>42475</c:v>
                </c:pt>
                <c:pt idx="72">
                  <c:v>42478</c:v>
                </c:pt>
                <c:pt idx="73">
                  <c:v>42479</c:v>
                </c:pt>
                <c:pt idx="74">
                  <c:v>42480</c:v>
                </c:pt>
                <c:pt idx="75">
                  <c:v>42481</c:v>
                </c:pt>
                <c:pt idx="76">
                  <c:v>42482</c:v>
                </c:pt>
                <c:pt idx="77">
                  <c:v>42485</c:v>
                </c:pt>
                <c:pt idx="78">
                  <c:v>42486</c:v>
                </c:pt>
                <c:pt idx="79">
                  <c:v>42488</c:v>
                </c:pt>
                <c:pt idx="80">
                  <c:v>42489</c:v>
                </c:pt>
                <c:pt idx="81">
                  <c:v>42493</c:v>
                </c:pt>
                <c:pt idx="82">
                  <c:v>42494</c:v>
                </c:pt>
                <c:pt idx="83">
                  <c:v>42495</c:v>
                </c:pt>
                <c:pt idx="84">
                  <c:v>42496</c:v>
                </c:pt>
                <c:pt idx="85">
                  <c:v>42499</c:v>
                </c:pt>
                <c:pt idx="86">
                  <c:v>42500</c:v>
                </c:pt>
                <c:pt idx="87">
                  <c:v>42501</c:v>
                </c:pt>
                <c:pt idx="88">
                  <c:v>42502</c:v>
                </c:pt>
                <c:pt idx="89">
                  <c:v>42503</c:v>
                </c:pt>
                <c:pt idx="90">
                  <c:v>42506</c:v>
                </c:pt>
                <c:pt idx="91">
                  <c:v>42507</c:v>
                </c:pt>
                <c:pt idx="92">
                  <c:v>42508</c:v>
                </c:pt>
                <c:pt idx="93">
                  <c:v>42509</c:v>
                </c:pt>
                <c:pt idx="94">
                  <c:v>42510</c:v>
                </c:pt>
                <c:pt idx="95">
                  <c:v>42513</c:v>
                </c:pt>
                <c:pt idx="96">
                  <c:v>42514</c:v>
                </c:pt>
                <c:pt idx="97">
                  <c:v>42515</c:v>
                </c:pt>
                <c:pt idx="98">
                  <c:v>42516</c:v>
                </c:pt>
                <c:pt idx="99">
                  <c:v>42517</c:v>
                </c:pt>
                <c:pt idx="100">
                  <c:v>42520</c:v>
                </c:pt>
                <c:pt idx="101">
                  <c:v>42521</c:v>
                </c:pt>
                <c:pt idx="102">
                  <c:v>42522</c:v>
                </c:pt>
                <c:pt idx="103">
                  <c:v>42523</c:v>
                </c:pt>
                <c:pt idx="104">
                  <c:v>42524</c:v>
                </c:pt>
                <c:pt idx="105">
                  <c:v>42527</c:v>
                </c:pt>
                <c:pt idx="106">
                  <c:v>42528</c:v>
                </c:pt>
                <c:pt idx="107">
                  <c:v>42529</c:v>
                </c:pt>
                <c:pt idx="108">
                  <c:v>42530</c:v>
                </c:pt>
                <c:pt idx="109">
                  <c:v>42531</c:v>
                </c:pt>
                <c:pt idx="110">
                  <c:v>42534</c:v>
                </c:pt>
                <c:pt idx="111">
                  <c:v>42535</c:v>
                </c:pt>
                <c:pt idx="112">
                  <c:v>42536</c:v>
                </c:pt>
                <c:pt idx="113">
                  <c:v>42538</c:v>
                </c:pt>
                <c:pt idx="114">
                  <c:v>42541</c:v>
                </c:pt>
                <c:pt idx="115">
                  <c:v>42542</c:v>
                </c:pt>
                <c:pt idx="116">
                  <c:v>42543</c:v>
                </c:pt>
                <c:pt idx="117">
                  <c:v>42544</c:v>
                </c:pt>
                <c:pt idx="118">
                  <c:v>42545</c:v>
                </c:pt>
                <c:pt idx="119">
                  <c:v>42548</c:v>
                </c:pt>
                <c:pt idx="120">
                  <c:v>42549</c:v>
                </c:pt>
                <c:pt idx="121">
                  <c:v>42550</c:v>
                </c:pt>
                <c:pt idx="122">
                  <c:v>42551</c:v>
                </c:pt>
                <c:pt idx="123">
                  <c:v>42552</c:v>
                </c:pt>
                <c:pt idx="124">
                  <c:v>42555</c:v>
                </c:pt>
                <c:pt idx="125">
                  <c:v>42556</c:v>
                </c:pt>
                <c:pt idx="126">
                  <c:v>42557</c:v>
                </c:pt>
                <c:pt idx="127">
                  <c:v>42558</c:v>
                </c:pt>
                <c:pt idx="128">
                  <c:v>42559</c:v>
                </c:pt>
                <c:pt idx="129">
                  <c:v>42562</c:v>
                </c:pt>
                <c:pt idx="130">
                  <c:v>42563</c:v>
                </c:pt>
                <c:pt idx="131">
                  <c:v>42564</c:v>
                </c:pt>
                <c:pt idx="132">
                  <c:v>42565</c:v>
                </c:pt>
                <c:pt idx="133">
                  <c:v>42566</c:v>
                </c:pt>
                <c:pt idx="134">
                  <c:v>42569</c:v>
                </c:pt>
                <c:pt idx="135">
                  <c:v>42570</c:v>
                </c:pt>
                <c:pt idx="136">
                  <c:v>42571</c:v>
                </c:pt>
                <c:pt idx="137">
                  <c:v>42572</c:v>
                </c:pt>
                <c:pt idx="138">
                  <c:v>42573</c:v>
                </c:pt>
                <c:pt idx="139">
                  <c:v>42576</c:v>
                </c:pt>
                <c:pt idx="140">
                  <c:v>42577</c:v>
                </c:pt>
                <c:pt idx="141">
                  <c:v>42578</c:v>
                </c:pt>
                <c:pt idx="142">
                  <c:v>42579</c:v>
                </c:pt>
                <c:pt idx="143">
                  <c:v>42580</c:v>
                </c:pt>
                <c:pt idx="144">
                  <c:v>42583</c:v>
                </c:pt>
                <c:pt idx="145">
                  <c:v>42584</c:v>
                </c:pt>
                <c:pt idx="146">
                  <c:v>42586</c:v>
                </c:pt>
                <c:pt idx="147">
                  <c:v>42587</c:v>
                </c:pt>
                <c:pt idx="148">
                  <c:v>42590</c:v>
                </c:pt>
                <c:pt idx="149">
                  <c:v>42592</c:v>
                </c:pt>
                <c:pt idx="150">
                  <c:v>42593</c:v>
                </c:pt>
                <c:pt idx="151">
                  <c:v>42594</c:v>
                </c:pt>
                <c:pt idx="152">
                  <c:v>42597</c:v>
                </c:pt>
                <c:pt idx="153">
                  <c:v>42598</c:v>
                </c:pt>
                <c:pt idx="154">
                  <c:v>42599</c:v>
                </c:pt>
                <c:pt idx="155">
                  <c:v>42600</c:v>
                </c:pt>
                <c:pt idx="156">
                  <c:v>42601</c:v>
                </c:pt>
                <c:pt idx="157">
                  <c:v>42604</c:v>
                </c:pt>
                <c:pt idx="158">
                  <c:v>42605</c:v>
                </c:pt>
                <c:pt idx="159">
                  <c:v>42606</c:v>
                </c:pt>
                <c:pt idx="160">
                  <c:v>42607</c:v>
                </c:pt>
                <c:pt idx="161">
                  <c:v>42608</c:v>
                </c:pt>
                <c:pt idx="162">
                  <c:v>42611</c:v>
                </c:pt>
                <c:pt idx="163">
                  <c:v>42612</c:v>
                </c:pt>
                <c:pt idx="164">
                  <c:v>42613</c:v>
                </c:pt>
                <c:pt idx="165">
                  <c:v>42614</c:v>
                </c:pt>
                <c:pt idx="166">
                  <c:v>42615</c:v>
                </c:pt>
                <c:pt idx="167">
                  <c:v>42618</c:v>
                </c:pt>
                <c:pt idx="168">
                  <c:v>42619</c:v>
                </c:pt>
                <c:pt idx="169">
                  <c:v>42620</c:v>
                </c:pt>
                <c:pt idx="170">
                  <c:v>42621</c:v>
                </c:pt>
                <c:pt idx="171">
                  <c:v>42622</c:v>
                </c:pt>
                <c:pt idx="172">
                  <c:v>42625</c:v>
                </c:pt>
                <c:pt idx="173">
                  <c:v>42626</c:v>
                </c:pt>
                <c:pt idx="174">
                  <c:v>42627</c:v>
                </c:pt>
                <c:pt idx="175">
                  <c:v>42628</c:v>
                </c:pt>
                <c:pt idx="176">
                  <c:v>42629</c:v>
                </c:pt>
                <c:pt idx="177">
                  <c:v>42632</c:v>
                </c:pt>
                <c:pt idx="178">
                  <c:v>42633</c:v>
                </c:pt>
                <c:pt idx="179">
                  <c:v>42634</c:v>
                </c:pt>
                <c:pt idx="180">
                  <c:v>42635</c:v>
                </c:pt>
                <c:pt idx="181">
                  <c:v>42636</c:v>
                </c:pt>
                <c:pt idx="182">
                  <c:v>42639</c:v>
                </c:pt>
                <c:pt idx="183">
                  <c:v>42640</c:v>
                </c:pt>
                <c:pt idx="184">
                  <c:v>42641</c:v>
                </c:pt>
                <c:pt idx="185">
                  <c:v>42642</c:v>
                </c:pt>
                <c:pt idx="186">
                  <c:v>42643</c:v>
                </c:pt>
                <c:pt idx="187">
                  <c:v>42646</c:v>
                </c:pt>
                <c:pt idx="188">
                  <c:v>42647</c:v>
                </c:pt>
                <c:pt idx="189">
                  <c:v>42648</c:v>
                </c:pt>
                <c:pt idx="190">
                  <c:v>42649</c:v>
                </c:pt>
                <c:pt idx="191">
                  <c:v>42650</c:v>
                </c:pt>
                <c:pt idx="192">
                  <c:v>42653</c:v>
                </c:pt>
                <c:pt idx="193">
                  <c:v>42654</c:v>
                </c:pt>
                <c:pt idx="194">
                  <c:v>42655</c:v>
                </c:pt>
                <c:pt idx="195">
                  <c:v>42656</c:v>
                </c:pt>
                <c:pt idx="196">
                  <c:v>42657</c:v>
                </c:pt>
                <c:pt idx="197">
                  <c:v>42660</c:v>
                </c:pt>
                <c:pt idx="198">
                  <c:v>42661</c:v>
                </c:pt>
                <c:pt idx="199">
                  <c:v>42662</c:v>
                </c:pt>
                <c:pt idx="200">
                  <c:v>42663</c:v>
                </c:pt>
                <c:pt idx="201">
                  <c:v>42664</c:v>
                </c:pt>
                <c:pt idx="202">
                  <c:v>42667</c:v>
                </c:pt>
                <c:pt idx="203">
                  <c:v>42668</c:v>
                </c:pt>
                <c:pt idx="204">
                  <c:v>42669</c:v>
                </c:pt>
                <c:pt idx="205">
                  <c:v>42670</c:v>
                </c:pt>
                <c:pt idx="206">
                  <c:v>42671</c:v>
                </c:pt>
                <c:pt idx="207">
                  <c:v>42674</c:v>
                </c:pt>
                <c:pt idx="208">
                  <c:v>42675</c:v>
                </c:pt>
                <c:pt idx="209">
                  <c:v>42676</c:v>
                </c:pt>
                <c:pt idx="210">
                  <c:v>42677</c:v>
                </c:pt>
                <c:pt idx="211">
                  <c:v>42678</c:v>
                </c:pt>
                <c:pt idx="212">
                  <c:v>42681</c:v>
                </c:pt>
                <c:pt idx="213">
                  <c:v>42682</c:v>
                </c:pt>
                <c:pt idx="214">
                  <c:v>42683</c:v>
                </c:pt>
                <c:pt idx="215">
                  <c:v>42684</c:v>
                </c:pt>
                <c:pt idx="216">
                  <c:v>42685</c:v>
                </c:pt>
                <c:pt idx="217">
                  <c:v>42688</c:v>
                </c:pt>
                <c:pt idx="218">
                  <c:v>42689</c:v>
                </c:pt>
                <c:pt idx="219">
                  <c:v>42690</c:v>
                </c:pt>
                <c:pt idx="220">
                  <c:v>42691</c:v>
                </c:pt>
                <c:pt idx="221">
                  <c:v>42692</c:v>
                </c:pt>
                <c:pt idx="222">
                  <c:v>42695</c:v>
                </c:pt>
                <c:pt idx="223">
                  <c:v>42696</c:v>
                </c:pt>
                <c:pt idx="224">
                  <c:v>42697</c:v>
                </c:pt>
                <c:pt idx="225">
                  <c:v>42698</c:v>
                </c:pt>
                <c:pt idx="226">
                  <c:v>42699</c:v>
                </c:pt>
                <c:pt idx="227">
                  <c:v>42702</c:v>
                </c:pt>
                <c:pt idx="228">
                  <c:v>42703</c:v>
                </c:pt>
                <c:pt idx="229">
                  <c:v>42704</c:v>
                </c:pt>
                <c:pt idx="230">
                  <c:v>42705</c:v>
                </c:pt>
                <c:pt idx="231">
                  <c:v>42706</c:v>
                </c:pt>
                <c:pt idx="232">
                  <c:v>42709</c:v>
                </c:pt>
                <c:pt idx="233">
                  <c:v>42710</c:v>
                </c:pt>
                <c:pt idx="234">
                  <c:v>42711</c:v>
                </c:pt>
                <c:pt idx="235">
                  <c:v>42712</c:v>
                </c:pt>
                <c:pt idx="236">
                  <c:v>42713</c:v>
                </c:pt>
                <c:pt idx="237">
                  <c:v>42716</c:v>
                </c:pt>
                <c:pt idx="238">
                  <c:v>42717</c:v>
                </c:pt>
                <c:pt idx="239">
                  <c:v>42718</c:v>
                </c:pt>
                <c:pt idx="240">
                  <c:v>42719</c:v>
                </c:pt>
                <c:pt idx="241">
                  <c:v>42723</c:v>
                </c:pt>
                <c:pt idx="242">
                  <c:v>42724</c:v>
                </c:pt>
                <c:pt idx="243">
                  <c:v>42725</c:v>
                </c:pt>
                <c:pt idx="244">
                  <c:v>42726</c:v>
                </c:pt>
                <c:pt idx="245">
                  <c:v>42727</c:v>
                </c:pt>
                <c:pt idx="246">
                  <c:v>42732</c:v>
                </c:pt>
                <c:pt idx="247">
                  <c:v>42733</c:v>
                </c:pt>
                <c:pt idx="248">
                  <c:v>42734</c:v>
                </c:pt>
                <c:pt idx="249">
                  <c:v>42738</c:v>
                </c:pt>
                <c:pt idx="250">
                  <c:v>42739</c:v>
                </c:pt>
                <c:pt idx="251">
                  <c:v>42740</c:v>
                </c:pt>
                <c:pt idx="252">
                  <c:v>42741</c:v>
                </c:pt>
                <c:pt idx="253">
                  <c:v>42744</c:v>
                </c:pt>
                <c:pt idx="254">
                  <c:v>42745</c:v>
                </c:pt>
                <c:pt idx="255">
                  <c:v>42746</c:v>
                </c:pt>
                <c:pt idx="256">
                  <c:v>42747</c:v>
                </c:pt>
                <c:pt idx="257">
                  <c:v>42748</c:v>
                </c:pt>
                <c:pt idx="258">
                  <c:v>42751</c:v>
                </c:pt>
                <c:pt idx="259">
                  <c:v>42752</c:v>
                </c:pt>
                <c:pt idx="260">
                  <c:v>42753</c:v>
                </c:pt>
                <c:pt idx="261">
                  <c:v>42754</c:v>
                </c:pt>
                <c:pt idx="262">
                  <c:v>42755</c:v>
                </c:pt>
                <c:pt idx="263">
                  <c:v>42758</c:v>
                </c:pt>
                <c:pt idx="264">
                  <c:v>42759</c:v>
                </c:pt>
                <c:pt idx="265">
                  <c:v>42760</c:v>
                </c:pt>
                <c:pt idx="266">
                  <c:v>42761</c:v>
                </c:pt>
                <c:pt idx="267">
                  <c:v>42762</c:v>
                </c:pt>
                <c:pt idx="268">
                  <c:v>42765</c:v>
                </c:pt>
                <c:pt idx="269">
                  <c:v>42766</c:v>
                </c:pt>
                <c:pt idx="270">
                  <c:v>42767</c:v>
                </c:pt>
                <c:pt idx="271">
                  <c:v>42768</c:v>
                </c:pt>
                <c:pt idx="272">
                  <c:v>42769</c:v>
                </c:pt>
                <c:pt idx="273">
                  <c:v>42772</c:v>
                </c:pt>
                <c:pt idx="274">
                  <c:v>42773</c:v>
                </c:pt>
                <c:pt idx="275">
                  <c:v>42774</c:v>
                </c:pt>
                <c:pt idx="276">
                  <c:v>42775</c:v>
                </c:pt>
                <c:pt idx="277">
                  <c:v>42776</c:v>
                </c:pt>
                <c:pt idx="278">
                  <c:v>42779</c:v>
                </c:pt>
                <c:pt idx="279">
                  <c:v>42780</c:v>
                </c:pt>
                <c:pt idx="280">
                  <c:v>42781</c:v>
                </c:pt>
                <c:pt idx="281">
                  <c:v>42782</c:v>
                </c:pt>
                <c:pt idx="282">
                  <c:v>42783</c:v>
                </c:pt>
                <c:pt idx="283">
                  <c:v>42786</c:v>
                </c:pt>
                <c:pt idx="284">
                  <c:v>42787</c:v>
                </c:pt>
                <c:pt idx="285">
                  <c:v>42788</c:v>
                </c:pt>
                <c:pt idx="286">
                  <c:v>42789</c:v>
                </c:pt>
                <c:pt idx="287">
                  <c:v>42790</c:v>
                </c:pt>
                <c:pt idx="288">
                  <c:v>42793</c:v>
                </c:pt>
                <c:pt idx="289">
                  <c:v>42794</c:v>
                </c:pt>
                <c:pt idx="290">
                  <c:v>42795</c:v>
                </c:pt>
                <c:pt idx="291">
                  <c:v>42796</c:v>
                </c:pt>
                <c:pt idx="292">
                  <c:v>42797</c:v>
                </c:pt>
                <c:pt idx="293">
                  <c:v>42800</c:v>
                </c:pt>
                <c:pt idx="294">
                  <c:v>42801</c:v>
                </c:pt>
                <c:pt idx="295">
                  <c:v>42802</c:v>
                </c:pt>
                <c:pt idx="296">
                  <c:v>42803</c:v>
                </c:pt>
                <c:pt idx="297">
                  <c:v>42804</c:v>
                </c:pt>
                <c:pt idx="298">
                  <c:v>42807</c:v>
                </c:pt>
                <c:pt idx="299">
                  <c:v>42808</c:v>
                </c:pt>
                <c:pt idx="300">
                  <c:v>42809</c:v>
                </c:pt>
                <c:pt idx="301">
                  <c:v>42810</c:v>
                </c:pt>
                <c:pt idx="302">
                  <c:v>42811</c:v>
                </c:pt>
                <c:pt idx="303">
                  <c:v>42814</c:v>
                </c:pt>
                <c:pt idx="304">
                  <c:v>42816</c:v>
                </c:pt>
                <c:pt idx="305">
                  <c:v>42817</c:v>
                </c:pt>
                <c:pt idx="306">
                  <c:v>42818</c:v>
                </c:pt>
                <c:pt idx="307">
                  <c:v>42821</c:v>
                </c:pt>
                <c:pt idx="308">
                  <c:v>42822</c:v>
                </c:pt>
                <c:pt idx="309">
                  <c:v>42823</c:v>
                </c:pt>
                <c:pt idx="310">
                  <c:v>42824</c:v>
                </c:pt>
                <c:pt idx="311">
                  <c:v>42825</c:v>
                </c:pt>
                <c:pt idx="312">
                  <c:v>42828</c:v>
                </c:pt>
                <c:pt idx="313">
                  <c:v>42829</c:v>
                </c:pt>
                <c:pt idx="314">
                  <c:v>42830</c:v>
                </c:pt>
                <c:pt idx="315">
                  <c:v>42831</c:v>
                </c:pt>
                <c:pt idx="316">
                  <c:v>42832</c:v>
                </c:pt>
                <c:pt idx="317">
                  <c:v>42835</c:v>
                </c:pt>
                <c:pt idx="318">
                  <c:v>42836</c:v>
                </c:pt>
                <c:pt idx="319">
                  <c:v>42837</c:v>
                </c:pt>
                <c:pt idx="320">
                  <c:v>42838</c:v>
                </c:pt>
                <c:pt idx="321">
                  <c:v>42843</c:v>
                </c:pt>
                <c:pt idx="322">
                  <c:v>42844</c:v>
                </c:pt>
                <c:pt idx="323">
                  <c:v>42845</c:v>
                </c:pt>
                <c:pt idx="324">
                  <c:v>42846</c:v>
                </c:pt>
                <c:pt idx="325">
                  <c:v>42849</c:v>
                </c:pt>
                <c:pt idx="326">
                  <c:v>42850</c:v>
                </c:pt>
                <c:pt idx="327">
                  <c:v>42851</c:v>
                </c:pt>
                <c:pt idx="328">
                  <c:v>42853</c:v>
                </c:pt>
                <c:pt idx="329">
                  <c:v>42857</c:v>
                </c:pt>
                <c:pt idx="330">
                  <c:v>42858</c:v>
                </c:pt>
                <c:pt idx="331">
                  <c:v>42859</c:v>
                </c:pt>
                <c:pt idx="332">
                  <c:v>42860</c:v>
                </c:pt>
                <c:pt idx="333">
                  <c:v>42863</c:v>
                </c:pt>
                <c:pt idx="334">
                  <c:v>42864</c:v>
                </c:pt>
                <c:pt idx="335">
                  <c:v>42865</c:v>
                </c:pt>
                <c:pt idx="336">
                  <c:v>42866</c:v>
                </c:pt>
                <c:pt idx="337">
                  <c:v>42867</c:v>
                </c:pt>
                <c:pt idx="338">
                  <c:v>42870</c:v>
                </c:pt>
                <c:pt idx="339">
                  <c:v>42871</c:v>
                </c:pt>
                <c:pt idx="340">
                  <c:v>42872</c:v>
                </c:pt>
                <c:pt idx="341">
                  <c:v>42873</c:v>
                </c:pt>
                <c:pt idx="342">
                  <c:v>42874</c:v>
                </c:pt>
                <c:pt idx="343">
                  <c:v>42877</c:v>
                </c:pt>
                <c:pt idx="344">
                  <c:v>42878</c:v>
                </c:pt>
                <c:pt idx="345">
                  <c:v>42879</c:v>
                </c:pt>
                <c:pt idx="346">
                  <c:v>42880</c:v>
                </c:pt>
                <c:pt idx="347">
                  <c:v>42881</c:v>
                </c:pt>
                <c:pt idx="348">
                  <c:v>42884</c:v>
                </c:pt>
                <c:pt idx="349">
                  <c:v>42885</c:v>
                </c:pt>
                <c:pt idx="350">
                  <c:v>42886</c:v>
                </c:pt>
                <c:pt idx="351">
                  <c:v>42887</c:v>
                </c:pt>
                <c:pt idx="352">
                  <c:v>42888</c:v>
                </c:pt>
                <c:pt idx="353">
                  <c:v>42891</c:v>
                </c:pt>
                <c:pt idx="354">
                  <c:v>42892</c:v>
                </c:pt>
                <c:pt idx="355">
                  <c:v>42893</c:v>
                </c:pt>
                <c:pt idx="356">
                  <c:v>42894</c:v>
                </c:pt>
                <c:pt idx="357">
                  <c:v>42895</c:v>
                </c:pt>
                <c:pt idx="358">
                  <c:v>42898</c:v>
                </c:pt>
                <c:pt idx="359">
                  <c:v>42899</c:v>
                </c:pt>
                <c:pt idx="360">
                  <c:v>42900</c:v>
                </c:pt>
                <c:pt idx="361">
                  <c:v>42901</c:v>
                </c:pt>
                <c:pt idx="362">
                  <c:v>42905</c:v>
                </c:pt>
                <c:pt idx="363">
                  <c:v>42906</c:v>
                </c:pt>
                <c:pt idx="364">
                  <c:v>42907</c:v>
                </c:pt>
                <c:pt idx="365">
                  <c:v>42908</c:v>
                </c:pt>
                <c:pt idx="366">
                  <c:v>42909</c:v>
                </c:pt>
                <c:pt idx="367">
                  <c:v>42912</c:v>
                </c:pt>
                <c:pt idx="368">
                  <c:v>42913</c:v>
                </c:pt>
                <c:pt idx="369">
                  <c:v>42914</c:v>
                </c:pt>
                <c:pt idx="370">
                  <c:v>42915</c:v>
                </c:pt>
                <c:pt idx="371">
                  <c:v>42916</c:v>
                </c:pt>
                <c:pt idx="372">
                  <c:v>42919</c:v>
                </c:pt>
                <c:pt idx="373">
                  <c:v>42920</c:v>
                </c:pt>
                <c:pt idx="374">
                  <c:v>42921</c:v>
                </c:pt>
                <c:pt idx="375">
                  <c:v>42922</c:v>
                </c:pt>
                <c:pt idx="376">
                  <c:v>42923</c:v>
                </c:pt>
                <c:pt idx="377">
                  <c:v>42926</c:v>
                </c:pt>
                <c:pt idx="378">
                  <c:v>42927</c:v>
                </c:pt>
                <c:pt idx="379">
                  <c:v>42928</c:v>
                </c:pt>
                <c:pt idx="380">
                  <c:v>42929</c:v>
                </c:pt>
                <c:pt idx="381">
                  <c:v>42930</c:v>
                </c:pt>
                <c:pt idx="382">
                  <c:v>42933</c:v>
                </c:pt>
                <c:pt idx="383">
                  <c:v>42934</c:v>
                </c:pt>
                <c:pt idx="384">
                  <c:v>42935</c:v>
                </c:pt>
                <c:pt idx="385">
                  <c:v>42936</c:v>
                </c:pt>
                <c:pt idx="386">
                  <c:v>42937</c:v>
                </c:pt>
                <c:pt idx="387">
                  <c:v>42940</c:v>
                </c:pt>
                <c:pt idx="388">
                  <c:v>42941</c:v>
                </c:pt>
                <c:pt idx="389">
                  <c:v>42942</c:v>
                </c:pt>
                <c:pt idx="390">
                  <c:v>42943</c:v>
                </c:pt>
                <c:pt idx="391">
                  <c:v>42944</c:v>
                </c:pt>
                <c:pt idx="392">
                  <c:v>42947</c:v>
                </c:pt>
                <c:pt idx="393">
                  <c:v>42948</c:v>
                </c:pt>
                <c:pt idx="394">
                  <c:v>42949</c:v>
                </c:pt>
                <c:pt idx="395">
                  <c:v>42950</c:v>
                </c:pt>
                <c:pt idx="396">
                  <c:v>42951</c:v>
                </c:pt>
                <c:pt idx="397">
                  <c:v>42954</c:v>
                </c:pt>
                <c:pt idx="398">
                  <c:v>42955</c:v>
                </c:pt>
                <c:pt idx="399">
                  <c:v>42957</c:v>
                </c:pt>
                <c:pt idx="400">
                  <c:v>42958</c:v>
                </c:pt>
                <c:pt idx="401">
                  <c:v>42961</c:v>
                </c:pt>
                <c:pt idx="402">
                  <c:v>42962</c:v>
                </c:pt>
                <c:pt idx="403">
                  <c:v>42963</c:v>
                </c:pt>
                <c:pt idx="404">
                  <c:v>42964</c:v>
                </c:pt>
                <c:pt idx="405">
                  <c:v>42965</c:v>
                </c:pt>
                <c:pt idx="406">
                  <c:v>42968</c:v>
                </c:pt>
                <c:pt idx="407">
                  <c:v>42969</c:v>
                </c:pt>
                <c:pt idx="408">
                  <c:v>42970</c:v>
                </c:pt>
                <c:pt idx="409">
                  <c:v>42971</c:v>
                </c:pt>
                <c:pt idx="410">
                  <c:v>42972</c:v>
                </c:pt>
                <c:pt idx="411">
                  <c:v>42975</c:v>
                </c:pt>
                <c:pt idx="412">
                  <c:v>42976</c:v>
                </c:pt>
                <c:pt idx="413">
                  <c:v>42977</c:v>
                </c:pt>
                <c:pt idx="414">
                  <c:v>42978</c:v>
                </c:pt>
                <c:pt idx="415">
                  <c:v>42979</c:v>
                </c:pt>
                <c:pt idx="416">
                  <c:v>42982</c:v>
                </c:pt>
                <c:pt idx="417">
                  <c:v>42983</c:v>
                </c:pt>
                <c:pt idx="418">
                  <c:v>42984</c:v>
                </c:pt>
                <c:pt idx="419">
                  <c:v>42985</c:v>
                </c:pt>
                <c:pt idx="420">
                  <c:v>42986</c:v>
                </c:pt>
                <c:pt idx="421">
                  <c:v>42989</c:v>
                </c:pt>
                <c:pt idx="422">
                  <c:v>42990</c:v>
                </c:pt>
                <c:pt idx="423">
                  <c:v>42991</c:v>
                </c:pt>
                <c:pt idx="424">
                  <c:v>42992</c:v>
                </c:pt>
                <c:pt idx="425">
                  <c:v>42993</c:v>
                </c:pt>
                <c:pt idx="426">
                  <c:v>42996</c:v>
                </c:pt>
                <c:pt idx="427">
                  <c:v>42997</c:v>
                </c:pt>
                <c:pt idx="428">
                  <c:v>42998</c:v>
                </c:pt>
                <c:pt idx="429">
                  <c:v>42999</c:v>
                </c:pt>
                <c:pt idx="430">
                  <c:v>43000</c:v>
                </c:pt>
                <c:pt idx="431">
                  <c:v>43004</c:v>
                </c:pt>
                <c:pt idx="432">
                  <c:v>43005</c:v>
                </c:pt>
                <c:pt idx="433">
                  <c:v>43006</c:v>
                </c:pt>
                <c:pt idx="434">
                  <c:v>43007</c:v>
                </c:pt>
                <c:pt idx="435">
                  <c:v>43010</c:v>
                </c:pt>
                <c:pt idx="436">
                  <c:v>43011</c:v>
                </c:pt>
                <c:pt idx="437">
                  <c:v>43012</c:v>
                </c:pt>
                <c:pt idx="438">
                  <c:v>43013</c:v>
                </c:pt>
                <c:pt idx="439">
                  <c:v>43014</c:v>
                </c:pt>
                <c:pt idx="440">
                  <c:v>43017</c:v>
                </c:pt>
                <c:pt idx="441">
                  <c:v>43018</c:v>
                </c:pt>
                <c:pt idx="442">
                  <c:v>43019</c:v>
                </c:pt>
                <c:pt idx="443">
                  <c:v>43020</c:v>
                </c:pt>
                <c:pt idx="444">
                  <c:v>43021</c:v>
                </c:pt>
                <c:pt idx="445">
                  <c:v>43024</c:v>
                </c:pt>
                <c:pt idx="446">
                  <c:v>43025</c:v>
                </c:pt>
                <c:pt idx="447">
                  <c:v>43026</c:v>
                </c:pt>
                <c:pt idx="448">
                  <c:v>43027</c:v>
                </c:pt>
                <c:pt idx="449">
                  <c:v>43028</c:v>
                </c:pt>
                <c:pt idx="450">
                  <c:v>43031</c:v>
                </c:pt>
                <c:pt idx="451">
                  <c:v>43032</c:v>
                </c:pt>
                <c:pt idx="452">
                  <c:v>43033</c:v>
                </c:pt>
                <c:pt idx="453">
                  <c:v>43034</c:v>
                </c:pt>
                <c:pt idx="454">
                  <c:v>43035</c:v>
                </c:pt>
                <c:pt idx="455">
                  <c:v>43038</c:v>
                </c:pt>
                <c:pt idx="456">
                  <c:v>43039</c:v>
                </c:pt>
                <c:pt idx="457">
                  <c:v>43040</c:v>
                </c:pt>
                <c:pt idx="458">
                  <c:v>43041</c:v>
                </c:pt>
                <c:pt idx="459">
                  <c:v>43042</c:v>
                </c:pt>
                <c:pt idx="460">
                  <c:v>43045</c:v>
                </c:pt>
                <c:pt idx="461">
                  <c:v>43046</c:v>
                </c:pt>
                <c:pt idx="462">
                  <c:v>43047</c:v>
                </c:pt>
                <c:pt idx="463">
                  <c:v>43048</c:v>
                </c:pt>
                <c:pt idx="464">
                  <c:v>43049</c:v>
                </c:pt>
                <c:pt idx="465">
                  <c:v>43052</c:v>
                </c:pt>
                <c:pt idx="466">
                  <c:v>43053</c:v>
                </c:pt>
                <c:pt idx="467">
                  <c:v>43054</c:v>
                </c:pt>
                <c:pt idx="468">
                  <c:v>43055</c:v>
                </c:pt>
                <c:pt idx="469">
                  <c:v>43056</c:v>
                </c:pt>
                <c:pt idx="470">
                  <c:v>43059</c:v>
                </c:pt>
                <c:pt idx="471">
                  <c:v>43060</c:v>
                </c:pt>
                <c:pt idx="472">
                  <c:v>43061</c:v>
                </c:pt>
                <c:pt idx="473">
                  <c:v>43062</c:v>
                </c:pt>
                <c:pt idx="474">
                  <c:v>43063</c:v>
                </c:pt>
                <c:pt idx="475">
                  <c:v>43066</c:v>
                </c:pt>
                <c:pt idx="476">
                  <c:v>43067</c:v>
                </c:pt>
                <c:pt idx="477">
                  <c:v>43068</c:v>
                </c:pt>
                <c:pt idx="478">
                  <c:v>43069</c:v>
                </c:pt>
                <c:pt idx="479">
                  <c:v>43070</c:v>
                </c:pt>
                <c:pt idx="480">
                  <c:v>43073</c:v>
                </c:pt>
                <c:pt idx="481">
                  <c:v>43074</c:v>
                </c:pt>
                <c:pt idx="482">
                  <c:v>43075</c:v>
                </c:pt>
                <c:pt idx="483">
                  <c:v>43076</c:v>
                </c:pt>
                <c:pt idx="484">
                  <c:v>43077</c:v>
                </c:pt>
                <c:pt idx="485">
                  <c:v>43080</c:v>
                </c:pt>
                <c:pt idx="486">
                  <c:v>43081</c:v>
                </c:pt>
                <c:pt idx="487">
                  <c:v>43082</c:v>
                </c:pt>
                <c:pt idx="488">
                  <c:v>43083</c:v>
                </c:pt>
                <c:pt idx="489">
                  <c:v>43084</c:v>
                </c:pt>
                <c:pt idx="490">
                  <c:v>43087</c:v>
                </c:pt>
                <c:pt idx="491">
                  <c:v>43088</c:v>
                </c:pt>
                <c:pt idx="492">
                  <c:v>43089</c:v>
                </c:pt>
                <c:pt idx="493">
                  <c:v>43090</c:v>
                </c:pt>
                <c:pt idx="494">
                  <c:v>43091</c:v>
                </c:pt>
                <c:pt idx="495">
                  <c:v>43096</c:v>
                </c:pt>
                <c:pt idx="496">
                  <c:v>43097</c:v>
                </c:pt>
                <c:pt idx="497">
                  <c:v>43098</c:v>
                </c:pt>
                <c:pt idx="498">
                  <c:v>43102</c:v>
                </c:pt>
                <c:pt idx="499">
                  <c:v>43103</c:v>
                </c:pt>
                <c:pt idx="500">
                  <c:v>43104</c:v>
                </c:pt>
                <c:pt idx="501">
                  <c:v>43105</c:v>
                </c:pt>
                <c:pt idx="502">
                  <c:v>43108</c:v>
                </c:pt>
                <c:pt idx="503">
                  <c:v>43109</c:v>
                </c:pt>
                <c:pt idx="504">
                  <c:v>43110</c:v>
                </c:pt>
                <c:pt idx="505">
                  <c:v>43111</c:v>
                </c:pt>
                <c:pt idx="506">
                  <c:v>43112</c:v>
                </c:pt>
                <c:pt idx="507">
                  <c:v>43115</c:v>
                </c:pt>
                <c:pt idx="508">
                  <c:v>43116</c:v>
                </c:pt>
                <c:pt idx="509">
                  <c:v>43117</c:v>
                </c:pt>
                <c:pt idx="510">
                  <c:v>43118</c:v>
                </c:pt>
                <c:pt idx="511">
                  <c:v>43119</c:v>
                </c:pt>
                <c:pt idx="512">
                  <c:v>43122</c:v>
                </c:pt>
                <c:pt idx="513">
                  <c:v>43123</c:v>
                </c:pt>
                <c:pt idx="514">
                  <c:v>43124</c:v>
                </c:pt>
                <c:pt idx="515">
                  <c:v>43125</c:v>
                </c:pt>
                <c:pt idx="516">
                  <c:v>43126</c:v>
                </c:pt>
                <c:pt idx="517">
                  <c:v>43129</c:v>
                </c:pt>
                <c:pt idx="518">
                  <c:v>43130</c:v>
                </c:pt>
                <c:pt idx="519">
                  <c:v>43131</c:v>
                </c:pt>
                <c:pt idx="520">
                  <c:v>43132</c:v>
                </c:pt>
                <c:pt idx="521">
                  <c:v>43133</c:v>
                </c:pt>
                <c:pt idx="522">
                  <c:v>43136</c:v>
                </c:pt>
                <c:pt idx="523">
                  <c:v>43137</c:v>
                </c:pt>
                <c:pt idx="524">
                  <c:v>43138</c:v>
                </c:pt>
                <c:pt idx="525">
                  <c:v>43139</c:v>
                </c:pt>
                <c:pt idx="526">
                  <c:v>43140</c:v>
                </c:pt>
                <c:pt idx="527">
                  <c:v>43143</c:v>
                </c:pt>
                <c:pt idx="528">
                  <c:v>43144</c:v>
                </c:pt>
                <c:pt idx="529">
                  <c:v>43145</c:v>
                </c:pt>
                <c:pt idx="530">
                  <c:v>43146</c:v>
                </c:pt>
                <c:pt idx="531">
                  <c:v>43147</c:v>
                </c:pt>
                <c:pt idx="532">
                  <c:v>43150</c:v>
                </c:pt>
                <c:pt idx="533">
                  <c:v>43151</c:v>
                </c:pt>
                <c:pt idx="534">
                  <c:v>43152</c:v>
                </c:pt>
                <c:pt idx="535">
                  <c:v>43153</c:v>
                </c:pt>
                <c:pt idx="536">
                  <c:v>43154</c:v>
                </c:pt>
                <c:pt idx="537">
                  <c:v>43157</c:v>
                </c:pt>
                <c:pt idx="538">
                  <c:v>43158</c:v>
                </c:pt>
                <c:pt idx="539">
                  <c:v>43159</c:v>
                </c:pt>
                <c:pt idx="540">
                  <c:v>43160</c:v>
                </c:pt>
                <c:pt idx="541">
                  <c:v>43161</c:v>
                </c:pt>
                <c:pt idx="542">
                  <c:v>43164</c:v>
                </c:pt>
                <c:pt idx="543">
                  <c:v>43165</c:v>
                </c:pt>
                <c:pt idx="544">
                  <c:v>43166</c:v>
                </c:pt>
                <c:pt idx="545">
                  <c:v>43167</c:v>
                </c:pt>
                <c:pt idx="546">
                  <c:v>43168</c:v>
                </c:pt>
                <c:pt idx="547">
                  <c:v>43171</c:v>
                </c:pt>
                <c:pt idx="548">
                  <c:v>43172</c:v>
                </c:pt>
                <c:pt idx="549">
                  <c:v>43173</c:v>
                </c:pt>
                <c:pt idx="550">
                  <c:v>43174</c:v>
                </c:pt>
                <c:pt idx="551">
                  <c:v>43175</c:v>
                </c:pt>
                <c:pt idx="552">
                  <c:v>43178</c:v>
                </c:pt>
                <c:pt idx="553">
                  <c:v>43179</c:v>
                </c:pt>
                <c:pt idx="554">
                  <c:v>43181</c:v>
                </c:pt>
                <c:pt idx="555">
                  <c:v>43182</c:v>
                </c:pt>
                <c:pt idx="556">
                  <c:v>43185</c:v>
                </c:pt>
                <c:pt idx="557">
                  <c:v>43186</c:v>
                </c:pt>
                <c:pt idx="558">
                  <c:v>43187</c:v>
                </c:pt>
                <c:pt idx="559">
                  <c:v>43188</c:v>
                </c:pt>
                <c:pt idx="560">
                  <c:v>43193</c:v>
                </c:pt>
                <c:pt idx="561">
                  <c:v>43194</c:v>
                </c:pt>
                <c:pt idx="562">
                  <c:v>43195</c:v>
                </c:pt>
                <c:pt idx="563">
                  <c:v>43196</c:v>
                </c:pt>
                <c:pt idx="564">
                  <c:v>43199</c:v>
                </c:pt>
                <c:pt idx="565">
                  <c:v>43200</c:v>
                </c:pt>
                <c:pt idx="566">
                  <c:v>43201</c:v>
                </c:pt>
                <c:pt idx="567">
                  <c:v>43202</c:v>
                </c:pt>
                <c:pt idx="568">
                  <c:v>43203</c:v>
                </c:pt>
                <c:pt idx="569">
                  <c:v>43206</c:v>
                </c:pt>
                <c:pt idx="570">
                  <c:v>43207</c:v>
                </c:pt>
                <c:pt idx="571">
                  <c:v>43208</c:v>
                </c:pt>
                <c:pt idx="572">
                  <c:v>43209</c:v>
                </c:pt>
                <c:pt idx="573">
                  <c:v>43210</c:v>
                </c:pt>
                <c:pt idx="574">
                  <c:v>43213</c:v>
                </c:pt>
                <c:pt idx="575">
                  <c:v>43214</c:v>
                </c:pt>
                <c:pt idx="576">
                  <c:v>43215</c:v>
                </c:pt>
                <c:pt idx="577">
                  <c:v>43216</c:v>
                </c:pt>
                <c:pt idx="578">
                  <c:v>43220</c:v>
                </c:pt>
                <c:pt idx="579">
                  <c:v>43222</c:v>
                </c:pt>
                <c:pt idx="580">
                  <c:v>43223</c:v>
                </c:pt>
                <c:pt idx="581">
                  <c:v>43224</c:v>
                </c:pt>
                <c:pt idx="582">
                  <c:v>43227</c:v>
                </c:pt>
                <c:pt idx="583">
                  <c:v>43228</c:v>
                </c:pt>
                <c:pt idx="584">
                  <c:v>43229</c:v>
                </c:pt>
                <c:pt idx="585">
                  <c:v>43230</c:v>
                </c:pt>
                <c:pt idx="586">
                  <c:v>43231</c:v>
                </c:pt>
                <c:pt idx="587">
                  <c:v>43234</c:v>
                </c:pt>
                <c:pt idx="588">
                  <c:v>43235</c:v>
                </c:pt>
                <c:pt idx="589">
                  <c:v>43236</c:v>
                </c:pt>
                <c:pt idx="590">
                  <c:v>43237</c:v>
                </c:pt>
                <c:pt idx="591">
                  <c:v>43238</c:v>
                </c:pt>
                <c:pt idx="592">
                  <c:v>43241</c:v>
                </c:pt>
                <c:pt idx="593">
                  <c:v>43242</c:v>
                </c:pt>
                <c:pt idx="594">
                  <c:v>43243</c:v>
                </c:pt>
                <c:pt idx="595">
                  <c:v>43244</c:v>
                </c:pt>
                <c:pt idx="596">
                  <c:v>43245</c:v>
                </c:pt>
                <c:pt idx="597">
                  <c:v>43248</c:v>
                </c:pt>
                <c:pt idx="598">
                  <c:v>43249</c:v>
                </c:pt>
                <c:pt idx="599">
                  <c:v>43250</c:v>
                </c:pt>
                <c:pt idx="600">
                  <c:v>43251</c:v>
                </c:pt>
                <c:pt idx="601">
                  <c:v>43252</c:v>
                </c:pt>
                <c:pt idx="602">
                  <c:v>43255</c:v>
                </c:pt>
                <c:pt idx="603">
                  <c:v>43256</c:v>
                </c:pt>
                <c:pt idx="604">
                  <c:v>43257</c:v>
                </c:pt>
                <c:pt idx="605">
                  <c:v>43258</c:v>
                </c:pt>
                <c:pt idx="606">
                  <c:v>43259</c:v>
                </c:pt>
                <c:pt idx="607">
                  <c:v>43262</c:v>
                </c:pt>
                <c:pt idx="608">
                  <c:v>43263</c:v>
                </c:pt>
                <c:pt idx="609">
                  <c:v>43264</c:v>
                </c:pt>
                <c:pt idx="610">
                  <c:v>43265</c:v>
                </c:pt>
                <c:pt idx="611">
                  <c:v>43266</c:v>
                </c:pt>
                <c:pt idx="612">
                  <c:v>43269</c:v>
                </c:pt>
                <c:pt idx="613">
                  <c:v>43270</c:v>
                </c:pt>
                <c:pt idx="614">
                  <c:v>43271</c:v>
                </c:pt>
                <c:pt idx="615">
                  <c:v>43272</c:v>
                </c:pt>
                <c:pt idx="616">
                  <c:v>43273</c:v>
                </c:pt>
                <c:pt idx="617">
                  <c:v>43276</c:v>
                </c:pt>
                <c:pt idx="618">
                  <c:v>43277</c:v>
                </c:pt>
                <c:pt idx="619">
                  <c:v>43278</c:v>
                </c:pt>
                <c:pt idx="620">
                  <c:v>43279</c:v>
                </c:pt>
                <c:pt idx="621">
                  <c:v>43280</c:v>
                </c:pt>
                <c:pt idx="622">
                  <c:v>43283</c:v>
                </c:pt>
                <c:pt idx="623">
                  <c:v>43284</c:v>
                </c:pt>
                <c:pt idx="624">
                  <c:v>43285</c:v>
                </c:pt>
                <c:pt idx="625">
                  <c:v>43286</c:v>
                </c:pt>
                <c:pt idx="626">
                  <c:v>43287</c:v>
                </c:pt>
                <c:pt idx="627">
                  <c:v>43290</c:v>
                </c:pt>
                <c:pt idx="628">
                  <c:v>43291</c:v>
                </c:pt>
                <c:pt idx="629">
                  <c:v>43292</c:v>
                </c:pt>
                <c:pt idx="630">
                  <c:v>43293</c:v>
                </c:pt>
                <c:pt idx="631">
                  <c:v>43294</c:v>
                </c:pt>
                <c:pt idx="632">
                  <c:v>43297</c:v>
                </c:pt>
                <c:pt idx="633">
                  <c:v>43298</c:v>
                </c:pt>
                <c:pt idx="634">
                  <c:v>43299</c:v>
                </c:pt>
                <c:pt idx="635">
                  <c:v>43300</c:v>
                </c:pt>
                <c:pt idx="636">
                  <c:v>43301</c:v>
                </c:pt>
                <c:pt idx="637">
                  <c:v>43304</c:v>
                </c:pt>
                <c:pt idx="638">
                  <c:v>43305</c:v>
                </c:pt>
                <c:pt idx="639">
                  <c:v>43306</c:v>
                </c:pt>
                <c:pt idx="640">
                  <c:v>43307</c:v>
                </c:pt>
                <c:pt idx="641">
                  <c:v>43308</c:v>
                </c:pt>
                <c:pt idx="642">
                  <c:v>43311</c:v>
                </c:pt>
                <c:pt idx="643">
                  <c:v>43312</c:v>
                </c:pt>
                <c:pt idx="644">
                  <c:v>43313</c:v>
                </c:pt>
                <c:pt idx="645">
                  <c:v>43314</c:v>
                </c:pt>
                <c:pt idx="646">
                  <c:v>43315</c:v>
                </c:pt>
                <c:pt idx="647">
                  <c:v>43318</c:v>
                </c:pt>
                <c:pt idx="648">
                  <c:v>43319</c:v>
                </c:pt>
                <c:pt idx="649">
                  <c:v>43320</c:v>
                </c:pt>
                <c:pt idx="650">
                  <c:v>43322</c:v>
                </c:pt>
                <c:pt idx="651">
                  <c:v>43325</c:v>
                </c:pt>
                <c:pt idx="652">
                  <c:v>43326</c:v>
                </c:pt>
                <c:pt idx="653">
                  <c:v>43327</c:v>
                </c:pt>
                <c:pt idx="654">
                  <c:v>43328</c:v>
                </c:pt>
                <c:pt idx="655">
                  <c:v>43329</c:v>
                </c:pt>
                <c:pt idx="656">
                  <c:v>43332</c:v>
                </c:pt>
                <c:pt idx="657">
                  <c:v>43333</c:v>
                </c:pt>
                <c:pt idx="658">
                  <c:v>43334</c:v>
                </c:pt>
                <c:pt idx="659">
                  <c:v>43335</c:v>
                </c:pt>
                <c:pt idx="660">
                  <c:v>43336</c:v>
                </c:pt>
                <c:pt idx="661">
                  <c:v>43339</c:v>
                </c:pt>
                <c:pt idx="662">
                  <c:v>43340</c:v>
                </c:pt>
                <c:pt idx="663">
                  <c:v>43341</c:v>
                </c:pt>
                <c:pt idx="664">
                  <c:v>43342</c:v>
                </c:pt>
                <c:pt idx="665">
                  <c:v>43343</c:v>
                </c:pt>
                <c:pt idx="666">
                  <c:v>43346</c:v>
                </c:pt>
                <c:pt idx="667">
                  <c:v>43347</c:v>
                </c:pt>
                <c:pt idx="668">
                  <c:v>43348</c:v>
                </c:pt>
                <c:pt idx="669">
                  <c:v>43349</c:v>
                </c:pt>
                <c:pt idx="670">
                  <c:v>43350</c:v>
                </c:pt>
                <c:pt idx="671">
                  <c:v>43353</c:v>
                </c:pt>
                <c:pt idx="672">
                  <c:v>43354</c:v>
                </c:pt>
                <c:pt idx="673">
                  <c:v>43355</c:v>
                </c:pt>
                <c:pt idx="674">
                  <c:v>43356</c:v>
                </c:pt>
                <c:pt idx="675">
                  <c:v>43357</c:v>
                </c:pt>
                <c:pt idx="676">
                  <c:v>43360</c:v>
                </c:pt>
                <c:pt idx="677">
                  <c:v>43361</c:v>
                </c:pt>
                <c:pt idx="678">
                  <c:v>43362</c:v>
                </c:pt>
                <c:pt idx="679">
                  <c:v>43363</c:v>
                </c:pt>
                <c:pt idx="680">
                  <c:v>43364</c:v>
                </c:pt>
                <c:pt idx="681">
                  <c:v>43368</c:v>
                </c:pt>
                <c:pt idx="682">
                  <c:v>43369</c:v>
                </c:pt>
                <c:pt idx="683">
                  <c:v>43370</c:v>
                </c:pt>
                <c:pt idx="684">
                  <c:v>43371</c:v>
                </c:pt>
                <c:pt idx="685">
                  <c:v>43374</c:v>
                </c:pt>
                <c:pt idx="686">
                  <c:v>43375</c:v>
                </c:pt>
                <c:pt idx="687">
                  <c:v>43376</c:v>
                </c:pt>
                <c:pt idx="688">
                  <c:v>43377</c:v>
                </c:pt>
                <c:pt idx="689">
                  <c:v>43378</c:v>
                </c:pt>
                <c:pt idx="690">
                  <c:v>43381</c:v>
                </c:pt>
                <c:pt idx="691">
                  <c:v>43382</c:v>
                </c:pt>
                <c:pt idx="692">
                  <c:v>43383</c:v>
                </c:pt>
                <c:pt idx="693">
                  <c:v>43384</c:v>
                </c:pt>
                <c:pt idx="694">
                  <c:v>43385</c:v>
                </c:pt>
                <c:pt idx="695">
                  <c:v>43388</c:v>
                </c:pt>
                <c:pt idx="696">
                  <c:v>43389</c:v>
                </c:pt>
                <c:pt idx="697">
                  <c:v>43390</c:v>
                </c:pt>
                <c:pt idx="698">
                  <c:v>43391</c:v>
                </c:pt>
                <c:pt idx="699">
                  <c:v>43392</c:v>
                </c:pt>
                <c:pt idx="700">
                  <c:v>43395</c:v>
                </c:pt>
                <c:pt idx="701">
                  <c:v>43396</c:v>
                </c:pt>
                <c:pt idx="702">
                  <c:v>43397</c:v>
                </c:pt>
                <c:pt idx="703">
                  <c:v>43398</c:v>
                </c:pt>
                <c:pt idx="704">
                  <c:v>43399</c:v>
                </c:pt>
                <c:pt idx="705">
                  <c:v>43402</c:v>
                </c:pt>
                <c:pt idx="706">
                  <c:v>43403</c:v>
                </c:pt>
                <c:pt idx="707">
                  <c:v>43404</c:v>
                </c:pt>
                <c:pt idx="708">
                  <c:v>43405</c:v>
                </c:pt>
                <c:pt idx="709">
                  <c:v>43406</c:v>
                </c:pt>
                <c:pt idx="710">
                  <c:v>43409</c:v>
                </c:pt>
                <c:pt idx="711">
                  <c:v>43410</c:v>
                </c:pt>
                <c:pt idx="712">
                  <c:v>43411</c:v>
                </c:pt>
                <c:pt idx="713">
                  <c:v>43412</c:v>
                </c:pt>
                <c:pt idx="714">
                  <c:v>43413</c:v>
                </c:pt>
                <c:pt idx="715">
                  <c:v>43416</c:v>
                </c:pt>
                <c:pt idx="716">
                  <c:v>43417</c:v>
                </c:pt>
                <c:pt idx="717">
                  <c:v>43418</c:v>
                </c:pt>
                <c:pt idx="718">
                  <c:v>43419</c:v>
                </c:pt>
                <c:pt idx="719">
                  <c:v>43420</c:v>
                </c:pt>
                <c:pt idx="720">
                  <c:v>43423</c:v>
                </c:pt>
                <c:pt idx="721">
                  <c:v>43424</c:v>
                </c:pt>
                <c:pt idx="722">
                  <c:v>43425</c:v>
                </c:pt>
                <c:pt idx="723">
                  <c:v>43426</c:v>
                </c:pt>
                <c:pt idx="724">
                  <c:v>43427</c:v>
                </c:pt>
                <c:pt idx="725">
                  <c:v>43430</c:v>
                </c:pt>
                <c:pt idx="726">
                  <c:v>43431</c:v>
                </c:pt>
                <c:pt idx="727">
                  <c:v>43432</c:v>
                </c:pt>
                <c:pt idx="728">
                  <c:v>43433</c:v>
                </c:pt>
                <c:pt idx="729">
                  <c:v>43434</c:v>
                </c:pt>
                <c:pt idx="730">
                  <c:v>43437</c:v>
                </c:pt>
                <c:pt idx="731">
                  <c:v>43438</c:v>
                </c:pt>
                <c:pt idx="732">
                  <c:v>43439</c:v>
                </c:pt>
                <c:pt idx="733">
                  <c:v>43440</c:v>
                </c:pt>
                <c:pt idx="734">
                  <c:v>43441</c:v>
                </c:pt>
                <c:pt idx="735">
                  <c:v>43444</c:v>
                </c:pt>
                <c:pt idx="736">
                  <c:v>43445</c:v>
                </c:pt>
                <c:pt idx="737">
                  <c:v>43446</c:v>
                </c:pt>
                <c:pt idx="738">
                  <c:v>43447</c:v>
                </c:pt>
                <c:pt idx="739">
                  <c:v>43448</c:v>
                </c:pt>
                <c:pt idx="740">
                  <c:v>43452</c:v>
                </c:pt>
                <c:pt idx="741">
                  <c:v>43453</c:v>
                </c:pt>
                <c:pt idx="742">
                  <c:v>43454</c:v>
                </c:pt>
                <c:pt idx="743">
                  <c:v>43455</c:v>
                </c:pt>
                <c:pt idx="744">
                  <c:v>43458</c:v>
                </c:pt>
                <c:pt idx="745">
                  <c:v>43461</c:v>
                </c:pt>
                <c:pt idx="746">
                  <c:v>43462</c:v>
                </c:pt>
                <c:pt idx="747">
                  <c:v>43465</c:v>
                </c:pt>
                <c:pt idx="748">
                  <c:v>43467</c:v>
                </c:pt>
                <c:pt idx="749">
                  <c:v>43468</c:v>
                </c:pt>
                <c:pt idx="750">
                  <c:v>43469</c:v>
                </c:pt>
                <c:pt idx="751">
                  <c:v>43472</c:v>
                </c:pt>
                <c:pt idx="752">
                  <c:v>43473</c:v>
                </c:pt>
                <c:pt idx="753">
                  <c:v>43474</c:v>
                </c:pt>
                <c:pt idx="754">
                  <c:v>43475</c:v>
                </c:pt>
                <c:pt idx="755">
                  <c:v>43476</c:v>
                </c:pt>
                <c:pt idx="756">
                  <c:v>43479</c:v>
                </c:pt>
                <c:pt idx="757">
                  <c:v>43480</c:v>
                </c:pt>
                <c:pt idx="758">
                  <c:v>43481</c:v>
                </c:pt>
                <c:pt idx="759">
                  <c:v>43482</c:v>
                </c:pt>
                <c:pt idx="760">
                  <c:v>43483</c:v>
                </c:pt>
                <c:pt idx="761">
                  <c:v>43486</c:v>
                </c:pt>
                <c:pt idx="762">
                  <c:v>43487</c:v>
                </c:pt>
                <c:pt idx="763">
                  <c:v>43488</c:v>
                </c:pt>
                <c:pt idx="764">
                  <c:v>43489</c:v>
                </c:pt>
                <c:pt idx="765">
                  <c:v>43490</c:v>
                </c:pt>
                <c:pt idx="766">
                  <c:v>43493</c:v>
                </c:pt>
                <c:pt idx="767">
                  <c:v>43494</c:v>
                </c:pt>
                <c:pt idx="768">
                  <c:v>43495</c:v>
                </c:pt>
                <c:pt idx="769">
                  <c:v>43496</c:v>
                </c:pt>
                <c:pt idx="770">
                  <c:v>43497</c:v>
                </c:pt>
                <c:pt idx="771">
                  <c:v>43500</c:v>
                </c:pt>
                <c:pt idx="772">
                  <c:v>43501</c:v>
                </c:pt>
                <c:pt idx="773">
                  <c:v>43502</c:v>
                </c:pt>
                <c:pt idx="774">
                  <c:v>43503</c:v>
                </c:pt>
                <c:pt idx="775">
                  <c:v>43504</c:v>
                </c:pt>
                <c:pt idx="776">
                  <c:v>43507</c:v>
                </c:pt>
                <c:pt idx="777">
                  <c:v>43508</c:v>
                </c:pt>
                <c:pt idx="778">
                  <c:v>43509</c:v>
                </c:pt>
                <c:pt idx="779">
                  <c:v>43510</c:v>
                </c:pt>
                <c:pt idx="780">
                  <c:v>43511</c:v>
                </c:pt>
                <c:pt idx="781">
                  <c:v>43514</c:v>
                </c:pt>
                <c:pt idx="782">
                  <c:v>43515</c:v>
                </c:pt>
                <c:pt idx="783">
                  <c:v>43516</c:v>
                </c:pt>
                <c:pt idx="784">
                  <c:v>43517</c:v>
                </c:pt>
                <c:pt idx="785">
                  <c:v>43518</c:v>
                </c:pt>
                <c:pt idx="786">
                  <c:v>43521</c:v>
                </c:pt>
                <c:pt idx="787">
                  <c:v>43522</c:v>
                </c:pt>
                <c:pt idx="788">
                  <c:v>43523</c:v>
                </c:pt>
                <c:pt idx="789">
                  <c:v>43524</c:v>
                </c:pt>
                <c:pt idx="790">
                  <c:v>43525</c:v>
                </c:pt>
                <c:pt idx="791">
                  <c:v>43528</c:v>
                </c:pt>
                <c:pt idx="792">
                  <c:v>43529</c:v>
                </c:pt>
                <c:pt idx="793">
                  <c:v>43530</c:v>
                </c:pt>
                <c:pt idx="794">
                  <c:v>43531</c:v>
                </c:pt>
                <c:pt idx="795">
                  <c:v>43532</c:v>
                </c:pt>
                <c:pt idx="796">
                  <c:v>43535</c:v>
                </c:pt>
                <c:pt idx="797">
                  <c:v>43536</c:v>
                </c:pt>
                <c:pt idx="798">
                  <c:v>43537</c:v>
                </c:pt>
                <c:pt idx="799">
                  <c:v>43538</c:v>
                </c:pt>
                <c:pt idx="800">
                  <c:v>43539</c:v>
                </c:pt>
                <c:pt idx="801">
                  <c:v>43542</c:v>
                </c:pt>
                <c:pt idx="802">
                  <c:v>43543</c:v>
                </c:pt>
                <c:pt idx="803">
                  <c:v>43544</c:v>
                </c:pt>
                <c:pt idx="804">
                  <c:v>43546</c:v>
                </c:pt>
                <c:pt idx="805">
                  <c:v>43549</c:v>
                </c:pt>
                <c:pt idx="806">
                  <c:v>43550</c:v>
                </c:pt>
                <c:pt idx="807">
                  <c:v>43551</c:v>
                </c:pt>
                <c:pt idx="808">
                  <c:v>43552</c:v>
                </c:pt>
                <c:pt idx="809">
                  <c:v>43553</c:v>
                </c:pt>
                <c:pt idx="810">
                  <c:v>43556</c:v>
                </c:pt>
                <c:pt idx="811">
                  <c:v>43557</c:v>
                </c:pt>
                <c:pt idx="812">
                  <c:v>43558</c:v>
                </c:pt>
                <c:pt idx="813">
                  <c:v>43559</c:v>
                </c:pt>
                <c:pt idx="814">
                  <c:v>43560</c:v>
                </c:pt>
                <c:pt idx="815">
                  <c:v>43563</c:v>
                </c:pt>
                <c:pt idx="816">
                  <c:v>43564</c:v>
                </c:pt>
                <c:pt idx="817">
                  <c:v>43565</c:v>
                </c:pt>
                <c:pt idx="818">
                  <c:v>43566</c:v>
                </c:pt>
                <c:pt idx="819">
                  <c:v>43567</c:v>
                </c:pt>
                <c:pt idx="820">
                  <c:v>43570</c:v>
                </c:pt>
                <c:pt idx="821">
                  <c:v>43571</c:v>
                </c:pt>
                <c:pt idx="822">
                  <c:v>43572</c:v>
                </c:pt>
                <c:pt idx="823">
                  <c:v>43573</c:v>
                </c:pt>
                <c:pt idx="824">
                  <c:v>43578</c:v>
                </c:pt>
                <c:pt idx="825">
                  <c:v>43579</c:v>
                </c:pt>
                <c:pt idx="826">
                  <c:v>43580</c:v>
                </c:pt>
                <c:pt idx="827">
                  <c:v>43581</c:v>
                </c:pt>
                <c:pt idx="828">
                  <c:v>43584</c:v>
                </c:pt>
                <c:pt idx="829">
                  <c:v>43585</c:v>
                </c:pt>
                <c:pt idx="830">
                  <c:v>43587</c:v>
                </c:pt>
                <c:pt idx="831">
                  <c:v>43588</c:v>
                </c:pt>
                <c:pt idx="832">
                  <c:v>43591</c:v>
                </c:pt>
                <c:pt idx="833">
                  <c:v>43592</c:v>
                </c:pt>
                <c:pt idx="834">
                  <c:v>43594</c:v>
                </c:pt>
                <c:pt idx="835">
                  <c:v>43595</c:v>
                </c:pt>
                <c:pt idx="836">
                  <c:v>43598</c:v>
                </c:pt>
                <c:pt idx="837">
                  <c:v>43599</c:v>
                </c:pt>
                <c:pt idx="838">
                  <c:v>43600</c:v>
                </c:pt>
                <c:pt idx="839">
                  <c:v>43601</c:v>
                </c:pt>
                <c:pt idx="840">
                  <c:v>43602</c:v>
                </c:pt>
                <c:pt idx="841">
                  <c:v>43605</c:v>
                </c:pt>
                <c:pt idx="842">
                  <c:v>43606</c:v>
                </c:pt>
                <c:pt idx="843">
                  <c:v>43607</c:v>
                </c:pt>
                <c:pt idx="844">
                  <c:v>43608</c:v>
                </c:pt>
                <c:pt idx="845">
                  <c:v>43609</c:v>
                </c:pt>
                <c:pt idx="846">
                  <c:v>43612</c:v>
                </c:pt>
                <c:pt idx="847">
                  <c:v>43613</c:v>
                </c:pt>
                <c:pt idx="848">
                  <c:v>43614</c:v>
                </c:pt>
                <c:pt idx="849">
                  <c:v>43615</c:v>
                </c:pt>
                <c:pt idx="850">
                  <c:v>43616</c:v>
                </c:pt>
                <c:pt idx="851">
                  <c:v>43619</c:v>
                </c:pt>
                <c:pt idx="852">
                  <c:v>43620</c:v>
                </c:pt>
                <c:pt idx="853">
                  <c:v>43621</c:v>
                </c:pt>
                <c:pt idx="854">
                  <c:v>43622</c:v>
                </c:pt>
                <c:pt idx="855">
                  <c:v>43623</c:v>
                </c:pt>
                <c:pt idx="856">
                  <c:v>43626</c:v>
                </c:pt>
                <c:pt idx="857">
                  <c:v>43627</c:v>
                </c:pt>
                <c:pt idx="858">
                  <c:v>43628</c:v>
                </c:pt>
                <c:pt idx="859">
                  <c:v>43629</c:v>
                </c:pt>
                <c:pt idx="860">
                  <c:v>43630</c:v>
                </c:pt>
                <c:pt idx="861">
                  <c:v>43634</c:v>
                </c:pt>
                <c:pt idx="862">
                  <c:v>43635</c:v>
                </c:pt>
                <c:pt idx="863">
                  <c:v>43636</c:v>
                </c:pt>
                <c:pt idx="864">
                  <c:v>43637</c:v>
                </c:pt>
                <c:pt idx="865">
                  <c:v>43640</c:v>
                </c:pt>
                <c:pt idx="866">
                  <c:v>43641</c:v>
                </c:pt>
                <c:pt idx="867">
                  <c:v>43642</c:v>
                </c:pt>
                <c:pt idx="868">
                  <c:v>43643</c:v>
                </c:pt>
                <c:pt idx="869">
                  <c:v>43644</c:v>
                </c:pt>
                <c:pt idx="870">
                  <c:v>43647</c:v>
                </c:pt>
                <c:pt idx="871">
                  <c:v>43648</c:v>
                </c:pt>
                <c:pt idx="872">
                  <c:v>43649</c:v>
                </c:pt>
                <c:pt idx="873">
                  <c:v>43650</c:v>
                </c:pt>
                <c:pt idx="874">
                  <c:v>43651</c:v>
                </c:pt>
                <c:pt idx="875">
                  <c:v>43654</c:v>
                </c:pt>
                <c:pt idx="876">
                  <c:v>43655</c:v>
                </c:pt>
                <c:pt idx="877">
                  <c:v>43656</c:v>
                </c:pt>
                <c:pt idx="878">
                  <c:v>43657</c:v>
                </c:pt>
                <c:pt idx="879">
                  <c:v>43658</c:v>
                </c:pt>
                <c:pt idx="880">
                  <c:v>43661</c:v>
                </c:pt>
                <c:pt idx="881">
                  <c:v>43662</c:v>
                </c:pt>
                <c:pt idx="882">
                  <c:v>43663</c:v>
                </c:pt>
                <c:pt idx="883">
                  <c:v>43664</c:v>
                </c:pt>
                <c:pt idx="884">
                  <c:v>43665</c:v>
                </c:pt>
                <c:pt idx="885">
                  <c:v>43668</c:v>
                </c:pt>
                <c:pt idx="886">
                  <c:v>43669</c:v>
                </c:pt>
                <c:pt idx="887">
                  <c:v>43670</c:v>
                </c:pt>
                <c:pt idx="888">
                  <c:v>43671</c:v>
                </c:pt>
                <c:pt idx="889">
                  <c:v>43672</c:v>
                </c:pt>
                <c:pt idx="890">
                  <c:v>43675</c:v>
                </c:pt>
                <c:pt idx="891">
                  <c:v>43676</c:v>
                </c:pt>
                <c:pt idx="892">
                  <c:v>43677</c:v>
                </c:pt>
                <c:pt idx="893">
                  <c:v>43678</c:v>
                </c:pt>
                <c:pt idx="894">
                  <c:v>43679</c:v>
                </c:pt>
                <c:pt idx="895">
                  <c:v>43682</c:v>
                </c:pt>
                <c:pt idx="896">
                  <c:v>43683</c:v>
                </c:pt>
                <c:pt idx="897">
                  <c:v>43684</c:v>
                </c:pt>
                <c:pt idx="898">
                  <c:v>43685</c:v>
                </c:pt>
                <c:pt idx="899">
                  <c:v>43689</c:v>
                </c:pt>
                <c:pt idx="900">
                  <c:v>43690</c:v>
                </c:pt>
                <c:pt idx="901">
                  <c:v>43691</c:v>
                </c:pt>
                <c:pt idx="902">
                  <c:v>43692</c:v>
                </c:pt>
                <c:pt idx="903">
                  <c:v>43693</c:v>
                </c:pt>
                <c:pt idx="904">
                  <c:v>43696</c:v>
                </c:pt>
                <c:pt idx="905">
                  <c:v>43697</c:v>
                </c:pt>
                <c:pt idx="906">
                  <c:v>43698</c:v>
                </c:pt>
                <c:pt idx="907">
                  <c:v>43699</c:v>
                </c:pt>
                <c:pt idx="908">
                  <c:v>43700</c:v>
                </c:pt>
                <c:pt idx="909">
                  <c:v>43703</c:v>
                </c:pt>
                <c:pt idx="910">
                  <c:v>43704</c:v>
                </c:pt>
                <c:pt idx="911">
                  <c:v>43705</c:v>
                </c:pt>
                <c:pt idx="912">
                  <c:v>43706</c:v>
                </c:pt>
                <c:pt idx="913">
                  <c:v>43707</c:v>
                </c:pt>
                <c:pt idx="914">
                  <c:v>43710</c:v>
                </c:pt>
                <c:pt idx="915">
                  <c:v>43711</c:v>
                </c:pt>
                <c:pt idx="916">
                  <c:v>43712</c:v>
                </c:pt>
                <c:pt idx="917">
                  <c:v>43713</c:v>
                </c:pt>
                <c:pt idx="918">
                  <c:v>43714</c:v>
                </c:pt>
                <c:pt idx="919">
                  <c:v>43717</c:v>
                </c:pt>
                <c:pt idx="920">
                  <c:v>43718</c:v>
                </c:pt>
                <c:pt idx="921">
                  <c:v>43719</c:v>
                </c:pt>
                <c:pt idx="922">
                  <c:v>43720</c:v>
                </c:pt>
                <c:pt idx="923">
                  <c:v>43721</c:v>
                </c:pt>
                <c:pt idx="924">
                  <c:v>43724</c:v>
                </c:pt>
                <c:pt idx="925">
                  <c:v>43725</c:v>
                </c:pt>
                <c:pt idx="926">
                  <c:v>43726</c:v>
                </c:pt>
                <c:pt idx="927">
                  <c:v>43727</c:v>
                </c:pt>
                <c:pt idx="928">
                  <c:v>43728</c:v>
                </c:pt>
                <c:pt idx="929">
                  <c:v>43731</c:v>
                </c:pt>
                <c:pt idx="930">
                  <c:v>43733</c:v>
                </c:pt>
                <c:pt idx="931">
                  <c:v>43734</c:v>
                </c:pt>
                <c:pt idx="932">
                  <c:v>43735</c:v>
                </c:pt>
                <c:pt idx="933">
                  <c:v>43738</c:v>
                </c:pt>
                <c:pt idx="934">
                  <c:v>43739</c:v>
                </c:pt>
                <c:pt idx="935">
                  <c:v>43740</c:v>
                </c:pt>
                <c:pt idx="936">
                  <c:v>43741</c:v>
                </c:pt>
                <c:pt idx="937">
                  <c:v>43742</c:v>
                </c:pt>
                <c:pt idx="938">
                  <c:v>43745</c:v>
                </c:pt>
                <c:pt idx="939">
                  <c:v>43746</c:v>
                </c:pt>
                <c:pt idx="940">
                  <c:v>43747</c:v>
                </c:pt>
                <c:pt idx="941">
                  <c:v>43748</c:v>
                </c:pt>
                <c:pt idx="942">
                  <c:v>43749</c:v>
                </c:pt>
                <c:pt idx="943">
                  <c:v>43752</c:v>
                </c:pt>
                <c:pt idx="944">
                  <c:v>43753</c:v>
                </c:pt>
                <c:pt idx="945">
                  <c:v>43754</c:v>
                </c:pt>
                <c:pt idx="946">
                  <c:v>43755</c:v>
                </c:pt>
                <c:pt idx="947">
                  <c:v>43756</c:v>
                </c:pt>
                <c:pt idx="948">
                  <c:v>43759</c:v>
                </c:pt>
                <c:pt idx="949">
                  <c:v>43760</c:v>
                </c:pt>
                <c:pt idx="950">
                  <c:v>43761</c:v>
                </c:pt>
                <c:pt idx="951">
                  <c:v>43762</c:v>
                </c:pt>
                <c:pt idx="952">
                  <c:v>43763</c:v>
                </c:pt>
                <c:pt idx="953">
                  <c:v>43766</c:v>
                </c:pt>
                <c:pt idx="954">
                  <c:v>43767</c:v>
                </c:pt>
                <c:pt idx="955">
                  <c:v>43768</c:v>
                </c:pt>
                <c:pt idx="956">
                  <c:v>43769</c:v>
                </c:pt>
                <c:pt idx="957">
                  <c:v>43770</c:v>
                </c:pt>
                <c:pt idx="958">
                  <c:v>43773</c:v>
                </c:pt>
                <c:pt idx="959">
                  <c:v>43774</c:v>
                </c:pt>
                <c:pt idx="960">
                  <c:v>43775</c:v>
                </c:pt>
                <c:pt idx="961">
                  <c:v>43776</c:v>
                </c:pt>
                <c:pt idx="962">
                  <c:v>43777</c:v>
                </c:pt>
                <c:pt idx="963">
                  <c:v>43780</c:v>
                </c:pt>
                <c:pt idx="964">
                  <c:v>43781</c:v>
                </c:pt>
                <c:pt idx="965">
                  <c:v>43782</c:v>
                </c:pt>
                <c:pt idx="966">
                  <c:v>43783</c:v>
                </c:pt>
                <c:pt idx="967">
                  <c:v>43784</c:v>
                </c:pt>
                <c:pt idx="968">
                  <c:v>43787</c:v>
                </c:pt>
                <c:pt idx="969">
                  <c:v>43788</c:v>
                </c:pt>
                <c:pt idx="970">
                  <c:v>43789</c:v>
                </c:pt>
                <c:pt idx="971">
                  <c:v>43790</c:v>
                </c:pt>
                <c:pt idx="972">
                  <c:v>43791</c:v>
                </c:pt>
                <c:pt idx="973">
                  <c:v>43794</c:v>
                </c:pt>
                <c:pt idx="974">
                  <c:v>43795</c:v>
                </c:pt>
                <c:pt idx="975">
                  <c:v>43796</c:v>
                </c:pt>
                <c:pt idx="976">
                  <c:v>43797</c:v>
                </c:pt>
                <c:pt idx="977">
                  <c:v>43798</c:v>
                </c:pt>
                <c:pt idx="978">
                  <c:v>43801</c:v>
                </c:pt>
                <c:pt idx="979">
                  <c:v>43802</c:v>
                </c:pt>
                <c:pt idx="980">
                  <c:v>43803</c:v>
                </c:pt>
                <c:pt idx="981">
                  <c:v>43804</c:v>
                </c:pt>
                <c:pt idx="982">
                  <c:v>43805</c:v>
                </c:pt>
                <c:pt idx="983">
                  <c:v>43808</c:v>
                </c:pt>
                <c:pt idx="984">
                  <c:v>43809</c:v>
                </c:pt>
                <c:pt idx="985">
                  <c:v>43810</c:v>
                </c:pt>
                <c:pt idx="986">
                  <c:v>43811</c:v>
                </c:pt>
                <c:pt idx="987">
                  <c:v>43812</c:v>
                </c:pt>
                <c:pt idx="988">
                  <c:v>43816</c:v>
                </c:pt>
                <c:pt idx="989">
                  <c:v>43817</c:v>
                </c:pt>
                <c:pt idx="990">
                  <c:v>43818</c:v>
                </c:pt>
                <c:pt idx="991">
                  <c:v>43819</c:v>
                </c:pt>
                <c:pt idx="992">
                  <c:v>43822</c:v>
                </c:pt>
                <c:pt idx="993">
                  <c:v>43823</c:v>
                </c:pt>
                <c:pt idx="994">
                  <c:v>43826</c:v>
                </c:pt>
                <c:pt idx="995">
                  <c:v>43829</c:v>
                </c:pt>
                <c:pt idx="996">
                  <c:v>43830</c:v>
                </c:pt>
                <c:pt idx="997">
                  <c:v>43832</c:v>
                </c:pt>
                <c:pt idx="998">
                  <c:v>43833</c:v>
                </c:pt>
                <c:pt idx="999">
                  <c:v>43836</c:v>
                </c:pt>
                <c:pt idx="1000">
                  <c:v>43837</c:v>
                </c:pt>
                <c:pt idx="1001">
                  <c:v>43838</c:v>
                </c:pt>
                <c:pt idx="1002">
                  <c:v>43839</c:v>
                </c:pt>
                <c:pt idx="1003">
                  <c:v>43840</c:v>
                </c:pt>
                <c:pt idx="1004">
                  <c:v>43843</c:v>
                </c:pt>
                <c:pt idx="1005">
                  <c:v>43844</c:v>
                </c:pt>
                <c:pt idx="1006">
                  <c:v>43845</c:v>
                </c:pt>
                <c:pt idx="1007">
                  <c:v>43846</c:v>
                </c:pt>
                <c:pt idx="1008">
                  <c:v>43847</c:v>
                </c:pt>
                <c:pt idx="1009">
                  <c:v>43850</c:v>
                </c:pt>
                <c:pt idx="1010">
                  <c:v>43851</c:v>
                </c:pt>
                <c:pt idx="1011">
                  <c:v>43852</c:v>
                </c:pt>
                <c:pt idx="1012">
                  <c:v>43853</c:v>
                </c:pt>
                <c:pt idx="1013">
                  <c:v>43854</c:v>
                </c:pt>
                <c:pt idx="1014">
                  <c:v>43857</c:v>
                </c:pt>
                <c:pt idx="1015">
                  <c:v>43858</c:v>
                </c:pt>
                <c:pt idx="1016">
                  <c:v>43859</c:v>
                </c:pt>
                <c:pt idx="1017">
                  <c:v>43860</c:v>
                </c:pt>
                <c:pt idx="1018">
                  <c:v>43861</c:v>
                </c:pt>
                <c:pt idx="1019">
                  <c:v>43864</c:v>
                </c:pt>
                <c:pt idx="1020">
                  <c:v>43865</c:v>
                </c:pt>
                <c:pt idx="1021">
                  <c:v>43866</c:v>
                </c:pt>
                <c:pt idx="1022">
                  <c:v>43867</c:v>
                </c:pt>
                <c:pt idx="1023">
                  <c:v>43868</c:v>
                </c:pt>
                <c:pt idx="1024">
                  <c:v>43871</c:v>
                </c:pt>
                <c:pt idx="1025">
                  <c:v>43872</c:v>
                </c:pt>
                <c:pt idx="1026">
                  <c:v>43873</c:v>
                </c:pt>
                <c:pt idx="1027">
                  <c:v>43874</c:v>
                </c:pt>
                <c:pt idx="1028">
                  <c:v>43875</c:v>
                </c:pt>
                <c:pt idx="1029">
                  <c:v>43878</c:v>
                </c:pt>
                <c:pt idx="1030">
                  <c:v>43879</c:v>
                </c:pt>
                <c:pt idx="1031">
                  <c:v>43880</c:v>
                </c:pt>
                <c:pt idx="1032">
                  <c:v>43881</c:v>
                </c:pt>
                <c:pt idx="1033">
                  <c:v>43882</c:v>
                </c:pt>
                <c:pt idx="1034">
                  <c:v>43885</c:v>
                </c:pt>
                <c:pt idx="1035">
                  <c:v>43886</c:v>
                </c:pt>
                <c:pt idx="1036">
                  <c:v>43887</c:v>
                </c:pt>
                <c:pt idx="1037">
                  <c:v>43888</c:v>
                </c:pt>
                <c:pt idx="1038">
                  <c:v>43889</c:v>
                </c:pt>
                <c:pt idx="1039">
                  <c:v>43892</c:v>
                </c:pt>
                <c:pt idx="1040">
                  <c:v>43893</c:v>
                </c:pt>
                <c:pt idx="1041">
                  <c:v>43894</c:v>
                </c:pt>
                <c:pt idx="1042">
                  <c:v>43895</c:v>
                </c:pt>
                <c:pt idx="1043">
                  <c:v>43896</c:v>
                </c:pt>
                <c:pt idx="1044">
                  <c:v>43899</c:v>
                </c:pt>
                <c:pt idx="1045">
                  <c:v>43900</c:v>
                </c:pt>
                <c:pt idx="1046">
                  <c:v>43901</c:v>
                </c:pt>
                <c:pt idx="1047">
                  <c:v>43902</c:v>
                </c:pt>
                <c:pt idx="1048">
                  <c:v>43903</c:v>
                </c:pt>
                <c:pt idx="1049">
                  <c:v>43906</c:v>
                </c:pt>
                <c:pt idx="1050">
                  <c:v>43907</c:v>
                </c:pt>
                <c:pt idx="1051">
                  <c:v>43908</c:v>
                </c:pt>
                <c:pt idx="1052">
                  <c:v>43909</c:v>
                </c:pt>
                <c:pt idx="1053">
                  <c:v>43910</c:v>
                </c:pt>
                <c:pt idx="1054">
                  <c:v>43913</c:v>
                </c:pt>
                <c:pt idx="1055">
                  <c:v>43914</c:v>
                </c:pt>
                <c:pt idx="1056">
                  <c:v>43915</c:v>
                </c:pt>
                <c:pt idx="1057">
                  <c:v>43916</c:v>
                </c:pt>
                <c:pt idx="1058">
                  <c:v>43917</c:v>
                </c:pt>
                <c:pt idx="1059">
                  <c:v>43920</c:v>
                </c:pt>
                <c:pt idx="1060">
                  <c:v>43921</c:v>
                </c:pt>
                <c:pt idx="1061">
                  <c:v>43922</c:v>
                </c:pt>
                <c:pt idx="1062">
                  <c:v>43923</c:v>
                </c:pt>
                <c:pt idx="1063">
                  <c:v>43924</c:v>
                </c:pt>
                <c:pt idx="1064">
                  <c:v>43927</c:v>
                </c:pt>
                <c:pt idx="1065">
                  <c:v>43928</c:v>
                </c:pt>
                <c:pt idx="1066">
                  <c:v>43929</c:v>
                </c:pt>
                <c:pt idx="1067">
                  <c:v>43930</c:v>
                </c:pt>
                <c:pt idx="1068">
                  <c:v>43935</c:v>
                </c:pt>
                <c:pt idx="1069">
                  <c:v>43936</c:v>
                </c:pt>
                <c:pt idx="1070">
                  <c:v>43937</c:v>
                </c:pt>
                <c:pt idx="1071">
                  <c:v>43938</c:v>
                </c:pt>
                <c:pt idx="1072">
                  <c:v>43941</c:v>
                </c:pt>
                <c:pt idx="1073">
                  <c:v>43942</c:v>
                </c:pt>
                <c:pt idx="1074">
                  <c:v>43943</c:v>
                </c:pt>
                <c:pt idx="1075">
                  <c:v>43944</c:v>
                </c:pt>
                <c:pt idx="1076">
                  <c:v>43945</c:v>
                </c:pt>
                <c:pt idx="1077">
                  <c:v>43949</c:v>
                </c:pt>
                <c:pt idx="1078">
                  <c:v>43950</c:v>
                </c:pt>
                <c:pt idx="1079">
                  <c:v>43951</c:v>
                </c:pt>
                <c:pt idx="1080">
                  <c:v>43955</c:v>
                </c:pt>
                <c:pt idx="1081">
                  <c:v>43956</c:v>
                </c:pt>
                <c:pt idx="1082">
                  <c:v>43957</c:v>
                </c:pt>
                <c:pt idx="1083">
                  <c:v>43958</c:v>
                </c:pt>
                <c:pt idx="1084">
                  <c:v>43959</c:v>
                </c:pt>
                <c:pt idx="1085">
                  <c:v>43962</c:v>
                </c:pt>
                <c:pt idx="1086">
                  <c:v>43963</c:v>
                </c:pt>
                <c:pt idx="1087">
                  <c:v>43964</c:v>
                </c:pt>
                <c:pt idx="1088">
                  <c:v>43965</c:v>
                </c:pt>
                <c:pt idx="1089">
                  <c:v>43966</c:v>
                </c:pt>
                <c:pt idx="1090">
                  <c:v>43969</c:v>
                </c:pt>
                <c:pt idx="1091">
                  <c:v>43970</c:v>
                </c:pt>
                <c:pt idx="1092">
                  <c:v>43971</c:v>
                </c:pt>
                <c:pt idx="1093">
                  <c:v>43972</c:v>
                </c:pt>
                <c:pt idx="1094">
                  <c:v>43973</c:v>
                </c:pt>
                <c:pt idx="1095">
                  <c:v>43976</c:v>
                </c:pt>
                <c:pt idx="1096">
                  <c:v>43977</c:v>
                </c:pt>
                <c:pt idx="1097">
                  <c:v>43978</c:v>
                </c:pt>
                <c:pt idx="1098">
                  <c:v>43979</c:v>
                </c:pt>
                <c:pt idx="1099">
                  <c:v>43980</c:v>
                </c:pt>
                <c:pt idx="1100">
                  <c:v>43983</c:v>
                </c:pt>
                <c:pt idx="1101">
                  <c:v>43984</c:v>
                </c:pt>
                <c:pt idx="1102">
                  <c:v>43985</c:v>
                </c:pt>
                <c:pt idx="1103">
                  <c:v>43986</c:v>
                </c:pt>
                <c:pt idx="1104">
                  <c:v>43987</c:v>
                </c:pt>
                <c:pt idx="1105">
                  <c:v>43990</c:v>
                </c:pt>
                <c:pt idx="1106">
                  <c:v>43991</c:v>
                </c:pt>
                <c:pt idx="1107">
                  <c:v>43992</c:v>
                </c:pt>
                <c:pt idx="1108">
                  <c:v>43993</c:v>
                </c:pt>
                <c:pt idx="1109">
                  <c:v>43994</c:v>
                </c:pt>
                <c:pt idx="1110">
                  <c:v>43997</c:v>
                </c:pt>
                <c:pt idx="1111">
                  <c:v>43999</c:v>
                </c:pt>
                <c:pt idx="1112">
                  <c:v>44000</c:v>
                </c:pt>
                <c:pt idx="1113">
                  <c:v>44001</c:v>
                </c:pt>
                <c:pt idx="1114">
                  <c:v>44004</c:v>
                </c:pt>
                <c:pt idx="1115">
                  <c:v>44005</c:v>
                </c:pt>
                <c:pt idx="1116">
                  <c:v>44006</c:v>
                </c:pt>
                <c:pt idx="1117">
                  <c:v>44007</c:v>
                </c:pt>
                <c:pt idx="1118">
                  <c:v>44008</c:v>
                </c:pt>
                <c:pt idx="1119">
                  <c:v>44011</c:v>
                </c:pt>
                <c:pt idx="1120">
                  <c:v>44012</c:v>
                </c:pt>
                <c:pt idx="1121">
                  <c:v>44013</c:v>
                </c:pt>
                <c:pt idx="1122">
                  <c:v>44014</c:v>
                </c:pt>
                <c:pt idx="1123">
                  <c:v>44015</c:v>
                </c:pt>
                <c:pt idx="1124">
                  <c:v>44018</c:v>
                </c:pt>
                <c:pt idx="1125">
                  <c:v>44019</c:v>
                </c:pt>
                <c:pt idx="1126">
                  <c:v>44020</c:v>
                </c:pt>
                <c:pt idx="1127">
                  <c:v>44021</c:v>
                </c:pt>
                <c:pt idx="1128">
                  <c:v>44022</c:v>
                </c:pt>
                <c:pt idx="1129">
                  <c:v>44025</c:v>
                </c:pt>
                <c:pt idx="1130">
                  <c:v>44026</c:v>
                </c:pt>
                <c:pt idx="1131">
                  <c:v>44027</c:v>
                </c:pt>
                <c:pt idx="1132">
                  <c:v>44028</c:v>
                </c:pt>
                <c:pt idx="1133">
                  <c:v>44029</c:v>
                </c:pt>
                <c:pt idx="1134">
                  <c:v>44032</c:v>
                </c:pt>
                <c:pt idx="1135">
                  <c:v>44033</c:v>
                </c:pt>
                <c:pt idx="1136">
                  <c:v>44034</c:v>
                </c:pt>
                <c:pt idx="1137">
                  <c:v>44035</c:v>
                </c:pt>
                <c:pt idx="1138">
                  <c:v>44036</c:v>
                </c:pt>
                <c:pt idx="1139">
                  <c:v>44039</c:v>
                </c:pt>
                <c:pt idx="1140">
                  <c:v>44040</c:v>
                </c:pt>
                <c:pt idx="1141">
                  <c:v>44041</c:v>
                </c:pt>
                <c:pt idx="1142">
                  <c:v>44042</c:v>
                </c:pt>
                <c:pt idx="1143">
                  <c:v>44043</c:v>
                </c:pt>
                <c:pt idx="1144">
                  <c:v>44046</c:v>
                </c:pt>
                <c:pt idx="1145">
                  <c:v>44047</c:v>
                </c:pt>
                <c:pt idx="1146">
                  <c:v>44048</c:v>
                </c:pt>
                <c:pt idx="1147">
                  <c:v>44049</c:v>
                </c:pt>
                <c:pt idx="1148">
                  <c:v>44050</c:v>
                </c:pt>
                <c:pt idx="1149">
                  <c:v>44054</c:v>
                </c:pt>
                <c:pt idx="1150">
                  <c:v>44055</c:v>
                </c:pt>
                <c:pt idx="1151">
                  <c:v>44056</c:v>
                </c:pt>
                <c:pt idx="1152">
                  <c:v>44057</c:v>
                </c:pt>
                <c:pt idx="1153">
                  <c:v>44060</c:v>
                </c:pt>
                <c:pt idx="1154">
                  <c:v>44061</c:v>
                </c:pt>
                <c:pt idx="1155">
                  <c:v>44062</c:v>
                </c:pt>
                <c:pt idx="1156">
                  <c:v>44063</c:v>
                </c:pt>
                <c:pt idx="1157">
                  <c:v>44064</c:v>
                </c:pt>
                <c:pt idx="1158">
                  <c:v>44067</c:v>
                </c:pt>
                <c:pt idx="1159">
                  <c:v>44068</c:v>
                </c:pt>
                <c:pt idx="1160">
                  <c:v>44069</c:v>
                </c:pt>
                <c:pt idx="1161">
                  <c:v>44070</c:v>
                </c:pt>
                <c:pt idx="1162">
                  <c:v>44071</c:v>
                </c:pt>
                <c:pt idx="1163">
                  <c:v>44074</c:v>
                </c:pt>
                <c:pt idx="1164">
                  <c:v>44075</c:v>
                </c:pt>
                <c:pt idx="1165">
                  <c:v>44076</c:v>
                </c:pt>
                <c:pt idx="1166">
                  <c:v>44077</c:v>
                </c:pt>
                <c:pt idx="1167">
                  <c:v>44078</c:v>
                </c:pt>
                <c:pt idx="1168">
                  <c:v>44081</c:v>
                </c:pt>
                <c:pt idx="1169">
                  <c:v>44082</c:v>
                </c:pt>
                <c:pt idx="1170">
                  <c:v>44083</c:v>
                </c:pt>
                <c:pt idx="1171">
                  <c:v>44084</c:v>
                </c:pt>
                <c:pt idx="1172">
                  <c:v>44085</c:v>
                </c:pt>
                <c:pt idx="1173">
                  <c:v>44088</c:v>
                </c:pt>
                <c:pt idx="1174">
                  <c:v>44089</c:v>
                </c:pt>
                <c:pt idx="1175">
                  <c:v>44090</c:v>
                </c:pt>
                <c:pt idx="1176">
                  <c:v>44091</c:v>
                </c:pt>
                <c:pt idx="1177">
                  <c:v>44092</c:v>
                </c:pt>
                <c:pt idx="1178">
                  <c:v>44095</c:v>
                </c:pt>
                <c:pt idx="1179">
                  <c:v>44096</c:v>
                </c:pt>
                <c:pt idx="1180">
                  <c:v>44097</c:v>
                </c:pt>
                <c:pt idx="1181">
                  <c:v>44099</c:v>
                </c:pt>
                <c:pt idx="1182">
                  <c:v>44102</c:v>
                </c:pt>
                <c:pt idx="1183">
                  <c:v>44103</c:v>
                </c:pt>
                <c:pt idx="1184">
                  <c:v>44104</c:v>
                </c:pt>
                <c:pt idx="1185">
                  <c:v>44105</c:v>
                </c:pt>
                <c:pt idx="1186">
                  <c:v>44106</c:v>
                </c:pt>
                <c:pt idx="1187">
                  <c:v>44109</c:v>
                </c:pt>
                <c:pt idx="1188">
                  <c:v>44110</c:v>
                </c:pt>
                <c:pt idx="1189">
                  <c:v>44111</c:v>
                </c:pt>
                <c:pt idx="1190">
                  <c:v>44112</c:v>
                </c:pt>
                <c:pt idx="1191">
                  <c:v>44113</c:v>
                </c:pt>
                <c:pt idx="1192">
                  <c:v>44116</c:v>
                </c:pt>
                <c:pt idx="1193">
                  <c:v>44117</c:v>
                </c:pt>
                <c:pt idx="1194">
                  <c:v>44118</c:v>
                </c:pt>
                <c:pt idx="1195">
                  <c:v>44119</c:v>
                </c:pt>
                <c:pt idx="1196">
                  <c:v>44120</c:v>
                </c:pt>
                <c:pt idx="1197">
                  <c:v>44123</c:v>
                </c:pt>
                <c:pt idx="1198">
                  <c:v>44124</c:v>
                </c:pt>
                <c:pt idx="1199">
                  <c:v>44125</c:v>
                </c:pt>
                <c:pt idx="1200">
                  <c:v>44126</c:v>
                </c:pt>
                <c:pt idx="1201">
                  <c:v>44127</c:v>
                </c:pt>
                <c:pt idx="1202">
                  <c:v>44130</c:v>
                </c:pt>
                <c:pt idx="1203">
                  <c:v>44131</c:v>
                </c:pt>
                <c:pt idx="1204">
                  <c:v>44132</c:v>
                </c:pt>
                <c:pt idx="1205">
                  <c:v>44133</c:v>
                </c:pt>
                <c:pt idx="1206">
                  <c:v>44134</c:v>
                </c:pt>
                <c:pt idx="1207">
                  <c:v>44137</c:v>
                </c:pt>
                <c:pt idx="1208">
                  <c:v>44138</c:v>
                </c:pt>
                <c:pt idx="1209">
                  <c:v>44139</c:v>
                </c:pt>
                <c:pt idx="1210">
                  <c:v>44140</c:v>
                </c:pt>
                <c:pt idx="1211">
                  <c:v>44141</c:v>
                </c:pt>
                <c:pt idx="1212">
                  <c:v>44144</c:v>
                </c:pt>
                <c:pt idx="1213">
                  <c:v>44145</c:v>
                </c:pt>
                <c:pt idx="1214">
                  <c:v>44146</c:v>
                </c:pt>
                <c:pt idx="1215">
                  <c:v>44147</c:v>
                </c:pt>
                <c:pt idx="1216">
                  <c:v>44148</c:v>
                </c:pt>
                <c:pt idx="1217">
                  <c:v>44151</c:v>
                </c:pt>
                <c:pt idx="1218">
                  <c:v>44152</c:v>
                </c:pt>
                <c:pt idx="1219">
                  <c:v>44153</c:v>
                </c:pt>
                <c:pt idx="1220">
                  <c:v>44154</c:v>
                </c:pt>
                <c:pt idx="1221">
                  <c:v>44155</c:v>
                </c:pt>
                <c:pt idx="1222">
                  <c:v>44158</c:v>
                </c:pt>
                <c:pt idx="1223">
                  <c:v>44159</c:v>
                </c:pt>
                <c:pt idx="1224">
                  <c:v>44160</c:v>
                </c:pt>
                <c:pt idx="1225">
                  <c:v>44161</c:v>
                </c:pt>
                <c:pt idx="1226">
                  <c:v>44162</c:v>
                </c:pt>
                <c:pt idx="1227">
                  <c:v>44165</c:v>
                </c:pt>
                <c:pt idx="1228">
                  <c:v>44166</c:v>
                </c:pt>
                <c:pt idx="1229">
                  <c:v>44167</c:v>
                </c:pt>
                <c:pt idx="1230">
                  <c:v>44168</c:v>
                </c:pt>
                <c:pt idx="1231">
                  <c:v>44169</c:v>
                </c:pt>
                <c:pt idx="1232">
                  <c:v>44172</c:v>
                </c:pt>
                <c:pt idx="1233">
                  <c:v>44173</c:v>
                </c:pt>
                <c:pt idx="1234">
                  <c:v>44174</c:v>
                </c:pt>
                <c:pt idx="1235">
                  <c:v>44175</c:v>
                </c:pt>
                <c:pt idx="1236">
                  <c:v>44176</c:v>
                </c:pt>
                <c:pt idx="1237">
                  <c:v>44179</c:v>
                </c:pt>
                <c:pt idx="1238">
                  <c:v>44180</c:v>
                </c:pt>
                <c:pt idx="1239">
                  <c:v>44182</c:v>
                </c:pt>
                <c:pt idx="1240">
                  <c:v>44183</c:v>
                </c:pt>
                <c:pt idx="1241">
                  <c:v>44186</c:v>
                </c:pt>
                <c:pt idx="1242">
                  <c:v>44187</c:v>
                </c:pt>
                <c:pt idx="1243">
                  <c:v>44188</c:v>
                </c:pt>
                <c:pt idx="1244">
                  <c:v>44189</c:v>
                </c:pt>
                <c:pt idx="1245">
                  <c:v>44193</c:v>
                </c:pt>
                <c:pt idx="1246">
                  <c:v>44194</c:v>
                </c:pt>
                <c:pt idx="1247">
                  <c:v>44195</c:v>
                </c:pt>
                <c:pt idx="1248">
                  <c:v>44196</c:v>
                </c:pt>
                <c:pt idx="1249">
                  <c:v>44200</c:v>
                </c:pt>
                <c:pt idx="1250">
                  <c:v>44201</c:v>
                </c:pt>
                <c:pt idx="1251">
                  <c:v>44202</c:v>
                </c:pt>
                <c:pt idx="1252">
                  <c:v>44203</c:v>
                </c:pt>
                <c:pt idx="1253">
                  <c:v>44204</c:v>
                </c:pt>
                <c:pt idx="1254">
                  <c:v>44207</c:v>
                </c:pt>
                <c:pt idx="1255">
                  <c:v>44208</c:v>
                </c:pt>
                <c:pt idx="1256">
                  <c:v>44209</c:v>
                </c:pt>
                <c:pt idx="1257">
                  <c:v>44210</c:v>
                </c:pt>
                <c:pt idx="1258">
                  <c:v>44211</c:v>
                </c:pt>
                <c:pt idx="1259">
                  <c:v>44214</c:v>
                </c:pt>
                <c:pt idx="1260">
                  <c:v>44215</c:v>
                </c:pt>
                <c:pt idx="1261">
                  <c:v>44216</c:v>
                </c:pt>
                <c:pt idx="1262">
                  <c:v>44217</c:v>
                </c:pt>
                <c:pt idx="1263">
                  <c:v>44218</c:v>
                </c:pt>
                <c:pt idx="1264">
                  <c:v>44221</c:v>
                </c:pt>
                <c:pt idx="1265">
                  <c:v>44222</c:v>
                </c:pt>
                <c:pt idx="1266">
                  <c:v>44223</c:v>
                </c:pt>
                <c:pt idx="1267">
                  <c:v>44224</c:v>
                </c:pt>
                <c:pt idx="1268">
                  <c:v>44225</c:v>
                </c:pt>
                <c:pt idx="1269">
                  <c:v>44228</c:v>
                </c:pt>
                <c:pt idx="1270">
                  <c:v>44229</c:v>
                </c:pt>
                <c:pt idx="1271">
                  <c:v>44230</c:v>
                </c:pt>
                <c:pt idx="1272">
                  <c:v>44231</c:v>
                </c:pt>
                <c:pt idx="1273">
                  <c:v>44232</c:v>
                </c:pt>
                <c:pt idx="1274">
                  <c:v>44235</c:v>
                </c:pt>
                <c:pt idx="1275">
                  <c:v>44236</c:v>
                </c:pt>
                <c:pt idx="1276">
                  <c:v>44237</c:v>
                </c:pt>
                <c:pt idx="1277">
                  <c:v>44238</c:v>
                </c:pt>
                <c:pt idx="1278">
                  <c:v>44239</c:v>
                </c:pt>
                <c:pt idx="1279">
                  <c:v>44242</c:v>
                </c:pt>
                <c:pt idx="1280">
                  <c:v>44243</c:v>
                </c:pt>
                <c:pt idx="1281">
                  <c:v>44244</c:v>
                </c:pt>
                <c:pt idx="1282">
                  <c:v>44245</c:v>
                </c:pt>
                <c:pt idx="1283">
                  <c:v>44246</c:v>
                </c:pt>
                <c:pt idx="1284">
                  <c:v>44249</c:v>
                </c:pt>
                <c:pt idx="1285">
                  <c:v>44250</c:v>
                </c:pt>
                <c:pt idx="1286">
                  <c:v>44251</c:v>
                </c:pt>
                <c:pt idx="1287">
                  <c:v>44252</c:v>
                </c:pt>
                <c:pt idx="1288">
                  <c:v>44253</c:v>
                </c:pt>
                <c:pt idx="1289">
                  <c:v>44256</c:v>
                </c:pt>
                <c:pt idx="1290">
                  <c:v>44257</c:v>
                </c:pt>
                <c:pt idx="1291">
                  <c:v>44258</c:v>
                </c:pt>
                <c:pt idx="1292">
                  <c:v>44259</c:v>
                </c:pt>
                <c:pt idx="1293">
                  <c:v>44260</c:v>
                </c:pt>
                <c:pt idx="1294">
                  <c:v>44263</c:v>
                </c:pt>
                <c:pt idx="1295">
                  <c:v>44264</c:v>
                </c:pt>
                <c:pt idx="1296">
                  <c:v>44265</c:v>
                </c:pt>
                <c:pt idx="1297">
                  <c:v>44266</c:v>
                </c:pt>
                <c:pt idx="1298">
                  <c:v>44267</c:v>
                </c:pt>
                <c:pt idx="1299">
                  <c:v>44270</c:v>
                </c:pt>
                <c:pt idx="1300">
                  <c:v>44271</c:v>
                </c:pt>
                <c:pt idx="1301">
                  <c:v>44272</c:v>
                </c:pt>
                <c:pt idx="1302">
                  <c:v>44273</c:v>
                </c:pt>
                <c:pt idx="1303">
                  <c:v>44274</c:v>
                </c:pt>
                <c:pt idx="1304">
                  <c:v>44278</c:v>
                </c:pt>
                <c:pt idx="1305">
                  <c:v>44279</c:v>
                </c:pt>
                <c:pt idx="1306">
                  <c:v>44280</c:v>
                </c:pt>
                <c:pt idx="1307">
                  <c:v>44281</c:v>
                </c:pt>
                <c:pt idx="1308">
                  <c:v>44284</c:v>
                </c:pt>
                <c:pt idx="1309">
                  <c:v>44285</c:v>
                </c:pt>
                <c:pt idx="1310">
                  <c:v>44286</c:v>
                </c:pt>
                <c:pt idx="1311">
                  <c:v>44287</c:v>
                </c:pt>
                <c:pt idx="1312">
                  <c:v>44292</c:v>
                </c:pt>
                <c:pt idx="1313">
                  <c:v>44293</c:v>
                </c:pt>
                <c:pt idx="1314">
                  <c:v>44294</c:v>
                </c:pt>
                <c:pt idx="1315">
                  <c:v>44295</c:v>
                </c:pt>
                <c:pt idx="1316">
                  <c:v>44298</c:v>
                </c:pt>
                <c:pt idx="1317">
                  <c:v>44299</c:v>
                </c:pt>
                <c:pt idx="1318">
                  <c:v>44300</c:v>
                </c:pt>
                <c:pt idx="1319">
                  <c:v>44301</c:v>
                </c:pt>
                <c:pt idx="1320">
                  <c:v>44302</c:v>
                </c:pt>
                <c:pt idx="1321">
                  <c:v>44305</c:v>
                </c:pt>
                <c:pt idx="1322">
                  <c:v>44306</c:v>
                </c:pt>
                <c:pt idx="1323">
                  <c:v>44307</c:v>
                </c:pt>
                <c:pt idx="1324">
                  <c:v>44308</c:v>
                </c:pt>
                <c:pt idx="1325">
                  <c:v>44309</c:v>
                </c:pt>
                <c:pt idx="1326">
                  <c:v>44312</c:v>
                </c:pt>
                <c:pt idx="1327">
                  <c:v>44314</c:v>
                </c:pt>
                <c:pt idx="1328">
                  <c:v>44315</c:v>
                </c:pt>
                <c:pt idx="1329">
                  <c:v>44316</c:v>
                </c:pt>
                <c:pt idx="1330">
                  <c:v>44319</c:v>
                </c:pt>
                <c:pt idx="1331">
                  <c:v>44320</c:v>
                </c:pt>
                <c:pt idx="1332">
                  <c:v>44321</c:v>
                </c:pt>
                <c:pt idx="1333">
                  <c:v>44322</c:v>
                </c:pt>
                <c:pt idx="1334">
                  <c:v>44323</c:v>
                </c:pt>
                <c:pt idx="1335">
                  <c:v>44326</c:v>
                </c:pt>
                <c:pt idx="1336">
                  <c:v>44327</c:v>
                </c:pt>
                <c:pt idx="1337">
                  <c:v>44328</c:v>
                </c:pt>
                <c:pt idx="1338">
                  <c:v>44329</c:v>
                </c:pt>
                <c:pt idx="1339">
                  <c:v>44330</c:v>
                </c:pt>
                <c:pt idx="1340">
                  <c:v>44333</c:v>
                </c:pt>
                <c:pt idx="1341">
                  <c:v>44334</c:v>
                </c:pt>
                <c:pt idx="1342">
                  <c:v>44335</c:v>
                </c:pt>
                <c:pt idx="1343">
                  <c:v>44336</c:v>
                </c:pt>
                <c:pt idx="1344">
                  <c:v>44337</c:v>
                </c:pt>
                <c:pt idx="1345">
                  <c:v>44340</c:v>
                </c:pt>
                <c:pt idx="1346">
                  <c:v>44341</c:v>
                </c:pt>
                <c:pt idx="1347">
                  <c:v>44342</c:v>
                </c:pt>
                <c:pt idx="1348">
                  <c:v>44343</c:v>
                </c:pt>
                <c:pt idx="1349">
                  <c:v>44344</c:v>
                </c:pt>
                <c:pt idx="1350">
                  <c:v>44347</c:v>
                </c:pt>
                <c:pt idx="1351">
                  <c:v>44348</c:v>
                </c:pt>
                <c:pt idx="1352">
                  <c:v>44349</c:v>
                </c:pt>
                <c:pt idx="1353">
                  <c:v>44350</c:v>
                </c:pt>
                <c:pt idx="1354">
                  <c:v>44351</c:v>
                </c:pt>
                <c:pt idx="1355">
                  <c:v>44354</c:v>
                </c:pt>
                <c:pt idx="1356">
                  <c:v>44355</c:v>
                </c:pt>
                <c:pt idx="1357">
                  <c:v>44356</c:v>
                </c:pt>
                <c:pt idx="1358">
                  <c:v>44357</c:v>
                </c:pt>
                <c:pt idx="1359">
                  <c:v>44358</c:v>
                </c:pt>
                <c:pt idx="1360">
                  <c:v>44361</c:v>
                </c:pt>
                <c:pt idx="1361">
                  <c:v>44362</c:v>
                </c:pt>
                <c:pt idx="1362">
                  <c:v>44364</c:v>
                </c:pt>
                <c:pt idx="1363">
                  <c:v>44365</c:v>
                </c:pt>
                <c:pt idx="1364">
                  <c:v>44368</c:v>
                </c:pt>
                <c:pt idx="1365">
                  <c:v>44369</c:v>
                </c:pt>
                <c:pt idx="1366">
                  <c:v>44370</c:v>
                </c:pt>
                <c:pt idx="1367">
                  <c:v>44371</c:v>
                </c:pt>
                <c:pt idx="1368">
                  <c:v>44372</c:v>
                </c:pt>
                <c:pt idx="1369">
                  <c:v>44375</c:v>
                </c:pt>
                <c:pt idx="1370">
                  <c:v>44376</c:v>
                </c:pt>
                <c:pt idx="1371">
                  <c:v>44377</c:v>
                </c:pt>
                <c:pt idx="1372">
                  <c:v>44378</c:v>
                </c:pt>
                <c:pt idx="1373">
                  <c:v>44379</c:v>
                </c:pt>
                <c:pt idx="1374">
                  <c:v>44382</c:v>
                </c:pt>
                <c:pt idx="1375">
                  <c:v>44383</c:v>
                </c:pt>
                <c:pt idx="1376">
                  <c:v>44384</c:v>
                </c:pt>
                <c:pt idx="1377">
                  <c:v>44385</c:v>
                </c:pt>
                <c:pt idx="1378">
                  <c:v>44386</c:v>
                </c:pt>
                <c:pt idx="1379">
                  <c:v>44389</c:v>
                </c:pt>
                <c:pt idx="1380">
                  <c:v>44390</c:v>
                </c:pt>
                <c:pt idx="1381">
                  <c:v>44391</c:v>
                </c:pt>
                <c:pt idx="1382">
                  <c:v>44392</c:v>
                </c:pt>
                <c:pt idx="1383">
                  <c:v>44393</c:v>
                </c:pt>
                <c:pt idx="1384">
                  <c:v>44396</c:v>
                </c:pt>
                <c:pt idx="1385">
                  <c:v>44397</c:v>
                </c:pt>
                <c:pt idx="1386">
                  <c:v>44398</c:v>
                </c:pt>
                <c:pt idx="1387">
                  <c:v>44399</c:v>
                </c:pt>
                <c:pt idx="1388">
                  <c:v>44400</c:v>
                </c:pt>
                <c:pt idx="1389">
                  <c:v>44403</c:v>
                </c:pt>
                <c:pt idx="1390">
                  <c:v>44404</c:v>
                </c:pt>
                <c:pt idx="1391">
                  <c:v>44405</c:v>
                </c:pt>
                <c:pt idx="1392">
                  <c:v>44406</c:v>
                </c:pt>
                <c:pt idx="1393">
                  <c:v>44407</c:v>
                </c:pt>
                <c:pt idx="1394">
                  <c:v>44410</c:v>
                </c:pt>
                <c:pt idx="1395">
                  <c:v>44411</c:v>
                </c:pt>
                <c:pt idx="1396">
                  <c:v>44412</c:v>
                </c:pt>
                <c:pt idx="1397">
                  <c:v>44413</c:v>
                </c:pt>
                <c:pt idx="1398">
                  <c:v>44414</c:v>
                </c:pt>
                <c:pt idx="1399">
                  <c:v>44418</c:v>
                </c:pt>
                <c:pt idx="1400">
                  <c:v>44419</c:v>
                </c:pt>
                <c:pt idx="1401">
                  <c:v>44420</c:v>
                </c:pt>
                <c:pt idx="1402">
                  <c:v>44421</c:v>
                </c:pt>
                <c:pt idx="1403">
                  <c:v>44424</c:v>
                </c:pt>
                <c:pt idx="1404">
                  <c:v>44425</c:v>
                </c:pt>
                <c:pt idx="1405">
                  <c:v>44426</c:v>
                </c:pt>
                <c:pt idx="1406">
                  <c:v>44427</c:v>
                </c:pt>
                <c:pt idx="1407">
                  <c:v>44428</c:v>
                </c:pt>
                <c:pt idx="1408">
                  <c:v>44431</c:v>
                </c:pt>
                <c:pt idx="1409">
                  <c:v>44432</c:v>
                </c:pt>
                <c:pt idx="1410">
                  <c:v>44433</c:v>
                </c:pt>
                <c:pt idx="1411">
                  <c:v>44434</c:v>
                </c:pt>
                <c:pt idx="1412">
                  <c:v>44435</c:v>
                </c:pt>
                <c:pt idx="1413">
                  <c:v>44438</c:v>
                </c:pt>
                <c:pt idx="1414">
                  <c:v>44439</c:v>
                </c:pt>
                <c:pt idx="1415">
                  <c:v>44440</c:v>
                </c:pt>
                <c:pt idx="1416">
                  <c:v>44441</c:v>
                </c:pt>
                <c:pt idx="1417">
                  <c:v>44442</c:v>
                </c:pt>
                <c:pt idx="1418">
                  <c:v>44445</c:v>
                </c:pt>
                <c:pt idx="1419">
                  <c:v>44446</c:v>
                </c:pt>
                <c:pt idx="1420">
                  <c:v>44447</c:v>
                </c:pt>
                <c:pt idx="1421">
                  <c:v>44448</c:v>
                </c:pt>
                <c:pt idx="1422">
                  <c:v>44449</c:v>
                </c:pt>
                <c:pt idx="1423">
                  <c:v>44452</c:v>
                </c:pt>
                <c:pt idx="1424">
                  <c:v>44453</c:v>
                </c:pt>
                <c:pt idx="1425">
                  <c:v>44454</c:v>
                </c:pt>
                <c:pt idx="1426">
                  <c:v>44455</c:v>
                </c:pt>
                <c:pt idx="1427">
                  <c:v>44456</c:v>
                </c:pt>
                <c:pt idx="1428">
                  <c:v>44459</c:v>
                </c:pt>
                <c:pt idx="1429">
                  <c:v>44460</c:v>
                </c:pt>
                <c:pt idx="1430">
                  <c:v>44461</c:v>
                </c:pt>
                <c:pt idx="1431">
                  <c:v>44462</c:v>
                </c:pt>
                <c:pt idx="1432">
                  <c:v>44466</c:v>
                </c:pt>
                <c:pt idx="1433">
                  <c:v>44467</c:v>
                </c:pt>
                <c:pt idx="1434">
                  <c:v>44468</c:v>
                </c:pt>
                <c:pt idx="1435">
                  <c:v>44469</c:v>
                </c:pt>
                <c:pt idx="1436">
                  <c:v>44470</c:v>
                </c:pt>
                <c:pt idx="1437">
                  <c:v>44473</c:v>
                </c:pt>
                <c:pt idx="1438">
                  <c:v>44474</c:v>
                </c:pt>
                <c:pt idx="1439">
                  <c:v>44475</c:v>
                </c:pt>
                <c:pt idx="1440">
                  <c:v>44476</c:v>
                </c:pt>
                <c:pt idx="1441">
                  <c:v>44477</c:v>
                </c:pt>
                <c:pt idx="1442">
                  <c:v>44480</c:v>
                </c:pt>
                <c:pt idx="1443">
                  <c:v>44481</c:v>
                </c:pt>
                <c:pt idx="1444">
                  <c:v>44482</c:v>
                </c:pt>
                <c:pt idx="1445">
                  <c:v>44483</c:v>
                </c:pt>
                <c:pt idx="1446">
                  <c:v>44484</c:v>
                </c:pt>
                <c:pt idx="1447">
                  <c:v>44487</c:v>
                </c:pt>
                <c:pt idx="1448">
                  <c:v>44488</c:v>
                </c:pt>
                <c:pt idx="1449">
                  <c:v>44489</c:v>
                </c:pt>
                <c:pt idx="1450">
                  <c:v>44490</c:v>
                </c:pt>
                <c:pt idx="1451">
                  <c:v>44491</c:v>
                </c:pt>
                <c:pt idx="1452">
                  <c:v>44494</c:v>
                </c:pt>
                <c:pt idx="1453">
                  <c:v>44495</c:v>
                </c:pt>
                <c:pt idx="1454">
                  <c:v>44496</c:v>
                </c:pt>
                <c:pt idx="1455">
                  <c:v>44497</c:v>
                </c:pt>
                <c:pt idx="1456">
                  <c:v>44498</c:v>
                </c:pt>
                <c:pt idx="1457">
                  <c:v>44502</c:v>
                </c:pt>
                <c:pt idx="1458">
                  <c:v>44503</c:v>
                </c:pt>
                <c:pt idx="1459">
                  <c:v>44504</c:v>
                </c:pt>
                <c:pt idx="1460">
                  <c:v>44505</c:v>
                </c:pt>
                <c:pt idx="1461">
                  <c:v>44508</c:v>
                </c:pt>
                <c:pt idx="1462">
                  <c:v>44509</c:v>
                </c:pt>
                <c:pt idx="1463">
                  <c:v>44510</c:v>
                </c:pt>
                <c:pt idx="1464">
                  <c:v>44511</c:v>
                </c:pt>
                <c:pt idx="1465">
                  <c:v>44512</c:v>
                </c:pt>
                <c:pt idx="1466">
                  <c:v>44515</c:v>
                </c:pt>
                <c:pt idx="1467">
                  <c:v>44516</c:v>
                </c:pt>
                <c:pt idx="1468">
                  <c:v>44517</c:v>
                </c:pt>
                <c:pt idx="1469">
                  <c:v>44518</c:v>
                </c:pt>
                <c:pt idx="1470">
                  <c:v>44519</c:v>
                </c:pt>
                <c:pt idx="1471">
                  <c:v>44522</c:v>
                </c:pt>
                <c:pt idx="1472">
                  <c:v>44523</c:v>
                </c:pt>
                <c:pt idx="1473">
                  <c:v>44524</c:v>
                </c:pt>
                <c:pt idx="1474">
                  <c:v>44525</c:v>
                </c:pt>
                <c:pt idx="1475">
                  <c:v>44526</c:v>
                </c:pt>
                <c:pt idx="1476">
                  <c:v>44529</c:v>
                </c:pt>
                <c:pt idx="1477">
                  <c:v>44530</c:v>
                </c:pt>
                <c:pt idx="1478">
                  <c:v>44531</c:v>
                </c:pt>
                <c:pt idx="1479">
                  <c:v>44532</c:v>
                </c:pt>
                <c:pt idx="1480">
                  <c:v>44533</c:v>
                </c:pt>
                <c:pt idx="1481">
                  <c:v>44536</c:v>
                </c:pt>
                <c:pt idx="1482">
                  <c:v>44537</c:v>
                </c:pt>
                <c:pt idx="1483">
                  <c:v>44538</c:v>
                </c:pt>
                <c:pt idx="1484">
                  <c:v>44539</c:v>
                </c:pt>
                <c:pt idx="1485">
                  <c:v>44540</c:v>
                </c:pt>
                <c:pt idx="1486">
                  <c:v>44543</c:v>
                </c:pt>
                <c:pt idx="1487">
                  <c:v>44544</c:v>
                </c:pt>
                <c:pt idx="1488">
                  <c:v>44545</c:v>
                </c:pt>
                <c:pt idx="1489">
                  <c:v>44547</c:v>
                </c:pt>
                <c:pt idx="1490">
                  <c:v>44550</c:v>
                </c:pt>
                <c:pt idx="1491">
                  <c:v>44551</c:v>
                </c:pt>
                <c:pt idx="1492">
                  <c:v>44552</c:v>
                </c:pt>
                <c:pt idx="1493">
                  <c:v>44553</c:v>
                </c:pt>
                <c:pt idx="1494">
                  <c:v>44554</c:v>
                </c:pt>
                <c:pt idx="1495">
                  <c:v>44558</c:v>
                </c:pt>
                <c:pt idx="1496">
                  <c:v>44559</c:v>
                </c:pt>
                <c:pt idx="1497">
                  <c:v>44560</c:v>
                </c:pt>
                <c:pt idx="1498">
                  <c:v>44561</c:v>
                </c:pt>
                <c:pt idx="1499">
                  <c:v>44564</c:v>
                </c:pt>
                <c:pt idx="1500">
                  <c:v>44565</c:v>
                </c:pt>
                <c:pt idx="1501">
                  <c:v>44566</c:v>
                </c:pt>
                <c:pt idx="1502">
                  <c:v>44567</c:v>
                </c:pt>
                <c:pt idx="1503">
                  <c:v>44568</c:v>
                </c:pt>
                <c:pt idx="1504">
                  <c:v>44571</c:v>
                </c:pt>
                <c:pt idx="1505">
                  <c:v>44572</c:v>
                </c:pt>
                <c:pt idx="1506">
                  <c:v>44573</c:v>
                </c:pt>
                <c:pt idx="1507">
                  <c:v>44574</c:v>
                </c:pt>
                <c:pt idx="1508">
                  <c:v>44575</c:v>
                </c:pt>
                <c:pt idx="1509">
                  <c:v>44578</c:v>
                </c:pt>
                <c:pt idx="1510">
                  <c:v>44579</c:v>
                </c:pt>
                <c:pt idx="1511">
                  <c:v>44580</c:v>
                </c:pt>
                <c:pt idx="1512">
                  <c:v>44581</c:v>
                </c:pt>
                <c:pt idx="1513">
                  <c:v>44582</c:v>
                </c:pt>
                <c:pt idx="1514">
                  <c:v>44585</c:v>
                </c:pt>
                <c:pt idx="1515">
                  <c:v>44586</c:v>
                </c:pt>
                <c:pt idx="1516">
                  <c:v>44587</c:v>
                </c:pt>
                <c:pt idx="1517">
                  <c:v>44588</c:v>
                </c:pt>
                <c:pt idx="1518">
                  <c:v>44589</c:v>
                </c:pt>
                <c:pt idx="1519">
                  <c:v>44592</c:v>
                </c:pt>
                <c:pt idx="1520">
                  <c:v>44593</c:v>
                </c:pt>
                <c:pt idx="1521">
                  <c:v>44594</c:v>
                </c:pt>
                <c:pt idx="1522">
                  <c:v>44595</c:v>
                </c:pt>
                <c:pt idx="1523">
                  <c:v>44596</c:v>
                </c:pt>
                <c:pt idx="1524">
                  <c:v>44599</c:v>
                </c:pt>
                <c:pt idx="1525">
                  <c:v>44600</c:v>
                </c:pt>
                <c:pt idx="1526">
                  <c:v>44601</c:v>
                </c:pt>
                <c:pt idx="1527">
                  <c:v>44602</c:v>
                </c:pt>
                <c:pt idx="1528">
                  <c:v>44603</c:v>
                </c:pt>
                <c:pt idx="1529">
                  <c:v>44606</c:v>
                </c:pt>
                <c:pt idx="1530">
                  <c:v>44607</c:v>
                </c:pt>
                <c:pt idx="1531">
                  <c:v>44608</c:v>
                </c:pt>
                <c:pt idx="1532">
                  <c:v>44609</c:v>
                </c:pt>
                <c:pt idx="1533">
                  <c:v>44610</c:v>
                </c:pt>
                <c:pt idx="1534">
                  <c:v>44613</c:v>
                </c:pt>
                <c:pt idx="1535">
                  <c:v>44614</c:v>
                </c:pt>
                <c:pt idx="1536">
                  <c:v>44615</c:v>
                </c:pt>
                <c:pt idx="1537">
                  <c:v>44616</c:v>
                </c:pt>
                <c:pt idx="1538">
                  <c:v>44617</c:v>
                </c:pt>
                <c:pt idx="1539">
                  <c:v>44620</c:v>
                </c:pt>
                <c:pt idx="1540">
                  <c:v>44621</c:v>
                </c:pt>
                <c:pt idx="1541">
                  <c:v>44622</c:v>
                </c:pt>
                <c:pt idx="1542">
                  <c:v>44623</c:v>
                </c:pt>
                <c:pt idx="1543">
                  <c:v>44624</c:v>
                </c:pt>
                <c:pt idx="1544">
                  <c:v>44627</c:v>
                </c:pt>
                <c:pt idx="1545">
                  <c:v>44628</c:v>
                </c:pt>
                <c:pt idx="1546">
                  <c:v>44629</c:v>
                </c:pt>
                <c:pt idx="1547">
                  <c:v>44630</c:v>
                </c:pt>
                <c:pt idx="1548">
                  <c:v>44631</c:v>
                </c:pt>
                <c:pt idx="1549">
                  <c:v>44634</c:v>
                </c:pt>
                <c:pt idx="1550">
                  <c:v>44635</c:v>
                </c:pt>
                <c:pt idx="1551">
                  <c:v>44636</c:v>
                </c:pt>
                <c:pt idx="1552">
                  <c:v>44637</c:v>
                </c:pt>
                <c:pt idx="1553">
                  <c:v>44638</c:v>
                </c:pt>
                <c:pt idx="1554">
                  <c:v>44642</c:v>
                </c:pt>
                <c:pt idx="1555">
                  <c:v>44643</c:v>
                </c:pt>
                <c:pt idx="1556">
                  <c:v>44644</c:v>
                </c:pt>
                <c:pt idx="1557">
                  <c:v>44645</c:v>
                </c:pt>
                <c:pt idx="1558">
                  <c:v>44648</c:v>
                </c:pt>
                <c:pt idx="1559">
                  <c:v>44649</c:v>
                </c:pt>
                <c:pt idx="1560">
                  <c:v>44650</c:v>
                </c:pt>
                <c:pt idx="1561">
                  <c:v>44651</c:v>
                </c:pt>
                <c:pt idx="1562">
                  <c:v>44652</c:v>
                </c:pt>
                <c:pt idx="1563">
                  <c:v>44655</c:v>
                </c:pt>
                <c:pt idx="1564">
                  <c:v>44656</c:v>
                </c:pt>
                <c:pt idx="1565">
                  <c:v>44657</c:v>
                </c:pt>
                <c:pt idx="1566">
                  <c:v>44658</c:v>
                </c:pt>
                <c:pt idx="1567">
                  <c:v>44659</c:v>
                </c:pt>
                <c:pt idx="1568">
                  <c:v>44662</c:v>
                </c:pt>
                <c:pt idx="1569">
                  <c:v>44663</c:v>
                </c:pt>
                <c:pt idx="1570">
                  <c:v>44664</c:v>
                </c:pt>
                <c:pt idx="1571">
                  <c:v>44665</c:v>
                </c:pt>
                <c:pt idx="1572">
                  <c:v>44670</c:v>
                </c:pt>
                <c:pt idx="1573">
                  <c:v>44671</c:v>
                </c:pt>
                <c:pt idx="1574">
                  <c:v>44672</c:v>
                </c:pt>
                <c:pt idx="1575">
                  <c:v>44673</c:v>
                </c:pt>
                <c:pt idx="1576">
                  <c:v>44676</c:v>
                </c:pt>
                <c:pt idx="1577">
                  <c:v>44677</c:v>
                </c:pt>
                <c:pt idx="1578">
                  <c:v>44679</c:v>
                </c:pt>
                <c:pt idx="1579">
                  <c:v>44680</c:v>
                </c:pt>
                <c:pt idx="1580">
                  <c:v>44684</c:v>
                </c:pt>
                <c:pt idx="1581">
                  <c:v>44685</c:v>
                </c:pt>
                <c:pt idx="1582">
                  <c:v>44686</c:v>
                </c:pt>
                <c:pt idx="1583">
                  <c:v>44687</c:v>
                </c:pt>
                <c:pt idx="1584">
                  <c:v>44690</c:v>
                </c:pt>
                <c:pt idx="1585">
                  <c:v>44691</c:v>
                </c:pt>
                <c:pt idx="1586">
                  <c:v>44692</c:v>
                </c:pt>
                <c:pt idx="1587">
                  <c:v>44693</c:v>
                </c:pt>
                <c:pt idx="1588">
                  <c:v>44694</c:v>
                </c:pt>
                <c:pt idx="1589">
                  <c:v>44697</c:v>
                </c:pt>
                <c:pt idx="1590">
                  <c:v>44698</c:v>
                </c:pt>
                <c:pt idx="1591">
                  <c:v>44699</c:v>
                </c:pt>
                <c:pt idx="1592">
                  <c:v>44700</c:v>
                </c:pt>
                <c:pt idx="1593">
                  <c:v>44701</c:v>
                </c:pt>
                <c:pt idx="1594">
                  <c:v>44704</c:v>
                </c:pt>
                <c:pt idx="1595">
                  <c:v>44705</c:v>
                </c:pt>
                <c:pt idx="1596">
                  <c:v>44706</c:v>
                </c:pt>
                <c:pt idx="1597">
                  <c:v>44707</c:v>
                </c:pt>
                <c:pt idx="1598">
                  <c:v>44708</c:v>
                </c:pt>
                <c:pt idx="1599">
                  <c:v>44711</c:v>
                </c:pt>
                <c:pt idx="1600">
                  <c:v>44712</c:v>
                </c:pt>
                <c:pt idx="1601">
                  <c:v>44713</c:v>
                </c:pt>
                <c:pt idx="1602">
                  <c:v>44714</c:v>
                </c:pt>
                <c:pt idx="1603">
                  <c:v>44715</c:v>
                </c:pt>
                <c:pt idx="1604">
                  <c:v>44718</c:v>
                </c:pt>
                <c:pt idx="1605">
                  <c:v>44719</c:v>
                </c:pt>
                <c:pt idx="1606">
                  <c:v>44720</c:v>
                </c:pt>
                <c:pt idx="1607">
                  <c:v>44721</c:v>
                </c:pt>
                <c:pt idx="1608">
                  <c:v>44722</c:v>
                </c:pt>
                <c:pt idx="1609">
                  <c:v>44725</c:v>
                </c:pt>
                <c:pt idx="1610">
                  <c:v>44726</c:v>
                </c:pt>
                <c:pt idx="1611">
                  <c:v>44727</c:v>
                </c:pt>
                <c:pt idx="1612">
                  <c:v>44729</c:v>
                </c:pt>
                <c:pt idx="1613">
                  <c:v>44732</c:v>
                </c:pt>
                <c:pt idx="1614">
                  <c:v>44733</c:v>
                </c:pt>
                <c:pt idx="1615">
                  <c:v>44734</c:v>
                </c:pt>
                <c:pt idx="1616">
                  <c:v>44735</c:v>
                </c:pt>
                <c:pt idx="1617">
                  <c:v>44736</c:v>
                </c:pt>
                <c:pt idx="1618">
                  <c:v>44739</c:v>
                </c:pt>
                <c:pt idx="1619">
                  <c:v>44740</c:v>
                </c:pt>
                <c:pt idx="1620">
                  <c:v>44741</c:v>
                </c:pt>
                <c:pt idx="1621">
                  <c:v>44742</c:v>
                </c:pt>
                <c:pt idx="1622">
                  <c:v>44743</c:v>
                </c:pt>
                <c:pt idx="1623">
                  <c:v>44746</c:v>
                </c:pt>
                <c:pt idx="1624">
                  <c:v>44747</c:v>
                </c:pt>
                <c:pt idx="1625">
                  <c:v>44748</c:v>
                </c:pt>
                <c:pt idx="1626">
                  <c:v>44749</c:v>
                </c:pt>
                <c:pt idx="1627">
                  <c:v>44750</c:v>
                </c:pt>
                <c:pt idx="1628">
                  <c:v>44753</c:v>
                </c:pt>
                <c:pt idx="1629">
                  <c:v>44754</c:v>
                </c:pt>
                <c:pt idx="1630">
                  <c:v>44755</c:v>
                </c:pt>
                <c:pt idx="1631">
                  <c:v>44756</c:v>
                </c:pt>
                <c:pt idx="1632">
                  <c:v>44757</c:v>
                </c:pt>
                <c:pt idx="1633">
                  <c:v>44760</c:v>
                </c:pt>
                <c:pt idx="1634">
                  <c:v>44761</c:v>
                </c:pt>
                <c:pt idx="1635">
                  <c:v>44762</c:v>
                </c:pt>
                <c:pt idx="1636">
                  <c:v>44763</c:v>
                </c:pt>
                <c:pt idx="1637">
                  <c:v>44764</c:v>
                </c:pt>
                <c:pt idx="1638">
                  <c:v>44767</c:v>
                </c:pt>
                <c:pt idx="1639">
                  <c:v>44768</c:v>
                </c:pt>
                <c:pt idx="1640">
                  <c:v>44769</c:v>
                </c:pt>
                <c:pt idx="1641">
                  <c:v>44770</c:v>
                </c:pt>
                <c:pt idx="1642">
                  <c:v>44771</c:v>
                </c:pt>
                <c:pt idx="1643">
                  <c:v>44774</c:v>
                </c:pt>
                <c:pt idx="1644">
                  <c:v>44775</c:v>
                </c:pt>
                <c:pt idx="1645">
                  <c:v>44776</c:v>
                </c:pt>
                <c:pt idx="1646">
                  <c:v>44777</c:v>
                </c:pt>
                <c:pt idx="1647">
                  <c:v>44778</c:v>
                </c:pt>
                <c:pt idx="1648">
                  <c:v>44781</c:v>
                </c:pt>
                <c:pt idx="1649">
                  <c:v>44783</c:v>
                </c:pt>
                <c:pt idx="1650">
                  <c:v>44784</c:v>
                </c:pt>
                <c:pt idx="1651">
                  <c:v>44785</c:v>
                </c:pt>
                <c:pt idx="1652">
                  <c:v>44788</c:v>
                </c:pt>
                <c:pt idx="1653">
                  <c:v>44789</c:v>
                </c:pt>
                <c:pt idx="1654">
                  <c:v>44790</c:v>
                </c:pt>
                <c:pt idx="1655">
                  <c:v>44791</c:v>
                </c:pt>
                <c:pt idx="1656">
                  <c:v>44792</c:v>
                </c:pt>
                <c:pt idx="1657">
                  <c:v>44795</c:v>
                </c:pt>
                <c:pt idx="1658">
                  <c:v>44796</c:v>
                </c:pt>
                <c:pt idx="1659">
                  <c:v>44797</c:v>
                </c:pt>
                <c:pt idx="1660">
                  <c:v>44798</c:v>
                </c:pt>
                <c:pt idx="1661">
                  <c:v>44799</c:v>
                </c:pt>
                <c:pt idx="1662">
                  <c:v>44802</c:v>
                </c:pt>
                <c:pt idx="1663">
                  <c:v>44803</c:v>
                </c:pt>
                <c:pt idx="1664">
                  <c:v>44804</c:v>
                </c:pt>
                <c:pt idx="1665">
                  <c:v>44805</c:v>
                </c:pt>
                <c:pt idx="1666">
                  <c:v>44806</c:v>
                </c:pt>
                <c:pt idx="1667">
                  <c:v>44809</c:v>
                </c:pt>
                <c:pt idx="1668">
                  <c:v>44810</c:v>
                </c:pt>
                <c:pt idx="1669">
                  <c:v>44811</c:v>
                </c:pt>
                <c:pt idx="1670">
                  <c:v>44812</c:v>
                </c:pt>
                <c:pt idx="1671">
                  <c:v>44813</c:v>
                </c:pt>
                <c:pt idx="1672">
                  <c:v>44816</c:v>
                </c:pt>
                <c:pt idx="1673">
                  <c:v>44817</c:v>
                </c:pt>
                <c:pt idx="1674">
                  <c:v>44818</c:v>
                </c:pt>
                <c:pt idx="1675">
                  <c:v>44819</c:v>
                </c:pt>
                <c:pt idx="1676">
                  <c:v>44820</c:v>
                </c:pt>
                <c:pt idx="1677">
                  <c:v>44823</c:v>
                </c:pt>
                <c:pt idx="1678">
                  <c:v>44824</c:v>
                </c:pt>
                <c:pt idx="1679">
                  <c:v>44825</c:v>
                </c:pt>
                <c:pt idx="1680">
                  <c:v>44826</c:v>
                </c:pt>
                <c:pt idx="1681">
                  <c:v>44827</c:v>
                </c:pt>
                <c:pt idx="1682">
                  <c:v>44830</c:v>
                </c:pt>
                <c:pt idx="1683">
                  <c:v>44831</c:v>
                </c:pt>
                <c:pt idx="1684">
                  <c:v>44832</c:v>
                </c:pt>
                <c:pt idx="1685">
                  <c:v>44833</c:v>
                </c:pt>
                <c:pt idx="1686">
                  <c:v>44834</c:v>
                </c:pt>
                <c:pt idx="1687">
                  <c:v>44837</c:v>
                </c:pt>
                <c:pt idx="1688">
                  <c:v>44838</c:v>
                </c:pt>
                <c:pt idx="1689">
                  <c:v>44839</c:v>
                </c:pt>
                <c:pt idx="1690">
                  <c:v>44840</c:v>
                </c:pt>
                <c:pt idx="1691">
                  <c:v>44841</c:v>
                </c:pt>
                <c:pt idx="1692">
                  <c:v>44844</c:v>
                </c:pt>
                <c:pt idx="1693">
                  <c:v>44845</c:v>
                </c:pt>
                <c:pt idx="1694">
                  <c:v>44846</c:v>
                </c:pt>
                <c:pt idx="1695">
                  <c:v>44847</c:v>
                </c:pt>
                <c:pt idx="1696">
                  <c:v>44848</c:v>
                </c:pt>
                <c:pt idx="1697">
                  <c:v>44851</c:v>
                </c:pt>
                <c:pt idx="1698">
                  <c:v>44852</c:v>
                </c:pt>
                <c:pt idx="1699">
                  <c:v>44853</c:v>
                </c:pt>
                <c:pt idx="1700">
                  <c:v>44854</c:v>
                </c:pt>
                <c:pt idx="1701">
                  <c:v>44855</c:v>
                </c:pt>
                <c:pt idx="1702">
                  <c:v>44858</c:v>
                </c:pt>
                <c:pt idx="1703">
                  <c:v>44859</c:v>
                </c:pt>
                <c:pt idx="1704">
                  <c:v>44860</c:v>
                </c:pt>
                <c:pt idx="1705">
                  <c:v>44861</c:v>
                </c:pt>
                <c:pt idx="1706">
                  <c:v>44862</c:v>
                </c:pt>
                <c:pt idx="1707">
                  <c:v>44865</c:v>
                </c:pt>
                <c:pt idx="1708">
                  <c:v>44866</c:v>
                </c:pt>
                <c:pt idx="1709">
                  <c:v>44867</c:v>
                </c:pt>
                <c:pt idx="1710">
                  <c:v>44868</c:v>
                </c:pt>
                <c:pt idx="1711">
                  <c:v>44869</c:v>
                </c:pt>
                <c:pt idx="1712">
                  <c:v>44872</c:v>
                </c:pt>
                <c:pt idx="1713">
                  <c:v>44873</c:v>
                </c:pt>
                <c:pt idx="1714">
                  <c:v>44874</c:v>
                </c:pt>
                <c:pt idx="1715">
                  <c:v>44875</c:v>
                </c:pt>
                <c:pt idx="1716">
                  <c:v>44876</c:v>
                </c:pt>
                <c:pt idx="1717">
                  <c:v>44879</c:v>
                </c:pt>
                <c:pt idx="1718">
                  <c:v>44880</c:v>
                </c:pt>
                <c:pt idx="1719">
                  <c:v>44881</c:v>
                </c:pt>
                <c:pt idx="1720">
                  <c:v>44882</c:v>
                </c:pt>
                <c:pt idx="1721">
                  <c:v>44883</c:v>
                </c:pt>
                <c:pt idx="1722">
                  <c:v>44886</c:v>
                </c:pt>
                <c:pt idx="1723">
                  <c:v>44887</c:v>
                </c:pt>
                <c:pt idx="1724">
                  <c:v>44888</c:v>
                </c:pt>
                <c:pt idx="1725">
                  <c:v>44889</c:v>
                </c:pt>
                <c:pt idx="1726">
                  <c:v>44890</c:v>
                </c:pt>
                <c:pt idx="1727">
                  <c:v>44893</c:v>
                </c:pt>
                <c:pt idx="1728">
                  <c:v>44894</c:v>
                </c:pt>
                <c:pt idx="1729">
                  <c:v>44895</c:v>
                </c:pt>
                <c:pt idx="1730">
                  <c:v>44896</c:v>
                </c:pt>
                <c:pt idx="1731">
                  <c:v>44897</c:v>
                </c:pt>
                <c:pt idx="1732">
                  <c:v>44900</c:v>
                </c:pt>
                <c:pt idx="1733">
                  <c:v>44901</c:v>
                </c:pt>
                <c:pt idx="1734">
                  <c:v>44902</c:v>
                </c:pt>
                <c:pt idx="1735">
                  <c:v>44903</c:v>
                </c:pt>
                <c:pt idx="1736">
                  <c:v>44904</c:v>
                </c:pt>
                <c:pt idx="1737">
                  <c:v>44907</c:v>
                </c:pt>
                <c:pt idx="1738">
                  <c:v>44908</c:v>
                </c:pt>
                <c:pt idx="1739">
                  <c:v>44909</c:v>
                </c:pt>
                <c:pt idx="1740">
                  <c:v>44910</c:v>
                </c:pt>
                <c:pt idx="1741">
                  <c:v>44914</c:v>
                </c:pt>
                <c:pt idx="1742">
                  <c:v>44915</c:v>
                </c:pt>
                <c:pt idx="1743">
                  <c:v>44916</c:v>
                </c:pt>
                <c:pt idx="1744">
                  <c:v>44917</c:v>
                </c:pt>
                <c:pt idx="1745">
                  <c:v>44918</c:v>
                </c:pt>
                <c:pt idx="1746">
                  <c:v>44923</c:v>
                </c:pt>
                <c:pt idx="1747">
                  <c:v>44924</c:v>
                </c:pt>
                <c:pt idx="1748">
                  <c:v>44925</c:v>
                </c:pt>
                <c:pt idx="1749">
                  <c:v>44929</c:v>
                </c:pt>
                <c:pt idx="1750">
                  <c:v>44930</c:v>
                </c:pt>
                <c:pt idx="1751">
                  <c:v>44931</c:v>
                </c:pt>
                <c:pt idx="1752">
                  <c:v>44932</c:v>
                </c:pt>
                <c:pt idx="1753">
                  <c:v>44935</c:v>
                </c:pt>
                <c:pt idx="1754">
                  <c:v>44936</c:v>
                </c:pt>
                <c:pt idx="1755">
                  <c:v>44937</c:v>
                </c:pt>
                <c:pt idx="1756">
                  <c:v>44938</c:v>
                </c:pt>
                <c:pt idx="1757">
                  <c:v>44939</c:v>
                </c:pt>
                <c:pt idx="1758">
                  <c:v>44942</c:v>
                </c:pt>
                <c:pt idx="1759">
                  <c:v>44943</c:v>
                </c:pt>
                <c:pt idx="1760">
                  <c:v>44944</c:v>
                </c:pt>
                <c:pt idx="1761">
                  <c:v>44945</c:v>
                </c:pt>
                <c:pt idx="1762">
                  <c:v>44946</c:v>
                </c:pt>
                <c:pt idx="1763">
                  <c:v>44949</c:v>
                </c:pt>
                <c:pt idx="1764">
                  <c:v>44950</c:v>
                </c:pt>
                <c:pt idx="1765">
                  <c:v>44951</c:v>
                </c:pt>
                <c:pt idx="1766">
                  <c:v>44952</c:v>
                </c:pt>
                <c:pt idx="1767">
                  <c:v>44953</c:v>
                </c:pt>
                <c:pt idx="1768">
                  <c:v>44956</c:v>
                </c:pt>
                <c:pt idx="1769">
                  <c:v>44957</c:v>
                </c:pt>
                <c:pt idx="1770">
                  <c:v>44958</c:v>
                </c:pt>
                <c:pt idx="1771">
                  <c:v>44959</c:v>
                </c:pt>
                <c:pt idx="1772">
                  <c:v>44960</c:v>
                </c:pt>
                <c:pt idx="1773">
                  <c:v>44963</c:v>
                </c:pt>
                <c:pt idx="1774">
                  <c:v>44964</c:v>
                </c:pt>
                <c:pt idx="1775">
                  <c:v>44965</c:v>
                </c:pt>
                <c:pt idx="1776">
                  <c:v>44966</c:v>
                </c:pt>
                <c:pt idx="1777">
                  <c:v>44967</c:v>
                </c:pt>
                <c:pt idx="1778">
                  <c:v>44970</c:v>
                </c:pt>
                <c:pt idx="1779">
                  <c:v>44971</c:v>
                </c:pt>
                <c:pt idx="1780">
                  <c:v>44972</c:v>
                </c:pt>
                <c:pt idx="1781">
                  <c:v>44973</c:v>
                </c:pt>
                <c:pt idx="1782">
                  <c:v>44974</c:v>
                </c:pt>
                <c:pt idx="1783">
                  <c:v>44977</c:v>
                </c:pt>
                <c:pt idx="1784">
                  <c:v>44978</c:v>
                </c:pt>
                <c:pt idx="1785">
                  <c:v>44979</c:v>
                </c:pt>
                <c:pt idx="1786">
                  <c:v>44980</c:v>
                </c:pt>
                <c:pt idx="1787">
                  <c:v>44981</c:v>
                </c:pt>
                <c:pt idx="1788">
                  <c:v>44984</c:v>
                </c:pt>
                <c:pt idx="1789">
                  <c:v>44985</c:v>
                </c:pt>
                <c:pt idx="1790">
                  <c:v>44986</c:v>
                </c:pt>
                <c:pt idx="1791">
                  <c:v>44987</c:v>
                </c:pt>
                <c:pt idx="1792">
                  <c:v>44988</c:v>
                </c:pt>
                <c:pt idx="1793">
                  <c:v>44991</c:v>
                </c:pt>
                <c:pt idx="1794">
                  <c:v>44992</c:v>
                </c:pt>
                <c:pt idx="1795">
                  <c:v>44993</c:v>
                </c:pt>
                <c:pt idx="1796">
                  <c:v>44994</c:v>
                </c:pt>
                <c:pt idx="1797">
                  <c:v>44995</c:v>
                </c:pt>
                <c:pt idx="1798">
                  <c:v>44998</c:v>
                </c:pt>
                <c:pt idx="1799">
                  <c:v>44999</c:v>
                </c:pt>
                <c:pt idx="1800">
                  <c:v>45000</c:v>
                </c:pt>
                <c:pt idx="1801">
                  <c:v>45001</c:v>
                </c:pt>
                <c:pt idx="1802">
                  <c:v>45002</c:v>
                </c:pt>
                <c:pt idx="1803">
                  <c:v>45005</c:v>
                </c:pt>
                <c:pt idx="1804">
                  <c:v>45007</c:v>
                </c:pt>
                <c:pt idx="1805">
                  <c:v>45008</c:v>
                </c:pt>
                <c:pt idx="1806">
                  <c:v>45009</c:v>
                </c:pt>
                <c:pt idx="1807">
                  <c:v>45012</c:v>
                </c:pt>
                <c:pt idx="1808">
                  <c:v>45013</c:v>
                </c:pt>
                <c:pt idx="1809">
                  <c:v>45014</c:v>
                </c:pt>
                <c:pt idx="1810">
                  <c:v>45015</c:v>
                </c:pt>
                <c:pt idx="1811">
                  <c:v>45016</c:v>
                </c:pt>
                <c:pt idx="1812">
                  <c:v>45019</c:v>
                </c:pt>
                <c:pt idx="1813">
                  <c:v>45020</c:v>
                </c:pt>
                <c:pt idx="1814">
                  <c:v>45021</c:v>
                </c:pt>
                <c:pt idx="1815">
                  <c:v>45022</c:v>
                </c:pt>
                <c:pt idx="1816">
                  <c:v>45027</c:v>
                </c:pt>
                <c:pt idx="1817">
                  <c:v>45028</c:v>
                </c:pt>
                <c:pt idx="1818">
                  <c:v>45029</c:v>
                </c:pt>
                <c:pt idx="1819">
                  <c:v>45030</c:v>
                </c:pt>
                <c:pt idx="1820">
                  <c:v>45033</c:v>
                </c:pt>
                <c:pt idx="1821">
                  <c:v>45034</c:v>
                </c:pt>
                <c:pt idx="1822">
                  <c:v>45035</c:v>
                </c:pt>
                <c:pt idx="1823">
                  <c:v>45036</c:v>
                </c:pt>
                <c:pt idx="1824">
                  <c:v>45037</c:v>
                </c:pt>
                <c:pt idx="1825">
                  <c:v>45040</c:v>
                </c:pt>
                <c:pt idx="1826">
                  <c:v>45041</c:v>
                </c:pt>
                <c:pt idx="1827">
                  <c:v>45042</c:v>
                </c:pt>
                <c:pt idx="1828">
                  <c:v>45044</c:v>
                </c:pt>
                <c:pt idx="1829">
                  <c:v>45048</c:v>
                </c:pt>
                <c:pt idx="1830">
                  <c:v>45049</c:v>
                </c:pt>
                <c:pt idx="1831">
                  <c:v>45050</c:v>
                </c:pt>
                <c:pt idx="1832">
                  <c:v>45051</c:v>
                </c:pt>
                <c:pt idx="1833">
                  <c:v>45054</c:v>
                </c:pt>
                <c:pt idx="1834">
                  <c:v>45055</c:v>
                </c:pt>
                <c:pt idx="1835">
                  <c:v>45056</c:v>
                </c:pt>
                <c:pt idx="1836">
                  <c:v>45057</c:v>
                </c:pt>
                <c:pt idx="1837">
                  <c:v>45058</c:v>
                </c:pt>
                <c:pt idx="1838">
                  <c:v>45061</c:v>
                </c:pt>
                <c:pt idx="1839">
                  <c:v>45062</c:v>
                </c:pt>
                <c:pt idx="1840">
                  <c:v>45063</c:v>
                </c:pt>
                <c:pt idx="1841">
                  <c:v>45064</c:v>
                </c:pt>
                <c:pt idx="1842">
                  <c:v>45065</c:v>
                </c:pt>
                <c:pt idx="1843">
                  <c:v>45068</c:v>
                </c:pt>
                <c:pt idx="1844">
                  <c:v>45069</c:v>
                </c:pt>
                <c:pt idx="1845">
                  <c:v>45070</c:v>
                </c:pt>
                <c:pt idx="1846">
                  <c:v>45071</c:v>
                </c:pt>
                <c:pt idx="1847">
                  <c:v>45072</c:v>
                </c:pt>
                <c:pt idx="1848">
                  <c:v>45075</c:v>
                </c:pt>
                <c:pt idx="1849">
                  <c:v>45076</c:v>
                </c:pt>
                <c:pt idx="1850">
                  <c:v>45077</c:v>
                </c:pt>
                <c:pt idx="1851">
                  <c:v>45078</c:v>
                </c:pt>
                <c:pt idx="1852">
                  <c:v>45079</c:v>
                </c:pt>
                <c:pt idx="1853">
                  <c:v>45082</c:v>
                </c:pt>
                <c:pt idx="1854">
                  <c:v>45083</c:v>
                </c:pt>
                <c:pt idx="1855">
                  <c:v>45084</c:v>
                </c:pt>
                <c:pt idx="1856">
                  <c:v>45085</c:v>
                </c:pt>
                <c:pt idx="1857">
                  <c:v>45086</c:v>
                </c:pt>
                <c:pt idx="1858">
                  <c:v>45089</c:v>
                </c:pt>
                <c:pt idx="1859">
                  <c:v>45090</c:v>
                </c:pt>
                <c:pt idx="1860">
                  <c:v>45091</c:v>
                </c:pt>
                <c:pt idx="1861">
                  <c:v>45092</c:v>
                </c:pt>
                <c:pt idx="1862">
                  <c:v>45096</c:v>
                </c:pt>
                <c:pt idx="1863">
                  <c:v>45097</c:v>
                </c:pt>
                <c:pt idx="1864">
                  <c:v>45098</c:v>
                </c:pt>
                <c:pt idx="1865">
                  <c:v>45099</c:v>
                </c:pt>
                <c:pt idx="1866">
                  <c:v>45100</c:v>
                </c:pt>
                <c:pt idx="1867">
                  <c:v>45103</c:v>
                </c:pt>
                <c:pt idx="1868">
                  <c:v>45104</c:v>
                </c:pt>
                <c:pt idx="1869">
                  <c:v>45105</c:v>
                </c:pt>
                <c:pt idx="1870">
                  <c:v>45106</c:v>
                </c:pt>
                <c:pt idx="1871">
                  <c:v>45107</c:v>
                </c:pt>
                <c:pt idx="1872">
                  <c:v>45110</c:v>
                </c:pt>
                <c:pt idx="1873">
                  <c:v>45111</c:v>
                </c:pt>
                <c:pt idx="1874">
                  <c:v>45112</c:v>
                </c:pt>
                <c:pt idx="1875">
                  <c:v>45113</c:v>
                </c:pt>
                <c:pt idx="1876">
                  <c:v>45114</c:v>
                </c:pt>
                <c:pt idx="1877">
                  <c:v>45117</c:v>
                </c:pt>
                <c:pt idx="1878">
                  <c:v>45118</c:v>
                </c:pt>
                <c:pt idx="1879">
                  <c:v>45119</c:v>
                </c:pt>
                <c:pt idx="1880">
                  <c:v>45120</c:v>
                </c:pt>
                <c:pt idx="1881">
                  <c:v>45121</c:v>
                </c:pt>
                <c:pt idx="1882">
                  <c:v>45124</c:v>
                </c:pt>
                <c:pt idx="1883">
                  <c:v>45125</c:v>
                </c:pt>
                <c:pt idx="1884">
                  <c:v>45126</c:v>
                </c:pt>
                <c:pt idx="1885">
                  <c:v>45127</c:v>
                </c:pt>
                <c:pt idx="1886">
                  <c:v>45128</c:v>
                </c:pt>
                <c:pt idx="1887">
                  <c:v>45131</c:v>
                </c:pt>
                <c:pt idx="1888">
                  <c:v>45132</c:v>
                </c:pt>
                <c:pt idx="1889">
                  <c:v>45133</c:v>
                </c:pt>
                <c:pt idx="1890">
                  <c:v>45134</c:v>
                </c:pt>
                <c:pt idx="1891">
                  <c:v>45135</c:v>
                </c:pt>
                <c:pt idx="1892">
                  <c:v>45138</c:v>
                </c:pt>
                <c:pt idx="1893">
                  <c:v>45139</c:v>
                </c:pt>
                <c:pt idx="1894">
                  <c:v>45140</c:v>
                </c:pt>
                <c:pt idx="1895">
                  <c:v>45141</c:v>
                </c:pt>
                <c:pt idx="1896">
                  <c:v>45142</c:v>
                </c:pt>
                <c:pt idx="1897">
                  <c:v>45145</c:v>
                </c:pt>
                <c:pt idx="1898">
                  <c:v>45146</c:v>
                </c:pt>
                <c:pt idx="1899">
                  <c:v>45148</c:v>
                </c:pt>
                <c:pt idx="1900">
                  <c:v>45149</c:v>
                </c:pt>
                <c:pt idx="1901">
                  <c:v>45152</c:v>
                </c:pt>
                <c:pt idx="1902">
                  <c:v>45153</c:v>
                </c:pt>
                <c:pt idx="1903">
                  <c:v>45154</c:v>
                </c:pt>
                <c:pt idx="1904">
                  <c:v>45155</c:v>
                </c:pt>
                <c:pt idx="1905">
                  <c:v>45156</c:v>
                </c:pt>
                <c:pt idx="1906">
                  <c:v>45159</c:v>
                </c:pt>
                <c:pt idx="1907">
                  <c:v>45160</c:v>
                </c:pt>
                <c:pt idx="1908">
                  <c:v>45161</c:v>
                </c:pt>
                <c:pt idx="1909">
                  <c:v>45162</c:v>
                </c:pt>
                <c:pt idx="1910">
                  <c:v>45163</c:v>
                </c:pt>
                <c:pt idx="1911">
                  <c:v>45166</c:v>
                </c:pt>
                <c:pt idx="1912">
                  <c:v>45167</c:v>
                </c:pt>
                <c:pt idx="1913">
                  <c:v>45168</c:v>
                </c:pt>
                <c:pt idx="1914">
                  <c:v>45169</c:v>
                </c:pt>
                <c:pt idx="1915">
                  <c:v>45170</c:v>
                </c:pt>
                <c:pt idx="1916">
                  <c:v>45173</c:v>
                </c:pt>
                <c:pt idx="1917">
                  <c:v>45174</c:v>
                </c:pt>
                <c:pt idx="1918">
                  <c:v>45175</c:v>
                </c:pt>
                <c:pt idx="1919">
                  <c:v>45176</c:v>
                </c:pt>
                <c:pt idx="1920">
                  <c:v>45177</c:v>
                </c:pt>
                <c:pt idx="1921">
                  <c:v>45180</c:v>
                </c:pt>
                <c:pt idx="1922">
                  <c:v>45181</c:v>
                </c:pt>
                <c:pt idx="1923">
                  <c:v>45182</c:v>
                </c:pt>
                <c:pt idx="1924">
                  <c:v>45183</c:v>
                </c:pt>
                <c:pt idx="1925">
                  <c:v>45184</c:v>
                </c:pt>
                <c:pt idx="1926">
                  <c:v>45187</c:v>
                </c:pt>
                <c:pt idx="1927">
                  <c:v>45188</c:v>
                </c:pt>
                <c:pt idx="1928">
                  <c:v>45189</c:v>
                </c:pt>
                <c:pt idx="1929">
                  <c:v>45190</c:v>
                </c:pt>
                <c:pt idx="1930">
                  <c:v>45191</c:v>
                </c:pt>
                <c:pt idx="1931">
                  <c:v>45195</c:v>
                </c:pt>
                <c:pt idx="1932">
                  <c:v>45196</c:v>
                </c:pt>
                <c:pt idx="1933">
                  <c:v>45197</c:v>
                </c:pt>
                <c:pt idx="1934">
                  <c:v>45198</c:v>
                </c:pt>
                <c:pt idx="1935">
                  <c:v>45201</c:v>
                </c:pt>
                <c:pt idx="1936">
                  <c:v>45202</c:v>
                </c:pt>
                <c:pt idx="1937">
                  <c:v>45203</c:v>
                </c:pt>
                <c:pt idx="1938">
                  <c:v>45204</c:v>
                </c:pt>
                <c:pt idx="1939">
                  <c:v>45205</c:v>
                </c:pt>
                <c:pt idx="1940">
                  <c:v>45208</c:v>
                </c:pt>
                <c:pt idx="1941">
                  <c:v>45209</c:v>
                </c:pt>
                <c:pt idx="1942">
                  <c:v>45210</c:v>
                </c:pt>
                <c:pt idx="1943">
                  <c:v>45211</c:v>
                </c:pt>
                <c:pt idx="1944">
                  <c:v>45212</c:v>
                </c:pt>
                <c:pt idx="1945">
                  <c:v>45215</c:v>
                </c:pt>
                <c:pt idx="1946">
                  <c:v>45216</c:v>
                </c:pt>
                <c:pt idx="1947">
                  <c:v>45217</c:v>
                </c:pt>
                <c:pt idx="1948">
                  <c:v>45218</c:v>
                </c:pt>
                <c:pt idx="1949">
                  <c:v>45219</c:v>
                </c:pt>
                <c:pt idx="1950">
                  <c:v>45222</c:v>
                </c:pt>
                <c:pt idx="1951">
                  <c:v>45223</c:v>
                </c:pt>
                <c:pt idx="1952">
                  <c:v>45224</c:v>
                </c:pt>
                <c:pt idx="1953">
                  <c:v>45225</c:v>
                </c:pt>
                <c:pt idx="1954">
                  <c:v>45226</c:v>
                </c:pt>
                <c:pt idx="1955">
                  <c:v>45229</c:v>
                </c:pt>
                <c:pt idx="1956">
                  <c:v>45230</c:v>
                </c:pt>
                <c:pt idx="1957">
                  <c:v>45231</c:v>
                </c:pt>
                <c:pt idx="1958">
                  <c:v>45232</c:v>
                </c:pt>
                <c:pt idx="1959">
                  <c:v>45233</c:v>
                </c:pt>
                <c:pt idx="1960">
                  <c:v>45236</c:v>
                </c:pt>
                <c:pt idx="1961">
                  <c:v>45237</c:v>
                </c:pt>
                <c:pt idx="1962">
                  <c:v>45238</c:v>
                </c:pt>
                <c:pt idx="1963">
                  <c:v>45239</c:v>
                </c:pt>
                <c:pt idx="1964">
                  <c:v>45240</c:v>
                </c:pt>
                <c:pt idx="1965">
                  <c:v>45243</c:v>
                </c:pt>
                <c:pt idx="1966">
                  <c:v>45244</c:v>
                </c:pt>
                <c:pt idx="1967">
                  <c:v>45245</c:v>
                </c:pt>
                <c:pt idx="1968">
                  <c:v>45246</c:v>
                </c:pt>
                <c:pt idx="1969">
                  <c:v>45247</c:v>
                </c:pt>
                <c:pt idx="1970">
                  <c:v>45250</c:v>
                </c:pt>
                <c:pt idx="1971">
                  <c:v>45251</c:v>
                </c:pt>
                <c:pt idx="1972">
                  <c:v>45252</c:v>
                </c:pt>
                <c:pt idx="1973">
                  <c:v>45253</c:v>
                </c:pt>
                <c:pt idx="1974">
                  <c:v>45254</c:v>
                </c:pt>
                <c:pt idx="1975">
                  <c:v>45257</c:v>
                </c:pt>
                <c:pt idx="1976">
                  <c:v>45258</c:v>
                </c:pt>
                <c:pt idx="1977">
                  <c:v>45259</c:v>
                </c:pt>
                <c:pt idx="1978">
                  <c:v>45260</c:v>
                </c:pt>
                <c:pt idx="1979">
                  <c:v>45261</c:v>
                </c:pt>
                <c:pt idx="1980">
                  <c:v>45264</c:v>
                </c:pt>
                <c:pt idx="1981">
                  <c:v>45265</c:v>
                </c:pt>
                <c:pt idx="1982">
                  <c:v>45266</c:v>
                </c:pt>
                <c:pt idx="1983">
                  <c:v>45267</c:v>
                </c:pt>
                <c:pt idx="1984">
                  <c:v>45268</c:v>
                </c:pt>
                <c:pt idx="1985">
                  <c:v>45271</c:v>
                </c:pt>
                <c:pt idx="1986">
                  <c:v>45272</c:v>
                </c:pt>
                <c:pt idx="1987">
                  <c:v>45273</c:v>
                </c:pt>
                <c:pt idx="1988">
                  <c:v>45274</c:v>
                </c:pt>
                <c:pt idx="1989">
                  <c:v>45278</c:v>
                </c:pt>
                <c:pt idx="1990">
                  <c:v>45279</c:v>
                </c:pt>
                <c:pt idx="1991">
                  <c:v>45280</c:v>
                </c:pt>
                <c:pt idx="1992">
                  <c:v>45281</c:v>
                </c:pt>
                <c:pt idx="1993">
                  <c:v>45282</c:v>
                </c:pt>
                <c:pt idx="1994">
                  <c:v>45287</c:v>
                </c:pt>
                <c:pt idx="1995">
                  <c:v>45288</c:v>
                </c:pt>
                <c:pt idx="1996">
                  <c:v>45289</c:v>
                </c:pt>
                <c:pt idx="1997">
                  <c:v>45293</c:v>
                </c:pt>
                <c:pt idx="1998">
                  <c:v>45294</c:v>
                </c:pt>
                <c:pt idx="1999">
                  <c:v>45295</c:v>
                </c:pt>
                <c:pt idx="2000">
                  <c:v>45296</c:v>
                </c:pt>
                <c:pt idx="2001">
                  <c:v>45299</c:v>
                </c:pt>
                <c:pt idx="2002">
                  <c:v>45300</c:v>
                </c:pt>
                <c:pt idx="2003">
                  <c:v>45301</c:v>
                </c:pt>
                <c:pt idx="2004">
                  <c:v>45302</c:v>
                </c:pt>
                <c:pt idx="2005">
                  <c:v>45303</c:v>
                </c:pt>
                <c:pt idx="2006">
                  <c:v>45306</c:v>
                </c:pt>
                <c:pt idx="2007">
                  <c:v>45307</c:v>
                </c:pt>
                <c:pt idx="2008">
                  <c:v>45308</c:v>
                </c:pt>
                <c:pt idx="2009">
                  <c:v>45309</c:v>
                </c:pt>
                <c:pt idx="2010">
                  <c:v>45310</c:v>
                </c:pt>
                <c:pt idx="2011">
                  <c:v>45313</c:v>
                </c:pt>
                <c:pt idx="2012">
                  <c:v>45314</c:v>
                </c:pt>
                <c:pt idx="2013">
                  <c:v>45315</c:v>
                </c:pt>
                <c:pt idx="2014">
                  <c:v>45316</c:v>
                </c:pt>
                <c:pt idx="2015">
                  <c:v>45317</c:v>
                </c:pt>
                <c:pt idx="2016">
                  <c:v>45320</c:v>
                </c:pt>
                <c:pt idx="2017">
                  <c:v>45321</c:v>
                </c:pt>
                <c:pt idx="2018">
                  <c:v>45322</c:v>
                </c:pt>
                <c:pt idx="2019">
                  <c:v>45323</c:v>
                </c:pt>
                <c:pt idx="2020">
                  <c:v>45324</c:v>
                </c:pt>
                <c:pt idx="2021">
                  <c:v>45327</c:v>
                </c:pt>
                <c:pt idx="2022">
                  <c:v>45328</c:v>
                </c:pt>
                <c:pt idx="2023">
                  <c:v>45329</c:v>
                </c:pt>
                <c:pt idx="2024">
                  <c:v>45330</c:v>
                </c:pt>
                <c:pt idx="2025">
                  <c:v>45331</c:v>
                </c:pt>
                <c:pt idx="2026">
                  <c:v>45334</c:v>
                </c:pt>
                <c:pt idx="2027">
                  <c:v>45335</c:v>
                </c:pt>
                <c:pt idx="2028">
                  <c:v>45336</c:v>
                </c:pt>
                <c:pt idx="2029">
                  <c:v>45337</c:v>
                </c:pt>
                <c:pt idx="2030">
                  <c:v>45338</c:v>
                </c:pt>
                <c:pt idx="2031">
                  <c:v>45341</c:v>
                </c:pt>
                <c:pt idx="2032">
                  <c:v>45342</c:v>
                </c:pt>
                <c:pt idx="2033">
                  <c:v>45343</c:v>
                </c:pt>
                <c:pt idx="2034">
                  <c:v>45344</c:v>
                </c:pt>
                <c:pt idx="2035">
                  <c:v>45345</c:v>
                </c:pt>
                <c:pt idx="2036">
                  <c:v>45348</c:v>
                </c:pt>
                <c:pt idx="2037">
                  <c:v>45349</c:v>
                </c:pt>
                <c:pt idx="2038">
                  <c:v>45350</c:v>
                </c:pt>
                <c:pt idx="2039">
                  <c:v>45351</c:v>
                </c:pt>
                <c:pt idx="2040">
                  <c:v>45352</c:v>
                </c:pt>
                <c:pt idx="2041">
                  <c:v>45355</c:v>
                </c:pt>
                <c:pt idx="2042">
                  <c:v>45356</c:v>
                </c:pt>
                <c:pt idx="2043">
                  <c:v>45357</c:v>
                </c:pt>
                <c:pt idx="2044">
                  <c:v>45358</c:v>
                </c:pt>
                <c:pt idx="2045">
                  <c:v>45359</c:v>
                </c:pt>
                <c:pt idx="2046">
                  <c:v>45362</c:v>
                </c:pt>
                <c:pt idx="2047">
                  <c:v>45363</c:v>
                </c:pt>
                <c:pt idx="2048">
                  <c:v>45364</c:v>
                </c:pt>
                <c:pt idx="2049">
                  <c:v>45365</c:v>
                </c:pt>
                <c:pt idx="2050">
                  <c:v>45366</c:v>
                </c:pt>
                <c:pt idx="2051">
                  <c:v>45369</c:v>
                </c:pt>
                <c:pt idx="2052">
                  <c:v>45370</c:v>
                </c:pt>
                <c:pt idx="2053">
                  <c:v>45371</c:v>
                </c:pt>
                <c:pt idx="2054">
                  <c:v>45373</c:v>
                </c:pt>
                <c:pt idx="2055">
                  <c:v>45376</c:v>
                </c:pt>
                <c:pt idx="2056">
                  <c:v>45377</c:v>
                </c:pt>
                <c:pt idx="2057">
                  <c:v>45378</c:v>
                </c:pt>
                <c:pt idx="2058">
                  <c:v>45379</c:v>
                </c:pt>
                <c:pt idx="2059">
                  <c:v>45384</c:v>
                </c:pt>
                <c:pt idx="2060">
                  <c:v>45385</c:v>
                </c:pt>
                <c:pt idx="2061">
                  <c:v>45386</c:v>
                </c:pt>
                <c:pt idx="2062">
                  <c:v>45387</c:v>
                </c:pt>
                <c:pt idx="2063">
                  <c:v>45390</c:v>
                </c:pt>
                <c:pt idx="2064">
                  <c:v>45391</c:v>
                </c:pt>
                <c:pt idx="2065">
                  <c:v>45392</c:v>
                </c:pt>
                <c:pt idx="2066">
                  <c:v>45393</c:v>
                </c:pt>
                <c:pt idx="2067">
                  <c:v>45394</c:v>
                </c:pt>
                <c:pt idx="2068">
                  <c:v>45397</c:v>
                </c:pt>
                <c:pt idx="2069">
                  <c:v>45398</c:v>
                </c:pt>
                <c:pt idx="2070">
                  <c:v>45399</c:v>
                </c:pt>
                <c:pt idx="2071">
                  <c:v>45400</c:v>
                </c:pt>
                <c:pt idx="2072">
                  <c:v>45401</c:v>
                </c:pt>
                <c:pt idx="2073">
                  <c:v>45404</c:v>
                </c:pt>
                <c:pt idx="2074">
                  <c:v>45405</c:v>
                </c:pt>
                <c:pt idx="2075">
                  <c:v>45406</c:v>
                </c:pt>
                <c:pt idx="2076">
                  <c:v>45407</c:v>
                </c:pt>
                <c:pt idx="2077">
                  <c:v>45408</c:v>
                </c:pt>
                <c:pt idx="2078">
                  <c:v>45411</c:v>
                </c:pt>
                <c:pt idx="2079">
                  <c:v>45412</c:v>
                </c:pt>
                <c:pt idx="2080">
                  <c:v>45414</c:v>
                </c:pt>
                <c:pt idx="2081">
                  <c:v>45415</c:v>
                </c:pt>
                <c:pt idx="2082">
                  <c:v>45418</c:v>
                </c:pt>
                <c:pt idx="2083">
                  <c:v>45419</c:v>
                </c:pt>
                <c:pt idx="2084">
                  <c:v>45420</c:v>
                </c:pt>
                <c:pt idx="2085">
                  <c:v>45421</c:v>
                </c:pt>
                <c:pt idx="2086">
                  <c:v>45422</c:v>
                </c:pt>
                <c:pt idx="2087">
                  <c:v>45425</c:v>
                </c:pt>
                <c:pt idx="2088">
                  <c:v>45426</c:v>
                </c:pt>
                <c:pt idx="2089">
                  <c:v>45427</c:v>
                </c:pt>
                <c:pt idx="2090">
                  <c:v>45428</c:v>
                </c:pt>
                <c:pt idx="2091">
                  <c:v>45429</c:v>
                </c:pt>
                <c:pt idx="2092">
                  <c:v>45432</c:v>
                </c:pt>
                <c:pt idx="2093">
                  <c:v>45433</c:v>
                </c:pt>
                <c:pt idx="2094">
                  <c:v>45434</c:v>
                </c:pt>
                <c:pt idx="2095">
                  <c:v>45435</c:v>
                </c:pt>
                <c:pt idx="2096">
                  <c:v>45436</c:v>
                </c:pt>
                <c:pt idx="2097">
                  <c:v>45439</c:v>
                </c:pt>
                <c:pt idx="2098">
                  <c:v>45440</c:v>
                </c:pt>
                <c:pt idx="2099">
                  <c:v>45442</c:v>
                </c:pt>
                <c:pt idx="2100">
                  <c:v>45443</c:v>
                </c:pt>
                <c:pt idx="2101">
                  <c:v>45446</c:v>
                </c:pt>
                <c:pt idx="2102">
                  <c:v>45447</c:v>
                </c:pt>
                <c:pt idx="2103">
                  <c:v>45448</c:v>
                </c:pt>
                <c:pt idx="2104">
                  <c:v>45449</c:v>
                </c:pt>
                <c:pt idx="2105">
                  <c:v>45450</c:v>
                </c:pt>
                <c:pt idx="2106">
                  <c:v>45453</c:v>
                </c:pt>
                <c:pt idx="2107">
                  <c:v>45454</c:v>
                </c:pt>
                <c:pt idx="2108">
                  <c:v>45455</c:v>
                </c:pt>
                <c:pt idx="2109">
                  <c:v>45456</c:v>
                </c:pt>
                <c:pt idx="2110">
                  <c:v>45457</c:v>
                </c:pt>
                <c:pt idx="2111">
                  <c:v>45461</c:v>
                </c:pt>
                <c:pt idx="2112">
                  <c:v>45462</c:v>
                </c:pt>
                <c:pt idx="2113">
                  <c:v>45463</c:v>
                </c:pt>
                <c:pt idx="2114">
                  <c:v>45464</c:v>
                </c:pt>
                <c:pt idx="2115">
                  <c:v>45467</c:v>
                </c:pt>
                <c:pt idx="2116">
                  <c:v>45468</c:v>
                </c:pt>
                <c:pt idx="2117">
                  <c:v>45469</c:v>
                </c:pt>
                <c:pt idx="2118">
                  <c:v>45470</c:v>
                </c:pt>
                <c:pt idx="2119">
                  <c:v>45471</c:v>
                </c:pt>
                <c:pt idx="2120">
                  <c:v>45474</c:v>
                </c:pt>
                <c:pt idx="2121">
                  <c:v>45475</c:v>
                </c:pt>
                <c:pt idx="2122">
                  <c:v>45476</c:v>
                </c:pt>
                <c:pt idx="2123">
                  <c:v>45477</c:v>
                </c:pt>
                <c:pt idx="2124">
                  <c:v>45478</c:v>
                </c:pt>
                <c:pt idx="2125">
                  <c:v>45481</c:v>
                </c:pt>
                <c:pt idx="2126">
                  <c:v>45482</c:v>
                </c:pt>
                <c:pt idx="2127">
                  <c:v>45483</c:v>
                </c:pt>
                <c:pt idx="2128">
                  <c:v>45484</c:v>
                </c:pt>
                <c:pt idx="2129">
                  <c:v>45485</c:v>
                </c:pt>
                <c:pt idx="2130">
                  <c:v>45488</c:v>
                </c:pt>
                <c:pt idx="2131">
                  <c:v>45489</c:v>
                </c:pt>
                <c:pt idx="2132">
                  <c:v>45490</c:v>
                </c:pt>
                <c:pt idx="2133">
                  <c:v>45491</c:v>
                </c:pt>
                <c:pt idx="2134">
                  <c:v>45492</c:v>
                </c:pt>
                <c:pt idx="2135">
                  <c:v>45495</c:v>
                </c:pt>
                <c:pt idx="2136">
                  <c:v>45496</c:v>
                </c:pt>
                <c:pt idx="2137">
                  <c:v>45497</c:v>
                </c:pt>
                <c:pt idx="2138">
                  <c:v>45498</c:v>
                </c:pt>
                <c:pt idx="2139">
                  <c:v>45499</c:v>
                </c:pt>
                <c:pt idx="2140">
                  <c:v>45502</c:v>
                </c:pt>
                <c:pt idx="2141">
                  <c:v>45503</c:v>
                </c:pt>
                <c:pt idx="2142">
                  <c:v>45504</c:v>
                </c:pt>
                <c:pt idx="2143">
                  <c:v>45505</c:v>
                </c:pt>
                <c:pt idx="2144">
                  <c:v>45506</c:v>
                </c:pt>
                <c:pt idx="2145">
                  <c:v>45509</c:v>
                </c:pt>
                <c:pt idx="2146">
                  <c:v>45510</c:v>
                </c:pt>
                <c:pt idx="2147">
                  <c:v>45511</c:v>
                </c:pt>
                <c:pt idx="2148">
                  <c:v>45512</c:v>
                </c:pt>
                <c:pt idx="2149">
                  <c:v>45516</c:v>
                </c:pt>
                <c:pt idx="2150">
                  <c:v>45517</c:v>
                </c:pt>
                <c:pt idx="2151">
                  <c:v>45518</c:v>
                </c:pt>
                <c:pt idx="2152">
                  <c:v>45519</c:v>
                </c:pt>
                <c:pt idx="2153">
                  <c:v>45520</c:v>
                </c:pt>
                <c:pt idx="2154">
                  <c:v>45523</c:v>
                </c:pt>
                <c:pt idx="2155">
                  <c:v>45524</c:v>
                </c:pt>
                <c:pt idx="2156">
                  <c:v>45525</c:v>
                </c:pt>
                <c:pt idx="2157">
                  <c:v>45526</c:v>
                </c:pt>
                <c:pt idx="2158">
                  <c:v>45527</c:v>
                </c:pt>
                <c:pt idx="2159">
                  <c:v>45530</c:v>
                </c:pt>
                <c:pt idx="2160">
                  <c:v>45531</c:v>
                </c:pt>
                <c:pt idx="2161">
                  <c:v>45532</c:v>
                </c:pt>
                <c:pt idx="2162">
                  <c:v>45533</c:v>
                </c:pt>
                <c:pt idx="2163">
                  <c:v>45534</c:v>
                </c:pt>
                <c:pt idx="2164">
                  <c:v>45537</c:v>
                </c:pt>
                <c:pt idx="2165">
                  <c:v>45538</c:v>
                </c:pt>
                <c:pt idx="2166">
                  <c:v>45539</c:v>
                </c:pt>
                <c:pt idx="2167">
                  <c:v>45540</c:v>
                </c:pt>
                <c:pt idx="2168">
                  <c:v>45541</c:v>
                </c:pt>
                <c:pt idx="2169">
                  <c:v>45544</c:v>
                </c:pt>
                <c:pt idx="2170">
                  <c:v>45545</c:v>
                </c:pt>
                <c:pt idx="2171">
                  <c:v>45546</c:v>
                </c:pt>
                <c:pt idx="2172">
                  <c:v>45547</c:v>
                </c:pt>
                <c:pt idx="2173">
                  <c:v>45548</c:v>
                </c:pt>
                <c:pt idx="2174">
                  <c:v>45551</c:v>
                </c:pt>
                <c:pt idx="2175">
                  <c:v>45552</c:v>
                </c:pt>
                <c:pt idx="2176">
                  <c:v>45553</c:v>
                </c:pt>
                <c:pt idx="2177">
                  <c:v>45554</c:v>
                </c:pt>
                <c:pt idx="2178">
                  <c:v>45555</c:v>
                </c:pt>
                <c:pt idx="2179">
                  <c:v>45558</c:v>
                </c:pt>
                <c:pt idx="2180">
                  <c:v>45560</c:v>
                </c:pt>
                <c:pt idx="2181">
                  <c:v>45561</c:v>
                </c:pt>
                <c:pt idx="2182">
                  <c:v>45562</c:v>
                </c:pt>
                <c:pt idx="2183">
                  <c:v>45565</c:v>
                </c:pt>
                <c:pt idx="2184">
                  <c:v>45566</c:v>
                </c:pt>
                <c:pt idx="2185">
                  <c:v>45567</c:v>
                </c:pt>
                <c:pt idx="2186">
                  <c:v>45568</c:v>
                </c:pt>
                <c:pt idx="2187">
                  <c:v>45569</c:v>
                </c:pt>
                <c:pt idx="2188">
                  <c:v>45572</c:v>
                </c:pt>
                <c:pt idx="2189">
                  <c:v>45573</c:v>
                </c:pt>
                <c:pt idx="2190">
                  <c:v>45574</c:v>
                </c:pt>
                <c:pt idx="2191">
                  <c:v>45575</c:v>
                </c:pt>
                <c:pt idx="2192">
                  <c:v>45576</c:v>
                </c:pt>
                <c:pt idx="2193">
                  <c:v>45579</c:v>
                </c:pt>
                <c:pt idx="2194">
                  <c:v>45580</c:v>
                </c:pt>
                <c:pt idx="2195">
                  <c:v>45581</c:v>
                </c:pt>
                <c:pt idx="2196">
                  <c:v>45582</c:v>
                </c:pt>
                <c:pt idx="2197">
                  <c:v>45583</c:v>
                </c:pt>
                <c:pt idx="2198">
                  <c:v>45586</c:v>
                </c:pt>
                <c:pt idx="2199">
                  <c:v>45587</c:v>
                </c:pt>
                <c:pt idx="2200">
                  <c:v>45588</c:v>
                </c:pt>
                <c:pt idx="2201">
                  <c:v>45589</c:v>
                </c:pt>
                <c:pt idx="2202">
                  <c:v>45590</c:v>
                </c:pt>
                <c:pt idx="2203">
                  <c:v>45593</c:v>
                </c:pt>
                <c:pt idx="2204">
                  <c:v>45594</c:v>
                </c:pt>
                <c:pt idx="2205">
                  <c:v>45595</c:v>
                </c:pt>
                <c:pt idx="2206">
                  <c:v>45596</c:v>
                </c:pt>
                <c:pt idx="2207">
                  <c:v>45597</c:v>
                </c:pt>
                <c:pt idx="2208">
                  <c:v>45600</c:v>
                </c:pt>
                <c:pt idx="2209">
                  <c:v>45601</c:v>
                </c:pt>
                <c:pt idx="2210">
                  <c:v>45602</c:v>
                </c:pt>
                <c:pt idx="2211">
                  <c:v>45603</c:v>
                </c:pt>
                <c:pt idx="2212">
                  <c:v>45604</c:v>
                </c:pt>
                <c:pt idx="2213">
                  <c:v>45607</c:v>
                </c:pt>
                <c:pt idx="2214">
                  <c:v>45608</c:v>
                </c:pt>
                <c:pt idx="2215">
                  <c:v>45609</c:v>
                </c:pt>
                <c:pt idx="2216">
                  <c:v>45610</c:v>
                </c:pt>
                <c:pt idx="2217">
                  <c:v>45611</c:v>
                </c:pt>
                <c:pt idx="2218">
                  <c:v>45614</c:v>
                </c:pt>
                <c:pt idx="2219">
                  <c:v>45615</c:v>
                </c:pt>
                <c:pt idx="2220">
                  <c:v>45616</c:v>
                </c:pt>
                <c:pt idx="2221">
                  <c:v>45617</c:v>
                </c:pt>
                <c:pt idx="2222">
                  <c:v>45618</c:v>
                </c:pt>
                <c:pt idx="2223">
                  <c:v>45621</c:v>
                </c:pt>
                <c:pt idx="2224">
                  <c:v>45622</c:v>
                </c:pt>
                <c:pt idx="2225">
                  <c:v>45623</c:v>
                </c:pt>
                <c:pt idx="2226">
                  <c:v>45624</c:v>
                </c:pt>
                <c:pt idx="2227">
                  <c:v>45625</c:v>
                </c:pt>
                <c:pt idx="2228">
                  <c:v>45628</c:v>
                </c:pt>
                <c:pt idx="2229">
                  <c:v>45629</c:v>
                </c:pt>
                <c:pt idx="2230">
                  <c:v>45630</c:v>
                </c:pt>
                <c:pt idx="2231">
                  <c:v>45631</c:v>
                </c:pt>
                <c:pt idx="2232">
                  <c:v>45632</c:v>
                </c:pt>
                <c:pt idx="2233">
                  <c:v>45635</c:v>
                </c:pt>
                <c:pt idx="2234">
                  <c:v>45636</c:v>
                </c:pt>
                <c:pt idx="2235">
                  <c:v>45637</c:v>
                </c:pt>
                <c:pt idx="2236">
                  <c:v>45638</c:v>
                </c:pt>
                <c:pt idx="2237">
                  <c:v>45639</c:v>
                </c:pt>
                <c:pt idx="2238">
                  <c:v>45643</c:v>
                </c:pt>
                <c:pt idx="2239">
                  <c:v>45644</c:v>
                </c:pt>
                <c:pt idx="2240">
                  <c:v>45645</c:v>
                </c:pt>
                <c:pt idx="2241">
                  <c:v>45646</c:v>
                </c:pt>
                <c:pt idx="2242">
                  <c:v>45649</c:v>
                </c:pt>
                <c:pt idx="2243">
                  <c:v>45650</c:v>
                </c:pt>
                <c:pt idx="2244">
                  <c:v>45653</c:v>
                </c:pt>
                <c:pt idx="2245">
                  <c:v>45656</c:v>
                </c:pt>
                <c:pt idx="2246">
                  <c:v>45657</c:v>
                </c:pt>
                <c:pt idx="2247">
                  <c:v>45659</c:v>
                </c:pt>
                <c:pt idx="2248">
                  <c:v>45660</c:v>
                </c:pt>
                <c:pt idx="2249">
                  <c:v>45663</c:v>
                </c:pt>
                <c:pt idx="2250">
                  <c:v>45664</c:v>
                </c:pt>
                <c:pt idx="2251">
                  <c:v>45665</c:v>
                </c:pt>
                <c:pt idx="2252">
                  <c:v>45666</c:v>
                </c:pt>
                <c:pt idx="2253">
                  <c:v>45667</c:v>
                </c:pt>
                <c:pt idx="2254">
                  <c:v>45670</c:v>
                </c:pt>
                <c:pt idx="2255">
                  <c:v>45671</c:v>
                </c:pt>
                <c:pt idx="2256">
                  <c:v>45672</c:v>
                </c:pt>
                <c:pt idx="2257">
                  <c:v>45673</c:v>
                </c:pt>
                <c:pt idx="2258">
                  <c:v>45674</c:v>
                </c:pt>
                <c:pt idx="2259">
                  <c:v>45677</c:v>
                </c:pt>
                <c:pt idx="2260">
                  <c:v>45678</c:v>
                </c:pt>
                <c:pt idx="2261">
                  <c:v>45679</c:v>
                </c:pt>
                <c:pt idx="2262">
                  <c:v>45680</c:v>
                </c:pt>
                <c:pt idx="2263">
                  <c:v>45681</c:v>
                </c:pt>
                <c:pt idx="2264">
                  <c:v>45684</c:v>
                </c:pt>
                <c:pt idx="2265">
                  <c:v>45685</c:v>
                </c:pt>
                <c:pt idx="2266">
                  <c:v>45686</c:v>
                </c:pt>
                <c:pt idx="2267">
                  <c:v>45687</c:v>
                </c:pt>
                <c:pt idx="2268">
                  <c:v>45688</c:v>
                </c:pt>
                <c:pt idx="2269">
                  <c:v>45691</c:v>
                </c:pt>
                <c:pt idx="2270">
                  <c:v>45692</c:v>
                </c:pt>
                <c:pt idx="2271">
                  <c:v>45693</c:v>
                </c:pt>
                <c:pt idx="2272">
                  <c:v>45694</c:v>
                </c:pt>
                <c:pt idx="2273">
                  <c:v>45695</c:v>
                </c:pt>
                <c:pt idx="2274">
                  <c:v>45698</c:v>
                </c:pt>
                <c:pt idx="2275">
                  <c:v>45699</c:v>
                </c:pt>
                <c:pt idx="2276">
                  <c:v>45700</c:v>
                </c:pt>
                <c:pt idx="2277">
                  <c:v>45701</c:v>
                </c:pt>
                <c:pt idx="2278">
                  <c:v>45702</c:v>
                </c:pt>
                <c:pt idx="2279">
                  <c:v>45705</c:v>
                </c:pt>
                <c:pt idx="2280">
                  <c:v>45706</c:v>
                </c:pt>
                <c:pt idx="2281">
                  <c:v>45707</c:v>
                </c:pt>
                <c:pt idx="2282">
                  <c:v>45708</c:v>
                </c:pt>
                <c:pt idx="2283">
                  <c:v>45709</c:v>
                </c:pt>
                <c:pt idx="2284">
                  <c:v>45712</c:v>
                </c:pt>
                <c:pt idx="2285">
                  <c:v>45713</c:v>
                </c:pt>
                <c:pt idx="2286">
                  <c:v>45714</c:v>
                </c:pt>
                <c:pt idx="2287">
                  <c:v>45715</c:v>
                </c:pt>
                <c:pt idx="2288">
                  <c:v>45716</c:v>
                </c:pt>
                <c:pt idx="2289">
                  <c:v>45719</c:v>
                </c:pt>
                <c:pt idx="2290">
                  <c:v>45720</c:v>
                </c:pt>
                <c:pt idx="2291">
                  <c:v>45721</c:v>
                </c:pt>
                <c:pt idx="2292">
                  <c:v>45722</c:v>
                </c:pt>
                <c:pt idx="2293">
                  <c:v>45723</c:v>
                </c:pt>
                <c:pt idx="2294">
                  <c:v>45726</c:v>
                </c:pt>
                <c:pt idx="2295">
                  <c:v>45727</c:v>
                </c:pt>
                <c:pt idx="2296">
                  <c:v>45728</c:v>
                </c:pt>
                <c:pt idx="2297">
                  <c:v>45729</c:v>
                </c:pt>
                <c:pt idx="2298">
                  <c:v>45730</c:v>
                </c:pt>
                <c:pt idx="2299">
                  <c:v>45733</c:v>
                </c:pt>
                <c:pt idx="2300">
                  <c:v>45734</c:v>
                </c:pt>
                <c:pt idx="2301">
                  <c:v>45735</c:v>
                </c:pt>
                <c:pt idx="2302">
                  <c:v>45736</c:v>
                </c:pt>
                <c:pt idx="2303">
                  <c:v>45740</c:v>
                </c:pt>
                <c:pt idx="2304">
                  <c:v>45741</c:v>
                </c:pt>
                <c:pt idx="2305">
                  <c:v>45742</c:v>
                </c:pt>
                <c:pt idx="2306">
                  <c:v>45743</c:v>
                </c:pt>
                <c:pt idx="2307">
                  <c:v>45744</c:v>
                </c:pt>
                <c:pt idx="2308">
                  <c:v>45747</c:v>
                </c:pt>
                <c:pt idx="2309">
                  <c:v>45748</c:v>
                </c:pt>
                <c:pt idx="2310">
                  <c:v>45749</c:v>
                </c:pt>
                <c:pt idx="2311">
                  <c:v>45750</c:v>
                </c:pt>
                <c:pt idx="2312">
                  <c:v>45751</c:v>
                </c:pt>
                <c:pt idx="2313">
                  <c:v>45754</c:v>
                </c:pt>
                <c:pt idx="2314">
                  <c:v>45755</c:v>
                </c:pt>
                <c:pt idx="2315">
                  <c:v>45756</c:v>
                </c:pt>
                <c:pt idx="2316">
                  <c:v>45757</c:v>
                </c:pt>
                <c:pt idx="2317">
                  <c:v>45758</c:v>
                </c:pt>
                <c:pt idx="2318">
                  <c:v>45761</c:v>
                </c:pt>
                <c:pt idx="2319">
                  <c:v>45762</c:v>
                </c:pt>
                <c:pt idx="2320">
                  <c:v>45763</c:v>
                </c:pt>
                <c:pt idx="2321">
                  <c:v>45764</c:v>
                </c:pt>
                <c:pt idx="2322">
                  <c:v>45769</c:v>
                </c:pt>
                <c:pt idx="2323">
                  <c:v>45770</c:v>
                </c:pt>
                <c:pt idx="2324">
                  <c:v>45771</c:v>
                </c:pt>
                <c:pt idx="2325">
                  <c:v>45772</c:v>
                </c:pt>
                <c:pt idx="2326">
                  <c:v>45776</c:v>
                </c:pt>
                <c:pt idx="2327">
                  <c:v>45777</c:v>
                </c:pt>
                <c:pt idx="2328">
                  <c:v>45779</c:v>
                </c:pt>
                <c:pt idx="2329">
                  <c:v>45782</c:v>
                </c:pt>
                <c:pt idx="2330">
                  <c:v>45783</c:v>
                </c:pt>
                <c:pt idx="2331">
                  <c:v>45784</c:v>
                </c:pt>
                <c:pt idx="2332">
                  <c:v>45785</c:v>
                </c:pt>
                <c:pt idx="2333">
                  <c:v>45786</c:v>
                </c:pt>
                <c:pt idx="2334">
                  <c:v>45789</c:v>
                </c:pt>
                <c:pt idx="2335">
                  <c:v>45790</c:v>
                </c:pt>
                <c:pt idx="2336">
                  <c:v>45791</c:v>
                </c:pt>
                <c:pt idx="2337">
                  <c:v>45792</c:v>
                </c:pt>
                <c:pt idx="2338">
                  <c:v>45793</c:v>
                </c:pt>
                <c:pt idx="2339">
                  <c:v>45796</c:v>
                </c:pt>
                <c:pt idx="2340">
                  <c:v>45797</c:v>
                </c:pt>
                <c:pt idx="2341">
                  <c:v>45798</c:v>
                </c:pt>
                <c:pt idx="2342">
                  <c:v>45799</c:v>
                </c:pt>
                <c:pt idx="2343">
                  <c:v>45800</c:v>
                </c:pt>
                <c:pt idx="2344">
                  <c:v>45803</c:v>
                </c:pt>
                <c:pt idx="2345">
                  <c:v>45804</c:v>
                </c:pt>
                <c:pt idx="2346">
                  <c:v>45805</c:v>
                </c:pt>
                <c:pt idx="2347">
                  <c:v>45806</c:v>
                </c:pt>
                <c:pt idx="2348">
                  <c:v>45807</c:v>
                </c:pt>
                <c:pt idx="2349">
                  <c:v>45810</c:v>
                </c:pt>
                <c:pt idx="2350">
                  <c:v>45811</c:v>
                </c:pt>
                <c:pt idx="2351">
                  <c:v>45812</c:v>
                </c:pt>
                <c:pt idx="2352">
                  <c:v>45813</c:v>
                </c:pt>
                <c:pt idx="2353">
                  <c:v>45814</c:v>
                </c:pt>
                <c:pt idx="2354">
                  <c:v>45817</c:v>
                </c:pt>
                <c:pt idx="2355">
                  <c:v>45818</c:v>
                </c:pt>
                <c:pt idx="2356">
                  <c:v>45819</c:v>
                </c:pt>
                <c:pt idx="2357">
                  <c:v>45820</c:v>
                </c:pt>
                <c:pt idx="2358">
                  <c:v>45821</c:v>
                </c:pt>
                <c:pt idx="2359">
                  <c:v>45825</c:v>
                </c:pt>
                <c:pt idx="2360">
                  <c:v>45826</c:v>
                </c:pt>
                <c:pt idx="2361">
                  <c:v>45827</c:v>
                </c:pt>
                <c:pt idx="2362">
                  <c:v>45828</c:v>
                </c:pt>
                <c:pt idx="2363">
                  <c:v>45831</c:v>
                </c:pt>
                <c:pt idx="2364">
                  <c:v>45832</c:v>
                </c:pt>
                <c:pt idx="2365">
                  <c:v>45833</c:v>
                </c:pt>
                <c:pt idx="2366">
                  <c:v>45834</c:v>
                </c:pt>
                <c:pt idx="2367">
                  <c:v>45835</c:v>
                </c:pt>
                <c:pt idx="2368">
                  <c:v>45838</c:v>
                </c:pt>
                <c:pt idx="2369">
                  <c:v>45839</c:v>
                </c:pt>
                <c:pt idx="2370">
                  <c:v>45840</c:v>
                </c:pt>
                <c:pt idx="2371">
                  <c:v>45841</c:v>
                </c:pt>
                <c:pt idx="2372">
                  <c:v>45842</c:v>
                </c:pt>
                <c:pt idx="2373">
                  <c:v>45845</c:v>
                </c:pt>
                <c:pt idx="2374">
                  <c:v>45846</c:v>
                </c:pt>
                <c:pt idx="2375">
                  <c:v>45847</c:v>
                </c:pt>
                <c:pt idx="2376">
                  <c:v>45848</c:v>
                </c:pt>
                <c:pt idx="2377">
                  <c:v>45849</c:v>
                </c:pt>
                <c:pt idx="2378">
                  <c:v>45852</c:v>
                </c:pt>
                <c:pt idx="2379">
                  <c:v>45853</c:v>
                </c:pt>
                <c:pt idx="2380">
                  <c:v>45854</c:v>
                </c:pt>
                <c:pt idx="2381">
                  <c:v>45855</c:v>
                </c:pt>
                <c:pt idx="2382">
                  <c:v>45856</c:v>
                </c:pt>
                <c:pt idx="2383">
                  <c:v>45859</c:v>
                </c:pt>
                <c:pt idx="2384">
                  <c:v>45860</c:v>
                </c:pt>
                <c:pt idx="2385">
                  <c:v>45861</c:v>
                </c:pt>
                <c:pt idx="2386">
                  <c:v>45862</c:v>
                </c:pt>
                <c:pt idx="2387">
                  <c:v>45863</c:v>
                </c:pt>
                <c:pt idx="2388">
                  <c:v>45866</c:v>
                </c:pt>
                <c:pt idx="2389">
                  <c:v>45867</c:v>
                </c:pt>
                <c:pt idx="2390">
                  <c:v>45868</c:v>
                </c:pt>
                <c:pt idx="2391">
                  <c:v>45869</c:v>
                </c:pt>
                <c:pt idx="2392">
                  <c:v>45870</c:v>
                </c:pt>
                <c:pt idx="2393">
                  <c:v>45873</c:v>
                </c:pt>
                <c:pt idx="2394">
                  <c:v>45874</c:v>
                </c:pt>
                <c:pt idx="2395">
                  <c:v>45875</c:v>
                </c:pt>
                <c:pt idx="2396">
                  <c:v>45876</c:v>
                </c:pt>
                <c:pt idx="2397">
                  <c:v>45877</c:v>
                </c:pt>
                <c:pt idx="2398">
                  <c:v>45880</c:v>
                </c:pt>
                <c:pt idx="2399">
                  <c:v>45881</c:v>
                </c:pt>
                <c:pt idx="2400">
                  <c:v>45882</c:v>
                </c:pt>
                <c:pt idx="2401">
                  <c:v>45883</c:v>
                </c:pt>
                <c:pt idx="2402">
                  <c:v>45884</c:v>
                </c:pt>
                <c:pt idx="2403">
                  <c:v>45887</c:v>
                </c:pt>
                <c:pt idx="2404">
                  <c:v>45888</c:v>
                </c:pt>
                <c:pt idx="2405">
                  <c:v>45889</c:v>
                </c:pt>
                <c:pt idx="2406">
                  <c:v>45890</c:v>
                </c:pt>
                <c:pt idx="2407">
                  <c:v>45891</c:v>
                </c:pt>
                <c:pt idx="2408">
                  <c:v>45894</c:v>
                </c:pt>
                <c:pt idx="2409">
                  <c:v>45895</c:v>
                </c:pt>
                <c:pt idx="2410">
                  <c:v>45896</c:v>
                </c:pt>
                <c:pt idx="2411">
                  <c:v>45897</c:v>
                </c:pt>
                <c:pt idx="2412">
                  <c:v>45898</c:v>
                </c:pt>
                <c:pt idx="2413">
                  <c:v>45901</c:v>
                </c:pt>
                <c:pt idx="2414">
                  <c:v>45902</c:v>
                </c:pt>
                <c:pt idx="2415">
                  <c:v>45903</c:v>
                </c:pt>
                <c:pt idx="2416">
                  <c:v>45904</c:v>
                </c:pt>
                <c:pt idx="2417">
                  <c:v>45905</c:v>
                </c:pt>
                <c:pt idx="2418">
                  <c:v>45908</c:v>
                </c:pt>
                <c:pt idx="2419">
                  <c:v>45909</c:v>
                </c:pt>
                <c:pt idx="2420">
                  <c:v>45910</c:v>
                </c:pt>
                <c:pt idx="2421">
                  <c:v>45911</c:v>
                </c:pt>
                <c:pt idx="2422">
                  <c:v>45912</c:v>
                </c:pt>
                <c:pt idx="2423">
                  <c:v>45915</c:v>
                </c:pt>
                <c:pt idx="2424">
                  <c:v>45916</c:v>
                </c:pt>
                <c:pt idx="2425">
                  <c:v>45917</c:v>
                </c:pt>
                <c:pt idx="2426">
                  <c:v>45918</c:v>
                </c:pt>
                <c:pt idx="2427">
                  <c:v>45919</c:v>
                </c:pt>
                <c:pt idx="2428">
                  <c:v>45922</c:v>
                </c:pt>
                <c:pt idx="2429">
                  <c:v>45923</c:v>
                </c:pt>
                <c:pt idx="2430">
                  <c:v>45925</c:v>
                </c:pt>
                <c:pt idx="2431">
                  <c:v>45926</c:v>
                </c:pt>
                <c:pt idx="2432">
                  <c:v>45929</c:v>
                </c:pt>
                <c:pt idx="2433">
                  <c:v>45930</c:v>
                </c:pt>
                <c:pt idx="2434">
                  <c:v>45931</c:v>
                </c:pt>
                <c:pt idx="2435">
                  <c:v>45932</c:v>
                </c:pt>
                <c:pt idx="2436">
                  <c:v>45933</c:v>
                </c:pt>
                <c:pt idx="2437">
                  <c:v>45936</c:v>
                </c:pt>
                <c:pt idx="2438">
                  <c:v>45937</c:v>
                </c:pt>
                <c:pt idx="2439">
                  <c:v>45938</c:v>
                </c:pt>
                <c:pt idx="2440">
                  <c:v>45939</c:v>
                </c:pt>
                <c:pt idx="2441">
                  <c:v>45940</c:v>
                </c:pt>
                <c:pt idx="2442">
                  <c:v>45943</c:v>
                </c:pt>
                <c:pt idx="2443">
                  <c:v>45944</c:v>
                </c:pt>
                <c:pt idx="2444">
                  <c:v>45945</c:v>
                </c:pt>
                <c:pt idx="2445">
                  <c:v>45946</c:v>
                </c:pt>
                <c:pt idx="2446">
                  <c:v>45947</c:v>
                </c:pt>
                <c:pt idx="2447">
                  <c:v>45950</c:v>
                </c:pt>
                <c:pt idx="2448">
                  <c:v>45951</c:v>
                </c:pt>
                <c:pt idx="2449">
                  <c:v>45952</c:v>
                </c:pt>
                <c:pt idx="2450">
                  <c:v>45953</c:v>
                </c:pt>
                <c:pt idx="2451">
                  <c:v>45954</c:v>
                </c:pt>
                <c:pt idx="2452">
                  <c:v>45957</c:v>
                </c:pt>
                <c:pt idx="2453">
                  <c:v>45958</c:v>
                </c:pt>
                <c:pt idx="2454">
                  <c:v>45959</c:v>
                </c:pt>
                <c:pt idx="2455">
                  <c:v>45960</c:v>
                </c:pt>
                <c:pt idx="2456">
                  <c:v>45961</c:v>
                </c:pt>
                <c:pt idx="2457">
                  <c:v>45964</c:v>
                </c:pt>
                <c:pt idx="2458">
                  <c:v>45965</c:v>
                </c:pt>
                <c:pt idx="2459">
                  <c:v>45966</c:v>
                </c:pt>
                <c:pt idx="2460">
                  <c:v>45967</c:v>
                </c:pt>
                <c:pt idx="2461">
                  <c:v>45968</c:v>
                </c:pt>
                <c:pt idx="2462">
                  <c:v>45971</c:v>
                </c:pt>
                <c:pt idx="2463">
                  <c:v>45972</c:v>
                </c:pt>
                <c:pt idx="2464">
                  <c:v>45973</c:v>
                </c:pt>
                <c:pt idx="2465">
                  <c:v>45974</c:v>
                </c:pt>
                <c:pt idx="2466">
                  <c:v>45975</c:v>
                </c:pt>
                <c:pt idx="2467">
                  <c:v>45978</c:v>
                </c:pt>
                <c:pt idx="2468">
                  <c:v>45979</c:v>
                </c:pt>
                <c:pt idx="2469">
                  <c:v>45980</c:v>
                </c:pt>
                <c:pt idx="2470">
                  <c:v>45981</c:v>
                </c:pt>
                <c:pt idx="2471">
                  <c:v>45982</c:v>
                </c:pt>
                <c:pt idx="2472">
                  <c:v>45985</c:v>
                </c:pt>
                <c:pt idx="2473">
                  <c:v>45986</c:v>
                </c:pt>
                <c:pt idx="2474">
                  <c:v>45987</c:v>
                </c:pt>
                <c:pt idx="2475">
                  <c:v>45988</c:v>
                </c:pt>
                <c:pt idx="2476">
                  <c:v>45989</c:v>
                </c:pt>
                <c:pt idx="2477">
                  <c:v>45992</c:v>
                </c:pt>
                <c:pt idx="2478">
                  <c:v>45993</c:v>
                </c:pt>
                <c:pt idx="2479">
                  <c:v>45994</c:v>
                </c:pt>
                <c:pt idx="2480">
                  <c:v>45995</c:v>
                </c:pt>
                <c:pt idx="2481">
                  <c:v>45996</c:v>
                </c:pt>
                <c:pt idx="2482">
                  <c:v>45999</c:v>
                </c:pt>
                <c:pt idx="2483">
                  <c:v>46000</c:v>
                </c:pt>
                <c:pt idx="2484">
                  <c:v>46001</c:v>
                </c:pt>
                <c:pt idx="2485">
                  <c:v>46002</c:v>
                </c:pt>
                <c:pt idx="2486">
                  <c:v>46003</c:v>
                </c:pt>
                <c:pt idx="2487">
                  <c:v>46006</c:v>
                </c:pt>
                <c:pt idx="2488">
                  <c:v>46008</c:v>
                </c:pt>
                <c:pt idx="2489">
                  <c:v>46009</c:v>
                </c:pt>
                <c:pt idx="2490">
                  <c:v>46010</c:v>
                </c:pt>
                <c:pt idx="2491">
                  <c:v>46013</c:v>
                </c:pt>
                <c:pt idx="2492">
                  <c:v>46014</c:v>
                </c:pt>
                <c:pt idx="2493">
                  <c:v>46015</c:v>
                </c:pt>
                <c:pt idx="2494">
                  <c:v>46020</c:v>
                </c:pt>
                <c:pt idx="2495">
                  <c:v>46021</c:v>
                </c:pt>
                <c:pt idx="2496">
                  <c:v>46022</c:v>
                </c:pt>
                <c:pt idx="2497">
                  <c:v>46024</c:v>
                </c:pt>
                <c:pt idx="2498">
                  <c:v>46027</c:v>
                </c:pt>
                <c:pt idx="2499">
                  <c:v>46028</c:v>
                </c:pt>
                <c:pt idx="2500">
                  <c:v>46029</c:v>
                </c:pt>
                <c:pt idx="2501">
                  <c:v>46030</c:v>
                </c:pt>
                <c:pt idx="2502">
                  <c:v>46031</c:v>
                </c:pt>
                <c:pt idx="2503">
                  <c:v>46034</c:v>
                </c:pt>
                <c:pt idx="2504">
                  <c:v>46035</c:v>
                </c:pt>
                <c:pt idx="2505">
                  <c:v>46036</c:v>
                </c:pt>
                <c:pt idx="2506">
                  <c:v>46037</c:v>
                </c:pt>
                <c:pt idx="2507">
                  <c:v>46038</c:v>
                </c:pt>
                <c:pt idx="2508">
                  <c:v>46041</c:v>
                </c:pt>
                <c:pt idx="2509">
                  <c:v>46042</c:v>
                </c:pt>
                <c:pt idx="2510">
                  <c:v>46043</c:v>
                </c:pt>
                <c:pt idx="2511">
                  <c:v>46044</c:v>
                </c:pt>
                <c:pt idx="2512">
                  <c:v>46045</c:v>
                </c:pt>
                <c:pt idx="2513">
                  <c:v>46048</c:v>
                </c:pt>
                <c:pt idx="2514">
                  <c:v>46049</c:v>
                </c:pt>
                <c:pt idx="2515">
                  <c:v>46050</c:v>
                </c:pt>
                <c:pt idx="2516">
                  <c:v>46051</c:v>
                </c:pt>
                <c:pt idx="2517">
                  <c:v>46052</c:v>
                </c:pt>
                <c:pt idx="2518">
                  <c:v>46055</c:v>
                </c:pt>
                <c:pt idx="2519">
                  <c:v>46056</c:v>
                </c:pt>
                <c:pt idx="2520">
                  <c:v>46057</c:v>
                </c:pt>
                <c:pt idx="2521">
                  <c:v>46058</c:v>
                </c:pt>
                <c:pt idx="2522">
                  <c:v>46059</c:v>
                </c:pt>
                <c:pt idx="2523">
                  <c:v>46062</c:v>
                </c:pt>
                <c:pt idx="2524">
                  <c:v>46063</c:v>
                </c:pt>
                <c:pt idx="2525">
                  <c:v>46064</c:v>
                </c:pt>
                <c:pt idx="2526">
                  <c:v>46065</c:v>
                </c:pt>
                <c:pt idx="2527">
                  <c:v>46066</c:v>
                </c:pt>
                <c:pt idx="2528">
                  <c:v>46069</c:v>
                </c:pt>
                <c:pt idx="2529">
                  <c:v>46070</c:v>
                </c:pt>
                <c:pt idx="2530">
                  <c:v>46071</c:v>
                </c:pt>
                <c:pt idx="2531">
                  <c:v>46072</c:v>
                </c:pt>
                <c:pt idx="2532">
                  <c:v>46073</c:v>
                </c:pt>
                <c:pt idx="2533">
                  <c:v>46076</c:v>
                </c:pt>
                <c:pt idx="2534">
                  <c:v>46077</c:v>
                </c:pt>
                <c:pt idx="2535">
                  <c:v>46078</c:v>
                </c:pt>
                <c:pt idx="2536">
                  <c:v>46079</c:v>
                </c:pt>
                <c:pt idx="2537">
                  <c:v>46080</c:v>
                </c:pt>
                <c:pt idx="2538">
                  <c:v>46083</c:v>
                </c:pt>
                <c:pt idx="2539">
                  <c:v>46084</c:v>
                </c:pt>
                <c:pt idx="2540">
                  <c:v>46085</c:v>
                </c:pt>
                <c:pt idx="2541">
                  <c:v>46086</c:v>
                </c:pt>
                <c:pt idx="2542">
                  <c:v>46087</c:v>
                </c:pt>
                <c:pt idx="2543">
                  <c:v>46090</c:v>
                </c:pt>
                <c:pt idx="2544">
                  <c:v>46091</c:v>
                </c:pt>
                <c:pt idx="2545">
                  <c:v>46092</c:v>
                </c:pt>
                <c:pt idx="2546">
                  <c:v>46093</c:v>
                </c:pt>
                <c:pt idx="2547">
                  <c:v>46094</c:v>
                </c:pt>
                <c:pt idx="2548">
                  <c:v>46097</c:v>
                </c:pt>
                <c:pt idx="2549">
                  <c:v>46098</c:v>
                </c:pt>
                <c:pt idx="2550">
                  <c:v>46099</c:v>
                </c:pt>
                <c:pt idx="2551">
                  <c:v>46100</c:v>
                </c:pt>
                <c:pt idx="2552">
                  <c:v>46101</c:v>
                </c:pt>
                <c:pt idx="2553">
                  <c:v>46104</c:v>
                </c:pt>
                <c:pt idx="2554">
                  <c:v>46105</c:v>
                </c:pt>
                <c:pt idx="2555">
                  <c:v>46106</c:v>
                </c:pt>
                <c:pt idx="2556">
                  <c:v>46107</c:v>
                </c:pt>
                <c:pt idx="2557">
                  <c:v>46108</c:v>
                </c:pt>
                <c:pt idx="2558">
                  <c:v>46111</c:v>
                </c:pt>
                <c:pt idx="2559">
                  <c:v>46112</c:v>
                </c:pt>
                <c:pt idx="2560">
                  <c:v>46113</c:v>
                </c:pt>
                <c:pt idx="2561">
                  <c:v>46114</c:v>
                </c:pt>
                <c:pt idx="2562">
                  <c:v>46119</c:v>
                </c:pt>
                <c:pt idx="2563">
                  <c:v>46120</c:v>
                </c:pt>
                <c:pt idx="2564">
                  <c:v>46121</c:v>
                </c:pt>
                <c:pt idx="2565">
                  <c:v>46122</c:v>
                </c:pt>
                <c:pt idx="2566">
                  <c:v>46125</c:v>
                </c:pt>
                <c:pt idx="2567">
                  <c:v>46126</c:v>
                </c:pt>
                <c:pt idx="2568">
                  <c:v>46127</c:v>
                </c:pt>
                <c:pt idx="2569">
                  <c:v>46128</c:v>
                </c:pt>
                <c:pt idx="2570">
                  <c:v>46129</c:v>
                </c:pt>
                <c:pt idx="2571">
                  <c:v>46132</c:v>
                </c:pt>
                <c:pt idx="2572">
                  <c:v>46133</c:v>
                </c:pt>
                <c:pt idx="2573">
                  <c:v>46134</c:v>
                </c:pt>
                <c:pt idx="2574">
                  <c:v>46135</c:v>
                </c:pt>
                <c:pt idx="2575">
                  <c:v>46136</c:v>
                </c:pt>
                <c:pt idx="2576">
                  <c:v>46140</c:v>
                </c:pt>
                <c:pt idx="2577">
                  <c:v>46141</c:v>
                </c:pt>
                <c:pt idx="2578">
                  <c:v>46142</c:v>
                </c:pt>
                <c:pt idx="2579">
                  <c:v>46146</c:v>
                </c:pt>
                <c:pt idx="2580">
                  <c:v>46147</c:v>
                </c:pt>
                <c:pt idx="2581">
                  <c:v>46148</c:v>
                </c:pt>
                <c:pt idx="2582">
                  <c:v>46149</c:v>
                </c:pt>
                <c:pt idx="2583">
                  <c:v>46150</c:v>
                </c:pt>
                <c:pt idx="2584">
                  <c:v>46153</c:v>
                </c:pt>
                <c:pt idx="2585">
                  <c:v>46154</c:v>
                </c:pt>
                <c:pt idx="2586">
                  <c:v>46155</c:v>
                </c:pt>
                <c:pt idx="2587">
                  <c:v>46156</c:v>
                </c:pt>
                <c:pt idx="2588">
                  <c:v>46157</c:v>
                </c:pt>
                <c:pt idx="2589">
                  <c:v>46160</c:v>
                </c:pt>
                <c:pt idx="2590">
                  <c:v>46161</c:v>
                </c:pt>
                <c:pt idx="2591">
                  <c:v>46162</c:v>
                </c:pt>
                <c:pt idx="2592">
                  <c:v>46163</c:v>
                </c:pt>
                <c:pt idx="2593">
                  <c:v>46164</c:v>
                </c:pt>
                <c:pt idx="2594">
                  <c:v>46167</c:v>
                </c:pt>
                <c:pt idx="2595">
                  <c:v>46168</c:v>
                </c:pt>
                <c:pt idx="2596">
                  <c:v>46169</c:v>
                </c:pt>
                <c:pt idx="2597">
                  <c:v>46170</c:v>
                </c:pt>
                <c:pt idx="2598">
                  <c:v>46171</c:v>
                </c:pt>
                <c:pt idx="2599">
                  <c:v>46174</c:v>
                </c:pt>
                <c:pt idx="2600">
                  <c:v>46175</c:v>
                </c:pt>
                <c:pt idx="2601">
                  <c:v>46176</c:v>
                </c:pt>
              </c:numCache>
            </c:numRef>
          </c:cat>
          <c:val>
            <c:numRef>
              <c:f>'FTSE_JSE All Share Historical D'!$C$2:$C$2603</c:f>
              <c:numCache>
                <c:formatCode>General</c:formatCode>
                <c:ptCount val="2602"/>
                <c:pt idx="0">
                  <c:v>113596.87</c:v>
                </c:pt>
                <c:pt idx="1">
                  <c:v>114006.15</c:v>
                </c:pt>
                <c:pt idx="2">
                  <c:v>112032.26</c:v>
                </c:pt>
                <c:pt idx="3">
                  <c:v>114632.29</c:v>
                </c:pt>
                <c:pt idx="4">
                  <c:v>115096.47</c:v>
                </c:pt>
                <c:pt idx="5">
                  <c:v>115426.89</c:v>
                </c:pt>
                <c:pt idx="6">
                  <c:v>115818.32</c:v>
                </c:pt>
                <c:pt idx="7">
                  <c:v>115994.17</c:v>
                </c:pt>
                <c:pt idx="8">
                  <c:v>113215.96</c:v>
                </c:pt>
                <c:pt idx="9">
                  <c:v>114052.91</c:v>
                </c:pt>
                <c:pt idx="10">
                  <c:v>114634.05</c:v>
                </c:pt>
                <c:pt idx="11">
                  <c:v>113654.22</c:v>
                </c:pt>
                <c:pt idx="12">
                  <c:v>114913.2</c:v>
                </c:pt>
                <c:pt idx="13">
                  <c:v>114544.37</c:v>
                </c:pt>
                <c:pt idx="14">
                  <c:v>117362.4</c:v>
                </c:pt>
                <c:pt idx="15">
                  <c:v>117380.17</c:v>
                </c:pt>
                <c:pt idx="16">
                  <c:v>116762.58</c:v>
                </c:pt>
                <c:pt idx="17">
                  <c:v>118443.05</c:v>
                </c:pt>
                <c:pt idx="18">
                  <c:v>117888.93</c:v>
                </c:pt>
                <c:pt idx="19">
                  <c:v>119153.9</c:v>
                </c:pt>
                <c:pt idx="20">
                  <c:v>119165.54</c:v>
                </c:pt>
                <c:pt idx="21">
                  <c:v>115017.05</c:v>
                </c:pt>
                <c:pt idx="22">
                  <c:v>114660.79</c:v>
                </c:pt>
                <c:pt idx="23">
                  <c:v>115180.53</c:v>
                </c:pt>
                <c:pt idx="24">
                  <c:v>113865.92</c:v>
                </c:pt>
                <c:pt idx="25">
                  <c:v>114400.33</c:v>
                </c:pt>
                <c:pt idx="26">
                  <c:v>116565.97</c:v>
                </c:pt>
                <c:pt idx="27">
                  <c:v>116449.09</c:v>
                </c:pt>
                <c:pt idx="28">
                  <c:v>118068.33</c:v>
                </c:pt>
                <c:pt idx="29">
                  <c:v>118412.24</c:v>
                </c:pt>
                <c:pt idx="30">
                  <c:v>120005.25</c:v>
                </c:pt>
                <c:pt idx="31">
                  <c:v>121249.37</c:v>
                </c:pt>
                <c:pt idx="32">
                  <c:v>118718.54</c:v>
                </c:pt>
                <c:pt idx="33">
                  <c:v>119353.22</c:v>
                </c:pt>
                <c:pt idx="34">
                  <c:v>119795.83</c:v>
                </c:pt>
                <c:pt idx="35">
                  <c:v>118486.97</c:v>
                </c:pt>
                <c:pt idx="36">
                  <c:v>119025.13</c:v>
                </c:pt>
                <c:pt idx="37">
                  <c:v>118205.04</c:v>
                </c:pt>
                <c:pt idx="38">
                  <c:v>119524.15</c:v>
                </c:pt>
                <c:pt idx="39">
                  <c:v>114967.7</c:v>
                </c:pt>
                <c:pt idx="40">
                  <c:v>116122.75</c:v>
                </c:pt>
                <c:pt idx="41">
                  <c:v>116600.36</c:v>
                </c:pt>
                <c:pt idx="42">
                  <c:v>114067.56</c:v>
                </c:pt>
                <c:pt idx="43">
                  <c:v>112418.36</c:v>
                </c:pt>
                <c:pt idx="44">
                  <c:v>111777.98</c:v>
                </c:pt>
                <c:pt idx="45">
                  <c:v>112847.23</c:v>
                </c:pt>
                <c:pt idx="46">
                  <c:v>114312.68</c:v>
                </c:pt>
                <c:pt idx="47">
                  <c:v>110804.74</c:v>
                </c:pt>
                <c:pt idx="48">
                  <c:v>110460.06</c:v>
                </c:pt>
                <c:pt idx="49">
                  <c:v>110070.23</c:v>
                </c:pt>
                <c:pt idx="50">
                  <c:v>110572.12</c:v>
                </c:pt>
                <c:pt idx="51">
                  <c:v>113709.75999999999</c:v>
                </c:pt>
                <c:pt idx="52">
                  <c:v>117252.45</c:v>
                </c:pt>
                <c:pt idx="53">
                  <c:v>116562.25</c:v>
                </c:pt>
                <c:pt idx="54">
                  <c:v>114924.21</c:v>
                </c:pt>
                <c:pt idx="55">
                  <c:v>116948.44</c:v>
                </c:pt>
                <c:pt idx="56">
                  <c:v>117398.52</c:v>
                </c:pt>
                <c:pt idx="57">
                  <c:v>119606.91</c:v>
                </c:pt>
                <c:pt idx="58">
                  <c:v>116785.77</c:v>
                </c:pt>
                <c:pt idx="59">
                  <c:v>116583.41</c:v>
                </c:pt>
                <c:pt idx="60">
                  <c:v>120167.42</c:v>
                </c:pt>
                <c:pt idx="61">
                  <c:v>121114.33</c:v>
                </c:pt>
                <c:pt idx="62">
                  <c:v>119962.82</c:v>
                </c:pt>
                <c:pt idx="63">
                  <c:v>126991</c:v>
                </c:pt>
                <c:pt idx="64">
                  <c:v>128455.67999999999</c:v>
                </c:pt>
                <c:pt idx="65">
                  <c:v>126583.84</c:v>
                </c:pt>
                <c:pt idx="66">
                  <c:v>126742.36</c:v>
                </c:pt>
                <c:pt idx="67">
                  <c:v>125162.06</c:v>
                </c:pt>
                <c:pt idx="68">
                  <c:v>125052.11</c:v>
                </c:pt>
                <c:pt idx="69">
                  <c:v>123022.03</c:v>
                </c:pt>
                <c:pt idx="70">
                  <c:v>121844.58</c:v>
                </c:pt>
                <c:pt idx="71">
                  <c:v>122517.32</c:v>
                </c:pt>
                <c:pt idx="72">
                  <c:v>119410.04</c:v>
                </c:pt>
                <c:pt idx="73">
                  <c:v>120988.65</c:v>
                </c:pt>
                <c:pt idx="74">
                  <c:v>120584.07</c:v>
                </c:pt>
                <c:pt idx="75">
                  <c:v>122213.4</c:v>
                </c:pt>
                <c:pt idx="76">
                  <c:v>121752.86</c:v>
                </c:pt>
                <c:pt idx="77">
                  <c:v>120886.62</c:v>
                </c:pt>
                <c:pt idx="78">
                  <c:v>120276.83</c:v>
                </c:pt>
                <c:pt idx="79">
                  <c:v>120051.24</c:v>
                </c:pt>
                <c:pt idx="80">
                  <c:v>118539.92</c:v>
                </c:pt>
                <c:pt idx="81">
                  <c:v>120813.77</c:v>
                </c:pt>
                <c:pt idx="82">
                  <c:v>120516.3</c:v>
                </c:pt>
                <c:pt idx="83">
                  <c:v>118902.86</c:v>
                </c:pt>
                <c:pt idx="84">
                  <c:v>120045.73</c:v>
                </c:pt>
                <c:pt idx="85">
                  <c:v>125249.08</c:v>
                </c:pt>
                <c:pt idx="86">
                  <c:v>125069.19</c:v>
                </c:pt>
                <c:pt idx="87">
                  <c:v>123419.62</c:v>
                </c:pt>
                <c:pt idx="88">
                  <c:v>124563.48</c:v>
                </c:pt>
                <c:pt idx="89">
                  <c:v>122281.28</c:v>
                </c:pt>
                <c:pt idx="90">
                  <c:v>121501.68</c:v>
                </c:pt>
                <c:pt idx="91">
                  <c:v>120780.97</c:v>
                </c:pt>
                <c:pt idx="92">
                  <c:v>120534.39999999999</c:v>
                </c:pt>
                <c:pt idx="93">
                  <c:v>120116.38</c:v>
                </c:pt>
                <c:pt idx="94">
                  <c:v>120169.74</c:v>
                </c:pt>
                <c:pt idx="95">
                  <c:v>120870.11</c:v>
                </c:pt>
                <c:pt idx="96">
                  <c:v>120856.82</c:v>
                </c:pt>
                <c:pt idx="97">
                  <c:v>120964.38</c:v>
                </c:pt>
                <c:pt idx="98">
                  <c:v>120148.14</c:v>
                </c:pt>
                <c:pt idx="99">
                  <c:v>118110.22</c:v>
                </c:pt>
                <c:pt idx="100">
                  <c:v>116989.26</c:v>
                </c:pt>
                <c:pt idx="101">
                  <c:v>117922.55</c:v>
                </c:pt>
                <c:pt idx="102">
                  <c:v>118722.83</c:v>
                </c:pt>
                <c:pt idx="103">
                  <c:v>116582.66</c:v>
                </c:pt>
                <c:pt idx="104">
                  <c:v>116091.98</c:v>
                </c:pt>
                <c:pt idx="105">
                  <c:v>115832.28</c:v>
                </c:pt>
                <c:pt idx="106">
                  <c:v>116501.18</c:v>
                </c:pt>
                <c:pt idx="107">
                  <c:v>116047.93</c:v>
                </c:pt>
                <c:pt idx="108">
                  <c:v>117085.45</c:v>
                </c:pt>
                <c:pt idx="109">
                  <c:v>116602.49</c:v>
                </c:pt>
                <c:pt idx="110">
                  <c:v>115909.65</c:v>
                </c:pt>
                <c:pt idx="111">
                  <c:v>114849.89</c:v>
                </c:pt>
                <c:pt idx="112">
                  <c:v>114515.83</c:v>
                </c:pt>
                <c:pt idx="113">
                  <c:v>114044.15</c:v>
                </c:pt>
                <c:pt idx="114">
                  <c:v>112863.01</c:v>
                </c:pt>
                <c:pt idx="115">
                  <c:v>113301.77</c:v>
                </c:pt>
                <c:pt idx="116">
                  <c:v>112123.6</c:v>
                </c:pt>
                <c:pt idx="117">
                  <c:v>111042.85</c:v>
                </c:pt>
                <c:pt idx="118">
                  <c:v>110730.56</c:v>
                </c:pt>
                <c:pt idx="119">
                  <c:v>110827.39</c:v>
                </c:pt>
                <c:pt idx="120">
                  <c:v>112479.92</c:v>
                </c:pt>
                <c:pt idx="121">
                  <c:v>110924.74</c:v>
                </c:pt>
                <c:pt idx="122">
                  <c:v>111332.74</c:v>
                </c:pt>
                <c:pt idx="123">
                  <c:v>110836.89</c:v>
                </c:pt>
                <c:pt idx="124">
                  <c:v>111947.89</c:v>
                </c:pt>
                <c:pt idx="125">
                  <c:v>110958.51</c:v>
                </c:pt>
                <c:pt idx="126">
                  <c:v>110567.85</c:v>
                </c:pt>
                <c:pt idx="127">
                  <c:v>111861.66</c:v>
                </c:pt>
                <c:pt idx="128">
                  <c:v>110295.21</c:v>
                </c:pt>
                <c:pt idx="129">
                  <c:v>110015.43</c:v>
                </c:pt>
                <c:pt idx="130">
                  <c:v>109641.33</c:v>
                </c:pt>
                <c:pt idx="131">
                  <c:v>111896.75</c:v>
                </c:pt>
                <c:pt idx="132">
                  <c:v>112019.34</c:v>
                </c:pt>
                <c:pt idx="133">
                  <c:v>110391.91</c:v>
                </c:pt>
                <c:pt idx="134">
                  <c:v>112314.18</c:v>
                </c:pt>
                <c:pt idx="135">
                  <c:v>111973.21</c:v>
                </c:pt>
                <c:pt idx="136">
                  <c:v>114045.55</c:v>
                </c:pt>
                <c:pt idx="137">
                  <c:v>112908.47</c:v>
                </c:pt>
                <c:pt idx="138">
                  <c:v>111187.24</c:v>
                </c:pt>
                <c:pt idx="139">
                  <c:v>110841.60000000001</c:v>
                </c:pt>
                <c:pt idx="140">
                  <c:v>108846.44</c:v>
                </c:pt>
                <c:pt idx="141">
                  <c:v>110100.53</c:v>
                </c:pt>
                <c:pt idx="142">
                  <c:v>108795.92</c:v>
                </c:pt>
                <c:pt idx="143">
                  <c:v>107381.91</c:v>
                </c:pt>
                <c:pt idx="144">
                  <c:v>109080.93</c:v>
                </c:pt>
                <c:pt idx="145">
                  <c:v>109243.56</c:v>
                </c:pt>
                <c:pt idx="146">
                  <c:v>109669.78</c:v>
                </c:pt>
                <c:pt idx="147">
                  <c:v>110371.25</c:v>
                </c:pt>
                <c:pt idx="148">
                  <c:v>109818.48</c:v>
                </c:pt>
                <c:pt idx="149">
                  <c:v>108707.33</c:v>
                </c:pt>
                <c:pt idx="150">
                  <c:v>110443.73</c:v>
                </c:pt>
                <c:pt idx="151">
                  <c:v>110742.69</c:v>
                </c:pt>
                <c:pt idx="152">
                  <c:v>108837.14</c:v>
                </c:pt>
                <c:pt idx="153">
                  <c:v>108902</c:v>
                </c:pt>
                <c:pt idx="154">
                  <c:v>111325.7</c:v>
                </c:pt>
                <c:pt idx="155">
                  <c:v>110736.11</c:v>
                </c:pt>
                <c:pt idx="156">
                  <c:v>113024.09</c:v>
                </c:pt>
                <c:pt idx="157">
                  <c:v>111634.6</c:v>
                </c:pt>
                <c:pt idx="158">
                  <c:v>110875.39</c:v>
                </c:pt>
                <c:pt idx="159">
                  <c:v>111028.82</c:v>
                </c:pt>
                <c:pt idx="160">
                  <c:v>110022.75</c:v>
                </c:pt>
                <c:pt idx="161">
                  <c:v>110243.26</c:v>
                </c:pt>
                <c:pt idx="162">
                  <c:v>110970.72</c:v>
                </c:pt>
                <c:pt idx="163">
                  <c:v>109448.89</c:v>
                </c:pt>
                <c:pt idx="164">
                  <c:v>109925.94</c:v>
                </c:pt>
                <c:pt idx="165">
                  <c:v>109778.12</c:v>
                </c:pt>
                <c:pt idx="166">
                  <c:v>108089.86</c:v>
                </c:pt>
                <c:pt idx="167">
                  <c:v>108649.81</c:v>
                </c:pt>
                <c:pt idx="168">
                  <c:v>107940.48</c:v>
                </c:pt>
                <c:pt idx="169">
                  <c:v>107243.58</c:v>
                </c:pt>
                <c:pt idx="170">
                  <c:v>106700.14</c:v>
                </c:pt>
                <c:pt idx="171">
                  <c:v>105803.18</c:v>
                </c:pt>
                <c:pt idx="172">
                  <c:v>106693.24</c:v>
                </c:pt>
                <c:pt idx="173">
                  <c:v>105963.07</c:v>
                </c:pt>
                <c:pt idx="174">
                  <c:v>106110.83</c:v>
                </c:pt>
                <c:pt idx="175">
                  <c:v>105422.83</c:v>
                </c:pt>
                <c:pt idx="176">
                  <c:v>105367.88</c:v>
                </c:pt>
                <c:pt idx="177">
                  <c:v>104884.98</c:v>
                </c:pt>
                <c:pt idx="178">
                  <c:v>104675.38</c:v>
                </c:pt>
                <c:pt idx="179">
                  <c:v>104458.36</c:v>
                </c:pt>
                <c:pt idx="180">
                  <c:v>103927.36</c:v>
                </c:pt>
                <c:pt idx="181">
                  <c:v>103587.74</c:v>
                </c:pt>
                <c:pt idx="182">
                  <c:v>103227.66</c:v>
                </c:pt>
                <c:pt idx="183">
                  <c:v>102771.76</c:v>
                </c:pt>
                <c:pt idx="184">
                  <c:v>101532.28</c:v>
                </c:pt>
                <c:pt idx="185">
                  <c:v>100432.95</c:v>
                </c:pt>
                <c:pt idx="186">
                  <c:v>101514.87</c:v>
                </c:pt>
                <c:pt idx="187">
                  <c:v>101167.18</c:v>
                </c:pt>
                <c:pt idx="188">
                  <c:v>101899</c:v>
                </c:pt>
                <c:pt idx="189">
                  <c:v>101835.59</c:v>
                </c:pt>
                <c:pt idx="190">
                  <c:v>101858.9</c:v>
                </c:pt>
                <c:pt idx="191">
                  <c:v>102006.75</c:v>
                </c:pt>
                <c:pt idx="192">
                  <c:v>102433.16</c:v>
                </c:pt>
                <c:pt idx="193">
                  <c:v>102978.47</c:v>
                </c:pt>
                <c:pt idx="194">
                  <c:v>102723.5</c:v>
                </c:pt>
                <c:pt idx="195">
                  <c:v>101750.49</c:v>
                </c:pt>
                <c:pt idx="196">
                  <c:v>101055.87</c:v>
                </c:pt>
                <c:pt idx="197">
                  <c:v>101196.15</c:v>
                </c:pt>
                <c:pt idx="198">
                  <c:v>101142.62</c:v>
                </c:pt>
                <c:pt idx="199">
                  <c:v>101950.32</c:v>
                </c:pt>
                <c:pt idx="200">
                  <c:v>101993.04</c:v>
                </c:pt>
                <c:pt idx="201">
                  <c:v>102278.42</c:v>
                </c:pt>
                <c:pt idx="202">
                  <c:v>101271.16</c:v>
                </c:pt>
                <c:pt idx="203">
                  <c:v>100630.37</c:v>
                </c:pt>
                <c:pt idx="204">
                  <c:v>100855.21</c:v>
                </c:pt>
                <c:pt idx="205">
                  <c:v>100643.36</c:v>
                </c:pt>
                <c:pt idx="206">
                  <c:v>100152.77</c:v>
                </c:pt>
                <c:pt idx="207">
                  <c:v>99674.14</c:v>
                </c:pt>
                <c:pt idx="208">
                  <c:v>99312.06</c:v>
                </c:pt>
                <c:pt idx="209">
                  <c:v>97744.15</c:v>
                </c:pt>
                <c:pt idx="210">
                  <c:v>98519.51</c:v>
                </c:pt>
                <c:pt idx="211">
                  <c:v>99314.7</c:v>
                </c:pt>
                <c:pt idx="212">
                  <c:v>99165.06</c:v>
                </c:pt>
                <c:pt idx="213">
                  <c:v>98696.39</c:v>
                </c:pt>
                <c:pt idx="214">
                  <c:v>98918.87</c:v>
                </c:pt>
                <c:pt idx="215">
                  <c:v>99971.12</c:v>
                </c:pt>
                <c:pt idx="216">
                  <c:v>100179.84</c:v>
                </c:pt>
                <c:pt idx="217">
                  <c:v>99324.53</c:v>
                </c:pt>
                <c:pt idx="218">
                  <c:v>99653.78</c:v>
                </c:pt>
                <c:pt idx="219">
                  <c:v>98687.07</c:v>
                </c:pt>
                <c:pt idx="220">
                  <c:v>97353.34</c:v>
                </c:pt>
                <c:pt idx="221">
                  <c:v>97064.25</c:v>
                </c:pt>
                <c:pt idx="222">
                  <c:v>97019.36</c:v>
                </c:pt>
                <c:pt idx="223">
                  <c:v>96799.66</c:v>
                </c:pt>
                <c:pt idx="224">
                  <c:v>97221.58</c:v>
                </c:pt>
                <c:pt idx="225">
                  <c:v>97364.46</c:v>
                </c:pt>
                <c:pt idx="226">
                  <c:v>97230.02</c:v>
                </c:pt>
                <c:pt idx="227">
                  <c:v>97255.74</c:v>
                </c:pt>
                <c:pt idx="228">
                  <c:v>97363.36</c:v>
                </c:pt>
                <c:pt idx="229">
                  <c:v>97182.71</c:v>
                </c:pt>
                <c:pt idx="230">
                  <c:v>96937.03</c:v>
                </c:pt>
                <c:pt idx="231">
                  <c:v>96609.37</c:v>
                </c:pt>
                <c:pt idx="232">
                  <c:v>96911.35</c:v>
                </c:pt>
                <c:pt idx="233">
                  <c:v>96429.74</c:v>
                </c:pt>
                <c:pt idx="234">
                  <c:v>95862.28</c:v>
                </c:pt>
                <c:pt idx="235">
                  <c:v>95968.26</c:v>
                </c:pt>
                <c:pt idx="236">
                  <c:v>95311.22</c:v>
                </c:pt>
                <c:pt idx="237">
                  <c:v>95887.03</c:v>
                </c:pt>
                <c:pt idx="238">
                  <c:v>95128.2</c:v>
                </c:pt>
                <c:pt idx="239">
                  <c:v>94710.48</c:v>
                </c:pt>
                <c:pt idx="240">
                  <c:v>94914.7</c:v>
                </c:pt>
                <c:pt idx="241">
                  <c:v>94992.81</c:v>
                </c:pt>
                <c:pt idx="242">
                  <c:v>94657.07</c:v>
                </c:pt>
                <c:pt idx="243">
                  <c:v>95324.34</c:v>
                </c:pt>
                <c:pt idx="244">
                  <c:v>97029.34</c:v>
                </c:pt>
                <c:pt idx="245">
                  <c:v>96404.14</c:v>
                </c:pt>
                <c:pt idx="246">
                  <c:v>96657</c:v>
                </c:pt>
                <c:pt idx="247">
                  <c:v>96413.48</c:v>
                </c:pt>
                <c:pt idx="248">
                  <c:v>96366.080000000002</c:v>
                </c:pt>
                <c:pt idx="249">
                  <c:v>96411.77</c:v>
                </c:pt>
                <c:pt idx="250">
                  <c:v>95650.16</c:v>
                </c:pt>
                <c:pt idx="251">
                  <c:v>94882.3</c:v>
                </c:pt>
                <c:pt idx="252">
                  <c:v>95162.33</c:v>
                </c:pt>
                <c:pt idx="253">
                  <c:v>94330.84</c:v>
                </c:pt>
                <c:pt idx="254">
                  <c:v>94726.12</c:v>
                </c:pt>
                <c:pt idx="255">
                  <c:v>93868.87</c:v>
                </c:pt>
                <c:pt idx="256">
                  <c:v>93764.15</c:v>
                </c:pt>
                <c:pt idx="257">
                  <c:v>93724.31</c:v>
                </c:pt>
                <c:pt idx="258">
                  <c:v>93528.74</c:v>
                </c:pt>
                <c:pt idx="259">
                  <c:v>93135.11</c:v>
                </c:pt>
                <c:pt idx="260">
                  <c:v>93397.440000000002</c:v>
                </c:pt>
                <c:pt idx="261">
                  <c:v>92763.22</c:v>
                </c:pt>
                <c:pt idx="262">
                  <c:v>92492.11</c:v>
                </c:pt>
                <c:pt idx="263">
                  <c:v>92618.55</c:v>
                </c:pt>
                <c:pt idx="264">
                  <c:v>92338.44</c:v>
                </c:pt>
                <c:pt idx="265">
                  <c:v>92473.98</c:v>
                </c:pt>
                <c:pt idx="266">
                  <c:v>92638.8</c:v>
                </c:pt>
                <c:pt idx="267">
                  <c:v>92170.83</c:v>
                </c:pt>
                <c:pt idx="268">
                  <c:v>91861.21</c:v>
                </c:pt>
                <c:pt idx="269">
                  <c:v>90890.08</c:v>
                </c:pt>
                <c:pt idx="270">
                  <c:v>91496.59</c:v>
                </c:pt>
                <c:pt idx="271">
                  <c:v>92027.51</c:v>
                </c:pt>
                <c:pt idx="272">
                  <c:v>92063.06</c:v>
                </c:pt>
                <c:pt idx="273">
                  <c:v>92332.59</c:v>
                </c:pt>
                <c:pt idx="274">
                  <c:v>91583.39</c:v>
                </c:pt>
                <c:pt idx="275">
                  <c:v>91311.15</c:v>
                </c:pt>
                <c:pt idx="276">
                  <c:v>90720.33</c:v>
                </c:pt>
                <c:pt idx="277">
                  <c:v>90552.77</c:v>
                </c:pt>
                <c:pt idx="278">
                  <c:v>89846.81</c:v>
                </c:pt>
                <c:pt idx="279">
                  <c:v>89912</c:v>
                </c:pt>
                <c:pt idx="280">
                  <c:v>89486.79</c:v>
                </c:pt>
                <c:pt idx="281">
                  <c:v>89696.69</c:v>
                </c:pt>
                <c:pt idx="282">
                  <c:v>89521.8</c:v>
                </c:pt>
                <c:pt idx="283">
                  <c:v>88717.11</c:v>
                </c:pt>
                <c:pt idx="284">
                  <c:v>86406.46</c:v>
                </c:pt>
                <c:pt idx="285">
                  <c:v>86041.54</c:v>
                </c:pt>
                <c:pt idx="286">
                  <c:v>82485.81</c:v>
                </c:pt>
                <c:pt idx="287">
                  <c:v>84227.34</c:v>
                </c:pt>
                <c:pt idx="288">
                  <c:v>82161.52</c:v>
                </c:pt>
                <c:pt idx="289">
                  <c:v>81553.66</c:v>
                </c:pt>
                <c:pt idx="290">
                  <c:v>86082.52</c:v>
                </c:pt>
                <c:pt idx="291">
                  <c:v>89105.74</c:v>
                </c:pt>
                <c:pt idx="292">
                  <c:v>89950.79</c:v>
                </c:pt>
                <c:pt idx="293">
                  <c:v>88637.45</c:v>
                </c:pt>
                <c:pt idx="294">
                  <c:v>89572.58</c:v>
                </c:pt>
                <c:pt idx="295">
                  <c:v>89897.64</c:v>
                </c:pt>
                <c:pt idx="296">
                  <c:v>89926.53</c:v>
                </c:pt>
                <c:pt idx="297">
                  <c:v>89713.04</c:v>
                </c:pt>
                <c:pt idx="298">
                  <c:v>88985.61</c:v>
                </c:pt>
                <c:pt idx="299">
                  <c:v>89518.75</c:v>
                </c:pt>
                <c:pt idx="300">
                  <c:v>90149.69</c:v>
                </c:pt>
                <c:pt idx="301">
                  <c:v>88893.11</c:v>
                </c:pt>
                <c:pt idx="302">
                  <c:v>88525.1</c:v>
                </c:pt>
                <c:pt idx="303">
                  <c:v>87916.46</c:v>
                </c:pt>
                <c:pt idx="304">
                  <c:v>87067.75</c:v>
                </c:pt>
                <c:pt idx="305">
                  <c:v>86853.81</c:v>
                </c:pt>
                <c:pt idx="306">
                  <c:v>87091.04</c:v>
                </c:pt>
                <c:pt idx="307">
                  <c:v>87291.39</c:v>
                </c:pt>
                <c:pt idx="308">
                  <c:v>88570.16</c:v>
                </c:pt>
                <c:pt idx="309">
                  <c:v>88260.08</c:v>
                </c:pt>
                <c:pt idx="310">
                  <c:v>87717.58</c:v>
                </c:pt>
                <c:pt idx="311">
                  <c:v>86730.82</c:v>
                </c:pt>
                <c:pt idx="312">
                  <c:v>87564.82</c:v>
                </c:pt>
                <c:pt idx="313">
                  <c:v>85942.71</c:v>
                </c:pt>
                <c:pt idx="314">
                  <c:v>87325.35</c:v>
                </c:pt>
                <c:pt idx="315">
                  <c:v>88321.76</c:v>
                </c:pt>
                <c:pt idx="316">
                  <c:v>87753.79</c:v>
                </c:pt>
                <c:pt idx="317">
                  <c:v>87423.27</c:v>
                </c:pt>
                <c:pt idx="318">
                  <c:v>88913.81</c:v>
                </c:pt>
                <c:pt idx="319">
                  <c:v>88873.33</c:v>
                </c:pt>
                <c:pt idx="320">
                  <c:v>88341.89</c:v>
                </c:pt>
                <c:pt idx="321">
                  <c:v>89061.67</c:v>
                </c:pt>
                <c:pt idx="322">
                  <c:v>88399.57</c:v>
                </c:pt>
                <c:pt idx="323">
                  <c:v>88717.13</c:v>
                </c:pt>
                <c:pt idx="324">
                  <c:v>87841.46</c:v>
                </c:pt>
                <c:pt idx="325">
                  <c:v>87942.18</c:v>
                </c:pt>
                <c:pt idx="326">
                  <c:v>87562.74</c:v>
                </c:pt>
                <c:pt idx="327">
                  <c:v>87765.36</c:v>
                </c:pt>
                <c:pt idx="328">
                  <c:v>87474.49</c:v>
                </c:pt>
                <c:pt idx="329">
                  <c:v>87191.22</c:v>
                </c:pt>
                <c:pt idx="330">
                  <c:v>86610.7</c:v>
                </c:pt>
                <c:pt idx="331">
                  <c:v>86452.63</c:v>
                </c:pt>
                <c:pt idx="332">
                  <c:v>85490.14</c:v>
                </c:pt>
                <c:pt idx="333">
                  <c:v>85956.65</c:v>
                </c:pt>
                <c:pt idx="334">
                  <c:v>85685.49</c:v>
                </c:pt>
                <c:pt idx="335">
                  <c:v>85314.73</c:v>
                </c:pt>
                <c:pt idx="336">
                  <c:v>84447.75</c:v>
                </c:pt>
                <c:pt idx="337">
                  <c:v>84187.66</c:v>
                </c:pt>
                <c:pt idx="338">
                  <c:v>84290.99</c:v>
                </c:pt>
                <c:pt idx="339">
                  <c:v>83944.07</c:v>
                </c:pt>
                <c:pt idx="340">
                  <c:v>84654.64</c:v>
                </c:pt>
                <c:pt idx="341">
                  <c:v>84845.84</c:v>
                </c:pt>
                <c:pt idx="342">
                  <c:v>84733.17</c:v>
                </c:pt>
                <c:pt idx="343">
                  <c:v>84700.44</c:v>
                </c:pt>
                <c:pt idx="344">
                  <c:v>83658.720000000001</c:v>
                </c:pt>
                <c:pt idx="345">
                  <c:v>83515.289999999994</c:v>
                </c:pt>
                <c:pt idx="346">
                  <c:v>82123.89</c:v>
                </c:pt>
                <c:pt idx="347">
                  <c:v>82045.8</c:v>
                </c:pt>
                <c:pt idx="348">
                  <c:v>83466.58</c:v>
                </c:pt>
                <c:pt idx="349">
                  <c:v>83698.320000000007</c:v>
                </c:pt>
                <c:pt idx="350">
                  <c:v>83152.56</c:v>
                </c:pt>
                <c:pt idx="351">
                  <c:v>84141.54</c:v>
                </c:pt>
                <c:pt idx="352">
                  <c:v>84745.52</c:v>
                </c:pt>
                <c:pt idx="353">
                  <c:v>84711.8</c:v>
                </c:pt>
                <c:pt idx="354">
                  <c:v>84460.59</c:v>
                </c:pt>
                <c:pt idx="355">
                  <c:v>84095.14</c:v>
                </c:pt>
                <c:pt idx="356">
                  <c:v>83945.55</c:v>
                </c:pt>
                <c:pt idx="357">
                  <c:v>84736.18</c:v>
                </c:pt>
                <c:pt idx="358">
                  <c:v>84935.27</c:v>
                </c:pt>
                <c:pt idx="359">
                  <c:v>84712.320000000007</c:v>
                </c:pt>
                <c:pt idx="360">
                  <c:v>84603.29</c:v>
                </c:pt>
                <c:pt idx="361">
                  <c:v>84465.35</c:v>
                </c:pt>
                <c:pt idx="362">
                  <c:v>85599.84</c:v>
                </c:pt>
                <c:pt idx="363">
                  <c:v>85746.04</c:v>
                </c:pt>
                <c:pt idx="364">
                  <c:v>87129.65</c:v>
                </c:pt>
                <c:pt idx="365">
                  <c:v>86965.35</c:v>
                </c:pt>
                <c:pt idx="366">
                  <c:v>87115.95</c:v>
                </c:pt>
                <c:pt idx="367">
                  <c:v>87271.05</c:v>
                </c:pt>
                <c:pt idx="368">
                  <c:v>87642.76</c:v>
                </c:pt>
                <c:pt idx="369">
                  <c:v>86938.44</c:v>
                </c:pt>
                <c:pt idx="370">
                  <c:v>86846.42</c:v>
                </c:pt>
                <c:pt idx="371">
                  <c:v>86314.51</c:v>
                </c:pt>
                <c:pt idx="372">
                  <c:v>85818.8</c:v>
                </c:pt>
                <c:pt idx="373">
                  <c:v>85731.51</c:v>
                </c:pt>
                <c:pt idx="374">
                  <c:v>84510.44</c:v>
                </c:pt>
                <c:pt idx="375">
                  <c:v>84787.41</c:v>
                </c:pt>
                <c:pt idx="376">
                  <c:v>85102.34</c:v>
                </c:pt>
                <c:pt idx="377">
                  <c:v>85397.5</c:v>
                </c:pt>
                <c:pt idx="378">
                  <c:v>84875.24</c:v>
                </c:pt>
                <c:pt idx="379">
                  <c:v>85608.47</c:v>
                </c:pt>
                <c:pt idx="380">
                  <c:v>85522.57</c:v>
                </c:pt>
                <c:pt idx="381">
                  <c:v>85274.83</c:v>
                </c:pt>
                <c:pt idx="382">
                  <c:v>84526.75</c:v>
                </c:pt>
                <c:pt idx="383">
                  <c:v>84425</c:v>
                </c:pt>
                <c:pt idx="384">
                  <c:v>83872.740000000005</c:v>
                </c:pt>
                <c:pt idx="385">
                  <c:v>83834.31</c:v>
                </c:pt>
                <c:pt idx="386">
                  <c:v>83803.11</c:v>
                </c:pt>
                <c:pt idx="387">
                  <c:v>84201.75</c:v>
                </c:pt>
                <c:pt idx="388">
                  <c:v>84771.53</c:v>
                </c:pt>
                <c:pt idx="389">
                  <c:v>85124.52</c:v>
                </c:pt>
                <c:pt idx="390">
                  <c:v>85998.22</c:v>
                </c:pt>
                <c:pt idx="391">
                  <c:v>85329.75</c:v>
                </c:pt>
                <c:pt idx="392">
                  <c:v>86642.86</c:v>
                </c:pt>
                <c:pt idx="393">
                  <c:v>86223.6</c:v>
                </c:pt>
                <c:pt idx="394">
                  <c:v>86198.57</c:v>
                </c:pt>
                <c:pt idx="395">
                  <c:v>85384.82</c:v>
                </c:pt>
                <c:pt idx="396">
                  <c:v>86759.039999999994</c:v>
                </c:pt>
                <c:pt idx="397">
                  <c:v>87300.97</c:v>
                </c:pt>
                <c:pt idx="398">
                  <c:v>87643.65</c:v>
                </c:pt>
                <c:pt idx="399">
                  <c:v>87015.81</c:v>
                </c:pt>
                <c:pt idx="400">
                  <c:v>86937.24</c:v>
                </c:pt>
                <c:pt idx="401">
                  <c:v>86464.19</c:v>
                </c:pt>
                <c:pt idx="402">
                  <c:v>86752.88</c:v>
                </c:pt>
                <c:pt idx="403">
                  <c:v>87076.55</c:v>
                </c:pt>
                <c:pt idx="404">
                  <c:v>87201.49</c:v>
                </c:pt>
                <c:pt idx="405">
                  <c:v>86582.35</c:v>
                </c:pt>
                <c:pt idx="406">
                  <c:v>86393.01</c:v>
                </c:pt>
                <c:pt idx="407">
                  <c:v>85949.77</c:v>
                </c:pt>
                <c:pt idx="408">
                  <c:v>86398.66</c:v>
                </c:pt>
                <c:pt idx="409">
                  <c:v>86149.45</c:v>
                </c:pt>
                <c:pt idx="410">
                  <c:v>85392.82</c:v>
                </c:pt>
                <c:pt idx="411">
                  <c:v>85336.85</c:v>
                </c:pt>
                <c:pt idx="412">
                  <c:v>85491.22</c:v>
                </c:pt>
                <c:pt idx="413">
                  <c:v>86308.92</c:v>
                </c:pt>
                <c:pt idx="414">
                  <c:v>86332.42</c:v>
                </c:pt>
                <c:pt idx="415">
                  <c:v>86461.05</c:v>
                </c:pt>
                <c:pt idx="416">
                  <c:v>87115.22</c:v>
                </c:pt>
                <c:pt idx="417">
                  <c:v>86619.39</c:v>
                </c:pt>
                <c:pt idx="418">
                  <c:v>86548.42</c:v>
                </c:pt>
                <c:pt idx="419">
                  <c:v>87579.71</c:v>
                </c:pt>
                <c:pt idx="420">
                  <c:v>87327.21</c:v>
                </c:pt>
                <c:pt idx="421">
                  <c:v>85960.320000000007</c:v>
                </c:pt>
                <c:pt idx="422">
                  <c:v>84777.53</c:v>
                </c:pt>
                <c:pt idx="423">
                  <c:v>83829.990000000005</c:v>
                </c:pt>
                <c:pt idx="424">
                  <c:v>83760.08</c:v>
                </c:pt>
                <c:pt idx="425">
                  <c:v>82718.58</c:v>
                </c:pt>
                <c:pt idx="426">
                  <c:v>83032.710000000006</c:v>
                </c:pt>
                <c:pt idx="427">
                  <c:v>82007.34</c:v>
                </c:pt>
                <c:pt idx="428">
                  <c:v>81978.59</c:v>
                </c:pt>
                <c:pt idx="429">
                  <c:v>81668.39</c:v>
                </c:pt>
                <c:pt idx="430">
                  <c:v>80827.789999999994</c:v>
                </c:pt>
                <c:pt idx="431">
                  <c:v>81641.899999999994</c:v>
                </c:pt>
                <c:pt idx="432">
                  <c:v>81441.63</c:v>
                </c:pt>
                <c:pt idx="433">
                  <c:v>81364.89</c:v>
                </c:pt>
                <c:pt idx="434">
                  <c:v>82146.83</c:v>
                </c:pt>
                <c:pt idx="435">
                  <c:v>81915.38</c:v>
                </c:pt>
                <c:pt idx="436">
                  <c:v>82156.759999999995</c:v>
                </c:pt>
                <c:pt idx="437">
                  <c:v>83483.360000000001</c:v>
                </c:pt>
                <c:pt idx="438">
                  <c:v>83749.86</c:v>
                </c:pt>
                <c:pt idx="439">
                  <c:v>84239.42</c:v>
                </c:pt>
                <c:pt idx="440">
                  <c:v>84018.65</c:v>
                </c:pt>
                <c:pt idx="441">
                  <c:v>84553.54</c:v>
                </c:pt>
                <c:pt idx="442">
                  <c:v>84193.95</c:v>
                </c:pt>
                <c:pt idx="443">
                  <c:v>84351.57</c:v>
                </c:pt>
                <c:pt idx="444">
                  <c:v>83620.81</c:v>
                </c:pt>
                <c:pt idx="445">
                  <c:v>84026.18</c:v>
                </c:pt>
                <c:pt idx="446">
                  <c:v>83783.3</c:v>
                </c:pt>
                <c:pt idx="447">
                  <c:v>83799.3</c:v>
                </c:pt>
                <c:pt idx="448">
                  <c:v>82824.44</c:v>
                </c:pt>
                <c:pt idx="449">
                  <c:v>82226.429999999993</c:v>
                </c:pt>
                <c:pt idx="450">
                  <c:v>81402.320000000007</c:v>
                </c:pt>
                <c:pt idx="451">
                  <c:v>80956.22</c:v>
                </c:pt>
                <c:pt idx="452">
                  <c:v>80560.78</c:v>
                </c:pt>
                <c:pt idx="453">
                  <c:v>80739.31</c:v>
                </c:pt>
                <c:pt idx="454">
                  <c:v>80364.86</c:v>
                </c:pt>
                <c:pt idx="455">
                  <c:v>79430.05</c:v>
                </c:pt>
                <c:pt idx="456">
                  <c:v>79577.61</c:v>
                </c:pt>
                <c:pt idx="457">
                  <c:v>80538.570000000007</c:v>
                </c:pt>
                <c:pt idx="458">
                  <c:v>81868.820000000007</c:v>
                </c:pt>
                <c:pt idx="459">
                  <c:v>82765.119999999995</c:v>
                </c:pt>
                <c:pt idx="460">
                  <c:v>81198.64</c:v>
                </c:pt>
                <c:pt idx="461">
                  <c:v>81011.649999999994</c:v>
                </c:pt>
                <c:pt idx="462">
                  <c:v>81120.509999999995</c:v>
                </c:pt>
                <c:pt idx="463">
                  <c:v>80678.2</c:v>
                </c:pt>
                <c:pt idx="464">
                  <c:v>80595.14</c:v>
                </c:pt>
                <c:pt idx="465">
                  <c:v>80706.44</c:v>
                </c:pt>
                <c:pt idx="466">
                  <c:v>80492.09</c:v>
                </c:pt>
                <c:pt idx="467">
                  <c:v>79922.67</c:v>
                </c:pt>
                <c:pt idx="468">
                  <c:v>80334.259999999995</c:v>
                </c:pt>
                <c:pt idx="469">
                  <c:v>80452.58</c:v>
                </c:pt>
                <c:pt idx="470">
                  <c:v>81124.08</c:v>
                </c:pt>
                <c:pt idx="471">
                  <c:v>82154.070000000007</c:v>
                </c:pt>
                <c:pt idx="472">
                  <c:v>81686.490000000005</c:v>
                </c:pt>
                <c:pt idx="473">
                  <c:v>81093.990000000005</c:v>
                </c:pt>
                <c:pt idx="474">
                  <c:v>80445.31</c:v>
                </c:pt>
                <c:pt idx="475">
                  <c:v>80620.02</c:v>
                </c:pt>
                <c:pt idx="476">
                  <c:v>80783.509999999995</c:v>
                </c:pt>
                <c:pt idx="477">
                  <c:v>80797.38</c:v>
                </c:pt>
                <c:pt idx="478">
                  <c:v>81155.28</c:v>
                </c:pt>
                <c:pt idx="479">
                  <c:v>80772.78</c:v>
                </c:pt>
                <c:pt idx="480">
                  <c:v>79435.12</c:v>
                </c:pt>
                <c:pt idx="481">
                  <c:v>79853.83</c:v>
                </c:pt>
                <c:pt idx="482">
                  <c:v>79707.11</c:v>
                </c:pt>
                <c:pt idx="483">
                  <c:v>78969.33</c:v>
                </c:pt>
                <c:pt idx="484">
                  <c:v>79252.39</c:v>
                </c:pt>
                <c:pt idx="485">
                  <c:v>79577.570000000007</c:v>
                </c:pt>
                <c:pt idx="486">
                  <c:v>80263.14</c:v>
                </c:pt>
                <c:pt idx="487">
                  <c:v>79767.56</c:v>
                </c:pt>
                <c:pt idx="488">
                  <c:v>80073.05</c:v>
                </c:pt>
                <c:pt idx="489">
                  <c:v>80713.72</c:v>
                </c:pt>
                <c:pt idx="490">
                  <c:v>79748.83</c:v>
                </c:pt>
                <c:pt idx="491">
                  <c:v>77053.78</c:v>
                </c:pt>
                <c:pt idx="492">
                  <c:v>76382.02</c:v>
                </c:pt>
                <c:pt idx="493">
                  <c:v>77050.8</c:v>
                </c:pt>
                <c:pt idx="494">
                  <c:v>76077.3</c:v>
                </c:pt>
                <c:pt idx="495">
                  <c:v>76188.160000000003</c:v>
                </c:pt>
                <c:pt idx="496">
                  <c:v>76851.78</c:v>
                </c:pt>
                <c:pt idx="497">
                  <c:v>77123.64</c:v>
                </c:pt>
                <c:pt idx="498">
                  <c:v>76829.13</c:v>
                </c:pt>
                <c:pt idx="499">
                  <c:v>76832.740000000005</c:v>
                </c:pt>
                <c:pt idx="500">
                  <c:v>77746.23</c:v>
                </c:pt>
                <c:pt idx="501">
                  <c:v>76704.259999999995</c:v>
                </c:pt>
                <c:pt idx="502">
                  <c:v>77161.710000000006</c:v>
                </c:pt>
                <c:pt idx="503">
                  <c:v>78576.14</c:v>
                </c:pt>
                <c:pt idx="504">
                  <c:v>78920.88</c:v>
                </c:pt>
                <c:pt idx="505">
                  <c:v>79150.84</c:v>
                </c:pt>
                <c:pt idx="506">
                  <c:v>78956.070000000007</c:v>
                </c:pt>
                <c:pt idx="507">
                  <c:v>79492.570000000007</c:v>
                </c:pt>
                <c:pt idx="508">
                  <c:v>79808.070000000007</c:v>
                </c:pt>
                <c:pt idx="509">
                  <c:v>80072.990000000005</c:v>
                </c:pt>
                <c:pt idx="510">
                  <c:v>79530.63</c:v>
                </c:pt>
                <c:pt idx="511">
                  <c:v>79508.98</c:v>
                </c:pt>
                <c:pt idx="512">
                  <c:v>79361.570000000007</c:v>
                </c:pt>
                <c:pt idx="513">
                  <c:v>78632.58</c:v>
                </c:pt>
                <c:pt idx="514">
                  <c:v>78686.89</c:v>
                </c:pt>
                <c:pt idx="515">
                  <c:v>78464.22</c:v>
                </c:pt>
                <c:pt idx="516">
                  <c:v>77539.149999999994</c:v>
                </c:pt>
                <c:pt idx="517">
                  <c:v>77177.429999999993</c:v>
                </c:pt>
                <c:pt idx="518">
                  <c:v>76929.48</c:v>
                </c:pt>
                <c:pt idx="519">
                  <c:v>76776.45</c:v>
                </c:pt>
                <c:pt idx="520">
                  <c:v>76428.33</c:v>
                </c:pt>
                <c:pt idx="521">
                  <c:v>76046.850000000006</c:v>
                </c:pt>
                <c:pt idx="522">
                  <c:v>76076.17</c:v>
                </c:pt>
                <c:pt idx="523">
                  <c:v>76456.149999999994</c:v>
                </c:pt>
                <c:pt idx="524">
                  <c:v>75370.990000000005</c:v>
                </c:pt>
                <c:pt idx="525">
                  <c:v>74329.37</c:v>
                </c:pt>
                <c:pt idx="526">
                  <c:v>74513.929999999993</c:v>
                </c:pt>
                <c:pt idx="527">
                  <c:v>74010.83</c:v>
                </c:pt>
                <c:pt idx="528">
                  <c:v>73551.12</c:v>
                </c:pt>
                <c:pt idx="529">
                  <c:v>73363.56</c:v>
                </c:pt>
                <c:pt idx="530">
                  <c:v>73271.429999999993</c:v>
                </c:pt>
                <c:pt idx="531">
                  <c:v>72995.179999999993</c:v>
                </c:pt>
                <c:pt idx="532">
                  <c:v>72999.600000000006</c:v>
                </c:pt>
                <c:pt idx="533">
                  <c:v>74518.63</c:v>
                </c:pt>
                <c:pt idx="534">
                  <c:v>75311.759999999995</c:v>
                </c:pt>
                <c:pt idx="535">
                  <c:v>75303.25</c:v>
                </c:pt>
                <c:pt idx="536">
                  <c:v>75520.37</c:v>
                </c:pt>
                <c:pt idx="537">
                  <c:v>75486.92</c:v>
                </c:pt>
                <c:pt idx="538">
                  <c:v>75334.92</c:v>
                </c:pt>
                <c:pt idx="539">
                  <c:v>74774.720000000001</c:v>
                </c:pt>
                <c:pt idx="540">
                  <c:v>75372.98</c:v>
                </c:pt>
                <c:pt idx="541">
                  <c:v>74097.929999999993</c:v>
                </c:pt>
                <c:pt idx="542">
                  <c:v>74429.48</c:v>
                </c:pt>
                <c:pt idx="543">
                  <c:v>74535.990000000005</c:v>
                </c:pt>
                <c:pt idx="544">
                  <c:v>73909.47</c:v>
                </c:pt>
                <c:pt idx="545">
                  <c:v>73608.070000000007</c:v>
                </c:pt>
                <c:pt idx="546">
                  <c:v>73282.899999999994</c:v>
                </c:pt>
                <c:pt idx="547">
                  <c:v>73254.19</c:v>
                </c:pt>
                <c:pt idx="548">
                  <c:v>72419.7</c:v>
                </c:pt>
                <c:pt idx="549">
                  <c:v>71868.070000000007</c:v>
                </c:pt>
                <c:pt idx="550">
                  <c:v>72430.460000000006</c:v>
                </c:pt>
                <c:pt idx="551">
                  <c:v>72990.7</c:v>
                </c:pt>
                <c:pt idx="552">
                  <c:v>73866.789999999994</c:v>
                </c:pt>
                <c:pt idx="553">
                  <c:v>74258.63</c:v>
                </c:pt>
                <c:pt idx="554">
                  <c:v>73484.56</c:v>
                </c:pt>
                <c:pt idx="555">
                  <c:v>73481.740000000005</c:v>
                </c:pt>
                <c:pt idx="556">
                  <c:v>73717.78</c:v>
                </c:pt>
                <c:pt idx="557">
                  <c:v>73604.11</c:v>
                </c:pt>
                <c:pt idx="558">
                  <c:v>73578.179999999993</c:v>
                </c:pt>
                <c:pt idx="559">
                  <c:v>72241.72</c:v>
                </c:pt>
                <c:pt idx="560">
                  <c:v>72633.149999999994</c:v>
                </c:pt>
                <c:pt idx="561">
                  <c:v>72775.490000000005</c:v>
                </c:pt>
                <c:pt idx="562">
                  <c:v>72729.73</c:v>
                </c:pt>
                <c:pt idx="563">
                  <c:v>72204.53</c:v>
                </c:pt>
                <c:pt idx="564">
                  <c:v>73142.11</c:v>
                </c:pt>
                <c:pt idx="565">
                  <c:v>73621.240000000005</c:v>
                </c:pt>
                <c:pt idx="566">
                  <c:v>74213.39</c:v>
                </c:pt>
                <c:pt idx="567">
                  <c:v>74112.740000000005</c:v>
                </c:pt>
                <c:pt idx="568">
                  <c:v>73029.61</c:v>
                </c:pt>
                <c:pt idx="569">
                  <c:v>72946.009999999995</c:v>
                </c:pt>
                <c:pt idx="570">
                  <c:v>73580.88</c:v>
                </c:pt>
                <c:pt idx="571">
                  <c:v>73616.06</c:v>
                </c:pt>
                <c:pt idx="572">
                  <c:v>73218.44</c:v>
                </c:pt>
                <c:pt idx="573">
                  <c:v>73009.740000000005</c:v>
                </c:pt>
                <c:pt idx="574">
                  <c:v>73062.59</c:v>
                </c:pt>
                <c:pt idx="575">
                  <c:v>73722.100000000006</c:v>
                </c:pt>
                <c:pt idx="576">
                  <c:v>73423.3</c:v>
                </c:pt>
                <c:pt idx="577">
                  <c:v>73725.38</c:v>
                </c:pt>
                <c:pt idx="578">
                  <c:v>74313.440000000002</c:v>
                </c:pt>
                <c:pt idx="579">
                  <c:v>74558.52</c:v>
                </c:pt>
                <c:pt idx="580">
                  <c:v>74033.919999999998</c:v>
                </c:pt>
                <c:pt idx="581">
                  <c:v>74381.960000000006</c:v>
                </c:pt>
                <c:pt idx="582">
                  <c:v>74469.95</c:v>
                </c:pt>
                <c:pt idx="583">
                  <c:v>74555.87</c:v>
                </c:pt>
                <c:pt idx="584">
                  <c:v>74611.45</c:v>
                </c:pt>
                <c:pt idx="585">
                  <c:v>74370.53</c:v>
                </c:pt>
                <c:pt idx="586">
                  <c:v>75084.38</c:v>
                </c:pt>
                <c:pt idx="587">
                  <c:v>74040.539999999994</c:v>
                </c:pt>
                <c:pt idx="588">
                  <c:v>74320.11</c:v>
                </c:pt>
                <c:pt idx="589">
                  <c:v>73337.19</c:v>
                </c:pt>
                <c:pt idx="590">
                  <c:v>72351.5</c:v>
                </c:pt>
                <c:pt idx="591">
                  <c:v>72660.91</c:v>
                </c:pt>
                <c:pt idx="592">
                  <c:v>72344.399999999994</c:v>
                </c:pt>
                <c:pt idx="593">
                  <c:v>71693.09</c:v>
                </c:pt>
                <c:pt idx="594">
                  <c:v>73007.62</c:v>
                </c:pt>
                <c:pt idx="595">
                  <c:v>73675.740000000005</c:v>
                </c:pt>
                <c:pt idx="596">
                  <c:v>74240.759999999995</c:v>
                </c:pt>
                <c:pt idx="597">
                  <c:v>73834.28</c:v>
                </c:pt>
                <c:pt idx="598">
                  <c:v>73586.98</c:v>
                </c:pt>
                <c:pt idx="599">
                  <c:v>73826.149999999994</c:v>
                </c:pt>
                <c:pt idx="600">
                  <c:v>74103.23</c:v>
                </c:pt>
                <c:pt idx="601">
                  <c:v>74488.2</c:v>
                </c:pt>
                <c:pt idx="602">
                  <c:v>74522.490000000005</c:v>
                </c:pt>
                <c:pt idx="603">
                  <c:v>74510.720000000001</c:v>
                </c:pt>
                <c:pt idx="604">
                  <c:v>75709.14</c:v>
                </c:pt>
                <c:pt idx="605">
                  <c:v>76893.149999999994</c:v>
                </c:pt>
                <c:pt idx="606">
                  <c:v>76485.73</c:v>
                </c:pt>
                <c:pt idx="607">
                  <c:v>76657.94</c:v>
                </c:pt>
                <c:pt idx="608">
                  <c:v>74379.570000000007</c:v>
                </c:pt>
                <c:pt idx="609">
                  <c:v>75412.929999999993</c:v>
                </c:pt>
                <c:pt idx="610">
                  <c:v>74893.5</c:v>
                </c:pt>
                <c:pt idx="611">
                  <c:v>74842.59</c:v>
                </c:pt>
                <c:pt idx="612">
                  <c:v>74301.59</c:v>
                </c:pt>
                <c:pt idx="613">
                  <c:v>75289.86</c:v>
                </c:pt>
                <c:pt idx="614">
                  <c:v>72640.509999999995</c:v>
                </c:pt>
                <c:pt idx="615">
                  <c:v>72621.84</c:v>
                </c:pt>
                <c:pt idx="616">
                  <c:v>73892.3</c:v>
                </c:pt>
                <c:pt idx="617">
                  <c:v>73790.850000000006</c:v>
                </c:pt>
                <c:pt idx="618">
                  <c:v>74787.039999999994</c:v>
                </c:pt>
                <c:pt idx="619">
                  <c:v>75400.62</c:v>
                </c:pt>
                <c:pt idx="620">
                  <c:v>75215.490000000005</c:v>
                </c:pt>
                <c:pt idx="621">
                  <c:v>75941.06</c:v>
                </c:pt>
                <c:pt idx="622">
                  <c:v>75705.850000000006</c:v>
                </c:pt>
                <c:pt idx="623">
                  <c:v>75534.36</c:v>
                </c:pt>
                <c:pt idx="624">
                  <c:v>75241.41</c:v>
                </c:pt>
                <c:pt idx="625">
                  <c:v>75589.179999999993</c:v>
                </c:pt>
                <c:pt idx="626">
                  <c:v>75369.88</c:v>
                </c:pt>
                <c:pt idx="627">
                  <c:v>75712.399999999994</c:v>
                </c:pt>
                <c:pt idx="628">
                  <c:v>75438.710000000006</c:v>
                </c:pt>
                <c:pt idx="629">
                  <c:v>74763.960000000006</c:v>
                </c:pt>
                <c:pt idx="630">
                  <c:v>74270.740000000005</c:v>
                </c:pt>
                <c:pt idx="631">
                  <c:v>74321.48</c:v>
                </c:pt>
                <c:pt idx="632">
                  <c:v>73920.75</c:v>
                </c:pt>
                <c:pt idx="633">
                  <c:v>73736.61</c:v>
                </c:pt>
                <c:pt idx="634">
                  <c:v>74800.289999999994</c:v>
                </c:pt>
                <c:pt idx="635">
                  <c:v>73443.5</c:v>
                </c:pt>
                <c:pt idx="636">
                  <c:v>71633.17</c:v>
                </c:pt>
                <c:pt idx="637">
                  <c:v>71393.3</c:v>
                </c:pt>
                <c:pt idx="638">
                  <c:v>72226.67</c:v>
                </c:pt>
                <c:pt idx="639">
                  <c:v>72465.63</c:v>
                </c:pt>
                <c:pt idx="640">
                  <c:v>71572.990000000005</c:v>
                </c:pt>
                <c:pt idx="641">
                  <c:v>73293.69</c:v>
                </c:pt>
                <c:pt idx="642">
                  <c:v>72856.179999999993</c:v>
                </c:pt>
                <c:pt idx="643">
                  <c:v>71383.92</c:v>
                </c:pt>
                <c:pt idx="644">
                  <c:v>69740.3</c:v>
                </c:pt>
                <c:pt idx="645">
                  <c:v>69653.440000000002</c:v>
                </c:pt>
                <c:pt idx="646">
                  <c:v>69871.16</c:v>
                </c:pt>
                <c:pt idx="647">
                  <c:v>69451.97</c:v>
                </c:pt>
                <c:pt idx="648">
                  <c:v>69930.52</c:v>
                </c:pt>
                <c:pt idx="649">
                  <c:v>70274.34</c:v>
                </c:pt>
                <c:pt idx="650">
                  <c:v>70578.25</c:v>
                </c:pt>
                <c:pt idx="651">
                  <c:v>70100.28</c:v>
                </c:pt>
                <c:pt idx="652">
                  <c:v>70198.009999999995</c:v>
                </c:pt>
                <c:pt idx="653">
                  <c:v>70961.33</c:v>
                </c:pt>
                <c:pt idx="654">
                  <c:v>71968.67</c:v>
                </c:pt>
                <c:pt idx="655">
                  <c:v>72831.8</c:v>
                </c:pt>
                <c:pt idx="656">
                  <c:v>73146.75</c:v>
                </c:pt>
                <c:pt idx="657">
                  <c:v>72919.72</c:v>
                </c:pt>
                <c:pt idx="658">
                  <c:v>73390.81</c:v>
                </c:pt>
                <c:pt idx="659">
                  <c:v>73849.53</c:v>
                </c:pt>
                <c:pt idx="660">
                  <c:v>73840.5</c:v>
                </c:pt>
                <c:pt idx="661">
                  <c:v>71648.39</c:v>
                </c:pt>
                <c:pt idx="662">
                  <c:v>71657.25</c:v>
                </c:pt>
                <c:pt idx="663">
                  <c:v>71249.59</c:v>
                </c:pt>
                <c:pt idx="664">
                  <c:v>70564.69</c:v>
                </c:pt>
                <c:pt idx="665">
                  <c:v>70773.210000000006</c:v>
                </c:pt>
                <c:pt idx="666">
                  <c:v>71238.06</c:v>
                </c:pt>
                <c:pt idx="667">
                  <c:v>72382.89</c:v>
                </c:pt>
                <c:pt idx="668">
                  <c:v>72505.990000000005</c:v>
                </c:pt>
                <c:pt idx="669">
                  <c:v>72174.14</c:v>
                </c:pt>
                <c:pt idx="670">
                  <c:v>72652.100000000006</c:v>
                </c:pt>
                <c:pt idx="671">
                  <c:v>73398.78</c:v>
                </c:pt>
                <c:pt idx="672">
                  <c:v>73238.11</c:v>
                </c:pt>
                <c:pt idx="673">
                  <c:v>74824.09</c:v>
                </c:pt>
                <c:pt idx="674">
                  <c:v>73806.42</c:v>
                </c:pt>
                <c:pt idx="675">
                  <c:v>73908.03</c:v>
                </c:pt>
                <c:pt idx="676">
                  <c:v>74589.81</c:v>
                </c:pt>
                <c:pt idx="677">
                  <c:v>74354.37</c:v>
                </c:pt>
                <c:pt idx="678">
                  <c:v>73302.559999999998</c:v>
                </c:pt>
                <c:pt idx="679">
                  <c:v>74086.62</c:v>
                </c:pt>
                <c:pt idx="680">
                  <c:v>74106.179999999993</c:v>
                </c:pt>
                <c:pt idx="681">
                  <c:v>73652.67</c:v>
                </c:pt>
                <c:pt idx="682">
                  <c:v>73185.119999999995</c:v>
                </c:pt>
                <c:pt idx="683">
                  <c:v>74411.02</c:v>
                </c:pt>
                <c:pt idx="684">
                  <c:v>75016</c:v>
                </c:pt>
                <c:pt idx="685">
                  <c:v>75375.22</c:v>
                </c:pt>
                <c:pt idx="686">
                  <c:v>74786.789999999994</c:v>
                </c:pt>
                <c:pt idx="687">
                  <c:v>74953.73</c:v>
                </c:pt>
                <c:pt idx="688">
                  <c:v>75256.19</c:v>
                </c:pt>
                <c:pt idx="689">
                  <c:v>74776.179999999993</c:v>
                </c:pt>
                <c:pt idx="690">
                  <c:v>75079.61</c:v>
                </c:pt>
                <c:pt idx="691">
                  <c:v>73836.009999999995</c:v>
                </c:pt>
                <c:pt idx="692">
                  <c:v>74301.56</c:v>
                </c:pt>
                <c:pt idx="693">
                  <c:v>74022.58</c:v>
                </c:pt>
                <c:pt idx="694">
                  <c:v>73277.88</c:v>
                </c:pt>
                <c:pt idx="695">
                  <c:v>73760.210000000006</c:v>
                </c:pt>
                <c:pt idx="696">
                  <c:v>73080.87</c:v>
                </c:pt>
                <c:pt idx="697">
                  <c:v>74375.22</c:v>
                </c:pt>
                <c:pt idx="698">
                  <c:v>74914.52</c:v>
                </c:pt>
                <c:pt idx="699">
                  <c:v>75590.77</c:v>
                </c:pt>
                <c:pt idx="700">
                  <c:v>76160.87</c:v>
                </c:pt>
                <c:pt idx="701">
                  <c:v>76974.259999999995</c:v>
                </c:pt>
                <c:pt idx="702">
                  <c:v>77749.679999999993</c:v>
                </c:pt>
                <c:pt idx="703">
                  <c:v>76837.440000000002</c:v>
                </c:pt>
                <c:pt idx="704">
                  <c:v>77013.740000000005</c:v>
                </c:pt>
                <c:pt idx="705">
                  <c:v>76960.61</c:v>
                </c:pt>
                <c:pt idx="706">
                  <c:v>76747.199999999997</c:v>
                </c:pt>
                <c:pt idx="707">
                  <c:v>76477.22</c:v>
                </c:pt>
                <c:pt idx="708">
                  <c:v>78641.91</c:v>
                </c:pt>
                <c:pt idx="709">
                  <c:v>78977.89</c:v>
                </c:pt>
                <c:pt idx="710">
                  <c:v>78506.899999999994</c:v>
                </c:pt>
                <c:pt idx="711">
                  <c:v>78267.25</c:v>
                </c:pt>
                <c:pt idx="712">
                  <c:v>77546.38</c:v>
                </c:pt>
                <c:pt idx="713">
                  <c:v>77525.62</c:v>
                </c:pt>
                <c:pt idx="714">
                  <c:v>76766.070000000007</c:v>
                </c:pt>
                <c:pt idx="715">
                  <c:v>76826.63</c:v>
                </c:pt>
                <c:pt idx="716">
                  <c:v>77016.83</c:v>
                </c:pt>
                <c:pt idx="717">
                  <c:v>77080.97</c:v>
                </c:pt>
                <c:pt idx="718">
                  <c:v>77098.55</c:v>
                </c:pt>
                <c:pt idx="719">
                  <c:v>77253.509999999995</c:v>
                </c:pt>
                <c:pt idx="720">
                  <c:v>77750.509999999995</c:v>
                </c:pt>
                <c:pt idx="721">
                  <c:v>77317.259999999995</c:v>
                </c:pt>
                <c:pt idx="722">
                  <c:v>76544.789999999994</c:v>
                </c:pt>
                <c:pt idx="723">
                  <c:v>74876.59</c:v>
                </c:pt>
                <c:pt idx="724">
                  <c:v>74345.98</c:v>
                </c:pt>
                <c:pt idx="725">
                  <c:v>74823.02</c:v>
                </c:pt>
                <c:pt idx="726">
                  <c:v>74113.22</c:v>
                </c:pt>
                <c:pt idx="727">
                  <c:v>75909.490000000005</c:v>
                </c:pt>
                <c:pt idx="728">
                  <c:v>76223.7</c:v>
                </c:pt>
                <c:pt idx="729">
                  <c:v>76233.929999999993</c:v>
                </c:pt>
                <c:pt idx="730">
                  <c:v>76027.83</c:v>
                </c:pt>
                <c:pt idx="731">
                  <c:v>74892.509999999995</c:v>
                </c:pt>
                <c:pt idx="732">
                  <c:v>74831.11</c:v>
                </c:pt>
                <c:pt idx="733">
                  <c:v>74543.48</c:v>
                </c:pt>
                <c:pt idx="734">
                  <c:v>74265.039999999994</c:v>
                </c:pt>
                <c:pt idx="735">
                  <c:v>74402.899999999994</c:v>
                </c:pt>
                <c:pt idx="736">
                  <c:v>75105.789999999994</c:v>
                </c:pt>
                <c:pt idx="737">
                  <c:v>75629.88</c:v>
                </c:pt>
                <c:pt idx="738">
                  <c:v>76769.22</c:v>
                </c:pt>
                <c:pt idx="739">
                  <c:v>78014.350000000006</c:v>
                </c:pt>
                <c:pt idx="740">
                  <c:v>78531.81</c:v>
                </c:pt>
                <c:pt idx="741">
                  <c:v>78060.22</c:v>
                </c:pt>
                <c:pt idx="742">
                  <c:v>77827.73</c:v>
                </c:pt>
                <c:pt idx="743">
                  <c:v>76282.13</c:v>
                </c:pt>
                <c:pt idx="744">
                  <c:v>76936.11</c:v>
                </c:pt>
                <c:pt idx="745">
                  <c:v>77015.210000000006</c:v>
                </c:pt>
                <c:pt idx="746">
                  <c:v>77125.850000000006</c:v>
                </c:pt>
                <c:pt idx="747">
                  <c:v>76840.11</c:v>
                </c:pt>
                <c:pt idx="748">
                  <c:v>76602.84</c:v>
                </c:pt>
                <c:pt idx="749">
                  <c:v>77126.06</c:v>
                </c:pt>
                <c:pt idx="750">
                  <c:v>75783.25</c:v>
                </c:pt>
                <c:pt idx="751">
                  <c:v>75067.47</c:v>
                </c:pt>
                <c:pt idx="752">
                  <c:v>75939.460000000006</c:v>
                </c:pt>
                <c:pt idx="753">
                  <c:v>76613.350000000006</c:v>
                </c:pt>
                <c:pt idx="754">
                  <c:v>76589.539999999994</c:v>
                </c:pt>
                <c:pt idx="755">
                  <c:v>76174.61</c:v>
                </c:pt>
                <c:pt idx="756">
                  <c:v>75621.899999999994</c:v>
                </c:pt>
                <c:pt idx="757">
                  <c:v>76748.27</c:v>
                </c:pt>
                <c:pt idx="758">
                  <c:v>77962.73</c:v>
                </c:pt>
                <c:pt idx="759">
                  <c:v>78175.820000000007</c:v>
                </c:pt>
                <c:pt idx="760">
                  <c:v>77667.960000000006</c:v>
                </c:pt>
                <c:pt idx="761">
                  <c:v>78390.740000000005</c:v>
                </c:pt>
                <c:pt idx="762">
                  <c:v>77973.02</c:v>
                </c:pt>
                <c:pt idx="763">
                  <c:v>78261.649999999994</c:v>
                </c:pt>
                <c:pt idx="764">
                  <c:v>78330.2</c:v>
                </c:pt>
                <c:pt idx="765">
                  <c:v>76997.16</c:v>
                </c:pt>
                <c:pt idx="766">
                  <c:v>77775.02</c:v>
                </c:pt>
                <c:pt idx="767">
                  <c:v>77776.87</c:v>
                </c:pt>
                <c:pt idx="768">
                  <c:v>78572.33</c:v>
                </c:pt>
                <c:pt idx="769">
                  <c:v>78132.77</c:v>
                </c:pt>
                <c:pt idx="770">
                  <c:v>77271.13</c:v>
                </c:pt>
                <c:pt idx="771">
                  <c:v>78218.600000000006</c:v>
                </c:pt>
                <c:pt idx="772">
                  <c:v>77532.899999999994</c:v>
                </c:pt>
                <c:pt idx="773">
                  <c:v>78218.37</c:v>
                </c:pt>
                <c:pt idx="774">
                  <c:v>78122.12</c:v>
                </c:pt>
                <c:pt idx="775">
                  <c:v>77891.13</c:v>
                </c:pt>
                <c:pt idx="776">
                  <c:v>78121.37</c:v>
                </c:pt>
                <c:pt idx="777">
                  <c:v>77910.960000000006</c:v>
                </c:pt>
                <c:pt idx="778">
                  <c:v>78883.259999999995</c:v>
                </c:pt>
                <c:pt idx="779">
                  <c:v>78796.86</c:v>
                </c:pt>
                <c:pt idx="780">
                  <c:v>79294.759999999995</c:v>
                </c:pt>
                <c:pt idx="781">
                  <c:v>78723.7</c:v>
                </c:pt>
                <c:pt idx="782">
                  <c:v>78870.36</c:v>
                </c:pt>
                <c:pt idx="783">
                  <c:v>78462.77</c:v>
                </c:pt>
                <c:pt idx="784">
                  <c:v>77740.69</c:v>
                </c:pt>
                <c:pt idx="785">
                  <c:v>77990.539999999994</c:v>
                </c:pt>
                <c:pt idx="786">
                  <c:v>77113.7</c:v>
                </c:pt>
                <c:pt idx="787">
                  <c:v>76656.42</c:v>
                </c:pt>
                <c:pt idx="788">
                  <c:v>77458.58</c:v>
                </c:pt>
                <c:pt idx="789">
                  <c:v>76614.960000000006</c:v>
                </c:pt>
                <c:pt idx="790">
                  <c:v>76100.17</c:v>
                </c:pt>
                <c:pt idx="791">
                  <c:v>76704.63</c:v>
                </c:pt>
                <c:pt idx="792">
                  <c:v>76480.11</c:v>
                </c:pt>
                <c:pt idx="793">
                  <c:v>76047.34</c:v>
                </c:pt>
                <c:pt idx="794">
                  <c:v>75283.679999999993</c:v>
                </c:pt>
                <c:pt idx="795">
                  <c:v>74695.039999999994</c:v>
                </c:pt>
                <c:pt idx="796">
                  <c:v>75585.23</c:v>
                </c:pt>
                <c:pt idx="797">
                  <c:v>75243.44</c:v>
                </c:pt>
                <c:pt idx="798">
                  <c:v>74271.06</c:v>
                </c:pt>
                <c:pt idx="799">
                  <c:v>72527.92</c:v>
                </c:pt>
                <c:pt idx="800">
                  <c:v>72905.5</c:v>
                </c:pt>
                <c:pt idx="801">
                  <c:v>72895.539999999994</c:v>
                </c:pt>
                <c:pt idx="802">
                  <c:v>75008.679999999993</c:v>
                </c:pt>
                <c:pt idx="803">
                  <c:v>75502.28</c:v>
                </c:pt>
                <c:pt idx="804">
                  <c:v>76454.36</c:v>
                </c:pt>
                <c:pt idx="805">
                  <c:v>77664.05</c:v>
                </c:pt>
                <c:pt idx="806">
                  <c:v>77741.83</c:v>
                </c:pt>
                <c:pt idx="807">
                  <c:v>78556.539999999994</c:v>
                </c:pt>
                <c:pt idx="808">
                  <c:v>78697.83</c:v>
                </c:pt>
                <c:pt idx="809">
                  <c:v>78293.009999999995</c:v>
                </c:pt>
                <c:pt idx="810">
                  <c:v>77547.009999999995</c:v>
                </c:pt>
                <c:pt idx="811">
                  <c:v>78631.45</c:v>
                </c:pt>
                <c:pt idx="812">
                  <c:v>77733.87</c:v>
                </c:pt>
                <c:pt idx="813">
                  <c:v>77513.78</c:v>
                </c:pt>
                <c:pt idx="814">
                  <c:v>76937.77</c:v>
                </c:pt>
                <c:pt idx="815">
                  <c:v>79010.83</c:v>
                </c:pt>
                <c:pt idx="816">
                  <c:v>78170.14</c:v>
                </c:pt>
                <c:pt idx="817">
                  <c:v>78811.05</c:v>
                </c:pt>
                <c:pt idx="818">
                  <c:v>79829.39</c:v>
                </c:pt>
                <c:pt idx="819">
                  <c:v>79271.78</c:v>
                </c:pt>
                <c:pt idx="820">
                  <c:v>80227.19</c:v>
                </c:pt>
                <c:pt idx="821">
                  <c:v>79471.759999999995</c:v>
                </c:pt>
                <c:pt idx="822">
                  <c:v>79858.02</c:v>
                </c:pt>
                <c:pt idx="823">
                  <c:v>79770.210000000006</c:v>
                </c:pt>
                <c:pt idx="824">
                  <c:v>78985.350000000006</c:v>
                </c:pt>
                <c:pt idx="825">
                  <c:v>80021.09</c:v>
                </c:pt>
                <c:pt idx="826">
                  <c:v>79975.59</c:v>
                </c:pt>
                <c:pt idx="827">
                  <c:v>79534.22</c:v>
                </c:pt>
                <c:pt idx="828">
                  <c:v>79582.83</c:v>
                </c:pt>
                <c:pt idx="829">
                  <c:v>80240.92</c:v>
                </c:pt>
                <c:pt idx="830">
                  <c:v>79802.09</c:v>
                </c:pt>
                <c:pt idx="831">
                  <c:v>79816.87</c:v>
                </c:pt>
                <c:pt idx="832">
                  <c:v>79476.600000000006</c:v>
                </c:pt>
                <c:pt idx="833">
                  <c:v>80324.86</c:v>
                </c:pt>
                <c:pt idx="834">
                  <c:v>80791.360000000001</c:v>
                </c:pt>
                <c:pt idx="835">
                  <c:v>80508.97</c:v>
                </c:pt>
                <c:pt idx="836">
                  <c:v>79725.460000000006</c:v>
                </c:pt>
                <c:pt idx="837">
                  <c:v>80037.009999999995</c:v>
                </c:pt>
                <c:pt idx="838">
                  <c:v>80128.63</c:v>
                </c:pt>
                <c:pt idx="839">
                  <c:v>79269.77</c:v>
                </c:pt>
                <c:pt idx="840">
                  <c:v>79505.06</c:v>
                </c:pt>
                <c:pt idx="841">
                  <c:v>79865.48</c:v>
                </c:pt>
                <c:pt idx="842">
                  <c:v>79385.11</c:v>
                </c:pt>
                <c:pt idx="843">
                  <c:v>79167.8</c:v>
                </c:pt>
                <c:pt idx="844">
                  <c:v>79333.72</c:v>
                </c:pt>
                <c:pt idx="845">
                  <c:v>78627.55</c:v>
                </c:pt>
                <c:pt idx="846">
                  <c:v>78522.100000000006</c:v>
                </c:pt>
                <c:pt idx="847">
                  <c:v>78000.31</c:v>
                </c:pt>
                <c:pt idx="848">
                  <c:v>78342.7</c:v>
                </c:pt>
                <c:pt idx="849">
                  <c:v>76858.94</c:v>
                </c:pt>
                <c:pt idx="850">
                  <c:v>75439.3</c:v>
                </c:pt>
                <c:pt idx="851">
                  <c:v>74567.61</c:v>
                </c:pt>
                <c:pt idx="852">
                  <c:v>74436.479999999996</c:v>
                </c:pt>
                <c:pt idx="853">
                  <c:v>73048.570000000007</c:v>
                </c:pt>
                <c:pt idx="854">
                  <c:v>73597.14</c:v>
                </c:pt>
                <c:pt idx="855">
                  <c:v>74277.56</c:v>
                </c:pt>
                <c:pt idx="856">
                  <c:v>73493.47</c:v>
                </c:pt>
                <c:pt idx="857">
                  <c:v>73225.13</c:v>
                </c:pt>
                <c:pt idx="858">
                  <c:v>73836.91</c:v>
                </c:pt>
                <c:pt idx="859">
                  <c:v>73040.509999999995</c:v>
                </c:pt>
                <c:pt idx="860">
                  <c:v>73359.600000000006</c:v>
                </c:pt>
                <c:pt idx="861">
                  <c:v>72989.34</c:v>
                </c:pt>
                <c:pt idx="862">
                  <c:v>74294.67</c:v>
                </c:pt>
                <c:pt idx="863">
                  <c:v>75835.45</c:v>
                </c:pt>
                <c:pt idx="864">
                  <c:v>74422.179999999993</c:v>
                </c:pt>
                <c:pt idx="865">
                  <c:v>74548.14</c:v>
                </c:pt>
                <c:pt idx="866">
                  <c:v>74467.259999999995</c:v>
                </c:pt>
                <c:pt idx="867">
                  <c:v>74011.12</c:v>
                </c:pt>
                <c:pt idx="868">
                  <c:v>74557.31</c:v>
                </c:pt>
                <c:pt idx="869">
                  <c:v>74693.42</c:v>
                </c:pt>
                <c:pt idx="870">
                  <c:v>74322.91</c:v>
                </c:pt>
                <c:pt idx="871">
                  <c:v>75020.009999999995</c:v>
                </c:pt>
                <c:pt idx="872">
                  <c:v>74828</c:v>
                </c:pt>
                <c:pt idx="873">
                  <c:v>73127.92</c:v>
                </c:pt>
                <c:pt idx="874">
                  <c:v>73368.25</c:v>
                </c:pt>
                <c:pt idx="875">
                  <c:v>73151.38</c:v>
                </c:pt>
                <c:pt idx="876">
                  <c:v>73127.34</c:v>
                </c:pt>
                <c:pt idx="877">
                  <c:v>72891.45</c:v>
                </c:pt>
                <c:pt idx="878">
                  <c:v>72242.33</c:v>
                </c:pt>
                <c:pt idx="879">
                  <c:v>71938.009999999995</c:v>
                </c:pt>
                <c:pt idx="880">
                  <c:v>72576.86</c:v>
                </c:pt>
                <c:pt idx="881">
                  <c:v>72155.289999999994</c:v>
                </c:pt>
                <c:pt idx="882">
                  <c:v>72607.460000000006</c:v>
                </c:pt>
                <c:pt idx="883">
                  <c:v>72998.69</c:v>
                </c:pt>
                <c:pt idx="884">
                  <c:v>72822.47</c:v>
                </c:pt>
                <c:pt idx="885">
                  <c:v>72982.8</c:v>
                </c:pt>
                <c:pt idx="886">
                  <c:v>70710.27</c:v>
                </c:pt>
                <c:pt idx="887">
                  <c:v>69640.23</c:v>
                </c:pt>
                <c:pt idx="888">
                  <c:v>69011.45</c:v>
                </c:pt>
                <c:pt idx="889">
                  <c:v>69439.320000000007</c:v>
                </c:pt>
                <c:pt idx="890">
                  <c:v>69305.19</c:v>
                </c:pt>
                <c:pt idx="891">
                  <c:v>66046.649999999994</c:v>
                </c:pt>
                <c:pt idx="892">
                  <c:v>67123.100000000006</c:v>
                </c:pt>
                <c:pt idx="893">
                  <c:v>67414.27</c:v>
                </c:pt>
                <c:pt idx="894">
                  <c:v>66671.649999999994</c:v>
                </c:pt>
                <c:pt idx="895">
                  <c:v>66385.58</c:v>
                </c:pt>
                <c:pt idx="896">
                  <c:v>67123.41</c:v>
                </c:pt>
                <c:pt idx="897">
                  <c:v>67103.09</c:v>
                </c:pt>
                <c:pt idx="898">
                  <c:v>65850.84</c:v>
                </c:pt>
                <c:pt idx="899">
                  <c:v>64975.95</c:v>
                </c:pt>
                <c:pt idx="900">
                  <c:v>65539.240000000005</c:v>
                </c:pt>
                <c:pt idx="901">
                  <c:v>65794.28</c:v>
                </c:pt>
                <c:pt idx="902">
                  <c:v>65652.5</c:v>
                </c:pt>
                <c:pt idx="903">
                  <c:v>66350.98</c:v>
                </c:pt>
                <c:pt idx="904">
                  <c:v>66190.75</c:v>
                </c:pt>
                <c:pt idx="905">
                  <c:v>64271.360000000001</c:v>
                </c:pt>
                <c:pt idx="906">
                  <c:v>64392.43</c:v>
                </c:pt>
                <c:pt idx="907">
                  <c:v>64528.23</c:v>
                </c:pt>
                <c:pt idx="908">
                  <c:v>64588.09</c:v>
                </c:pt>
                <c:pt idx="909">
                  <c:v>64769.2</c:v>
                </c:pt>
                <c:pt idx="910">
                  <c:v>65675.48</c:v>
                </c:pt>
                <c:pt idx="911">
                  <c:v>65832.67</c:v>
                </c:pt>
                <c:pt idx="912">
                  <c:v>65612.759999999995</c:v>
                </c:pt>
                <c:pt idx="913">
                  <c:v>66312.83</c:v>
                </c:pt>
                <c:pt idx="914">
                  <c:v>64227.23</c:v>
                </c:pt>
                <c:pt idx="915">
                  <c:v>63726.37</c:v>
                </c:pt>
                <c:pt idx="916">
                  <c:v>63263.94</c:v>
                </c:pt>
                <c:pt idx="917">
                  <c:v>63808.32</c:v>
                </c:pt>
                <c:pt idx="918">
                  <c:v>64025.95</c:v>
                </c:pt>
                <c:pt idx="919">
                  <c:v>63625.66</c:v>
                </c:pt>
                <c:pt idx="920">
                  <c:v>63416.66</c:v>
                </c:pt>
                <c:pt idx="921">
                  <c:v>65276.97</c:v>
                </c:pt>
                <c:pt idx="922">
                  <c:v>66208.710000000006</c:v>
                </c:pt>
                <c:pt idx="923">
                  <c:v>66602.84</c:v>
                </c:pt>
                <c:pt idx="924">
                  <c:v>66474.86</c:v>
                </c:pt>
                <c:pt idx="925">
                  <c:v>66584.34</c:v>
                </c:pt>
                <c:pt idx="926">
                  <c:v>67568.259999999995</c:v>
                </c:pt>
                <c:pt idx="927">
                  <c:v>67964.02</c:v>
                </c:pt>
                <c:pt idx="928">
                  <c:v>68273.710000000006</c:v>
                </c:pt>
                <c:pt idx="929">
                  <c:v>69772.41</c:v>
                </c:pt>
                <c:pt idx="930">
                  <c:v>68708.479999999996</c:v>
                </c:pt>
                <c:pt idx="931">
                  <c:v>67260.23</c:v>
                </c:pt>
                <c:pt idx="932">
                  <c:v>66715.83</c:v>
                </c:pt>
                <c:pt idx="933">
                  <c:v>67538.77</c:v>
                </c:pt>
                <c:pt idx="934">
                  <c:v>67399.39</c:v>
                </c:pt>
                <c:pt idx="935">
                  <c:v>67378.31</c:v>
                </c:pt>
                <c:pt idx="936">
                  <c:v>66021.710000000006</c:v>
                </c:pt>
                <c:pt idx="937">
                  <c:v>67257.14</c:v>
                </c:pt>
                <c:pt idx="938">
                  <c:v>67900.479999999996</c:v>
                </c:pt>
                <c:pt idx="939">
                  <c:v>69207.02</c:v>
                </c:pt>
                <c:pt idx="940">
                  <c:v>70173.09</c:v>
                </c:pt>
                <c:pt idx="941">
                  <c:v>70340.7</c:v>
                </c:pt>
                <c:pt idx="942">
                  <c:v>69808.710000000006</c:v>
                </c:pt>
                <c:pt idx="943">
                  <c:v>69772.27</c:v>
                </c:pt>
                <c:pt idx="944">
                  <c:v>69195.600000000006</c:v>
                </c:pt>
                <c:pt idx="945">
                  <c:v>69719.429999999993</c:v>
                </c:pt>
                <c:pt idx="946">
                  <c:v>71011.38</c:v>
                </c:pt>
                <c:pt idx="947">
                  <c:v>70967.350000000006</c:v>
                </c:pt>
                <c:pt idx="948">
                  <c:v>71504.69</c:v>
                </c:pt>
                <c:pt idx="949">
                  <c:v>70740.63</c:v>
                </c:pt>
                <c:pt idx="950">
                  <c:v>70731.320000000007</c:v>
                </c:pt>
                <c:pt idx="951">
                  <c:v>71264.77</c:v>
                </c:pt>
                <c:pt idx="952">
                  <c:v>69744.899999999994</c:v>
                </c:pt>
                <c:pt idx="953">
                  <c:v>70266.13</c:v>
                </c:pt>
                <c:pt idx="954">
                  <c:v>69519.27</c:v>
                </c:pt>
                <c:pt idx="955">
                  <c:v>68717.02</c:v>
                </c:pt>
                <c:pt idx="956">
                  <c:v>68610.570000000007</c:v>
                </c:pt>
                <c:pt idx="957">
                  <c:v>68002.23</c:v>
                </c:pt>
                <c:pt idx="958">
                  <c:v>68642.59</c:v>
                </c:pt>
                <c:pt idx="959">
                  <c:v>68934.009999999995</c:v>
                </c:pt>
                <c:pt idx="960">
                  <c:v>68610.75</c:v>
                </c:pt>
                <c:pt idx="961">
                  <c:v>68424.97</c:v>
                </c:pt>
                <c:pt idx="962">
                  <c:v>68421.8</c:v>
                </c:pt>
                <c:pt idx="963">
                  <c:v>67749.789999999994</c:v>
                </c:pt>
                <c:pt idx="964">
                  <c:v>68069.58</c:v>
                </c:pt>
                <c:pt idx="965">
                  <c:v>67907.240000000005</c:v>
                </c:pt>
                <c:pt idx="966">
                  <c:v>67652.460000000006</c:v>
                </c:pt>
                <c:pt idx="967">
                  <c:v>67785.039999999994</c:v>
                </c:pt>
                <c:pt idx="968">
                  <c:v>67016.14</c:v>
                </c:pt>
                <c:pt idx="969">
                  <c:v>65088.9</c:v>
                </c:pt>
                <c:pt idx="970">
                  <c:v>64712.88</c:v>
                </c:pt>
                <c:pt idx="971">
                  <c:v>66142.69</c:v>
                </c:pt>
                <c:pt idx="972">
                  <c:v>67163.710000000006</c:v>
                </c:pt>
                <c:pt idx="973">
                  <c:v>67226.75</c:v>
                </c:pt>
                <c:pt idx="974">
                  <c:v>68327.399999999994</c:v>
                </c:pt>
                <c:pt idx="975">
                  <c:v>67909.289999999994</c:v>
                </c:pt>
                <c:pt idx="976">
                  <c:v>65756.36</c:v>
                </c:pt>
                <c:pt idx="977">
                  <c:v>65005.81</c:v>
                </c:pt>
                <c:pt idx="978">
                  <c:v>67024.820000000007</c:v>
                </c:pt>
                <c:pt idx="979">
                  <c:v>65661.73</c:v>
                </c:pt>
                <c:pt idx="980">
                  <c:v>66223.31</c:v>
                </c:pt>
                <c:pt idx="981">
                  <c:v>67747.41</c:v>
                </c:pt>
                <c:pt idx="982">
                  <c:v>68058.12</c:v>
                </c:pt>
                <c:pt idx="983">
                  <c:v>67826.78</c:v>
                </c:pt>
                <c:pt idx="984">
                  <c:v>66348.75</c:v>
                </c:pt>
                <c:pt idx="985">
                  <c:v>65295.42</c:v>
                </c:pt>
                <c:pt idx="986">
                  <c:v>65712.679999999993</c:v>
                </c:pt>
                <c:pt idx="987">
                  <c:v>66747.23</c:v>
                </c:pt>
                <c:pt idx="988">
                  <c:v>66350.31</c:v>
                </c:pt>
                <c:pt idx="989">
                  <c:v>65390.879999999997</c:v>
                </c:pt>
                <c:pt idx="990">
                  <c:v>67502.09</c:v>
                </c:pt>
                <c:pt idx="991">
                  <c:v>65683.520000000004</c:v>
                </c:pt>
                <c:pt idx="992">
                  <c:v>66381.03</c:v>
                </c:pt>
                <c:pt idx="993">
                  <c:v>67803.509999999995</c:v>
                </c:pt>
                <c:pt idx="994">
                  <c:v>68910.8</c:v>
                </c:pt>
                <c:pt idx="995">
                  <c:v>69950.210000000006</c:v>
                </c:pt>
                <c:pt idx="996">
                  <c:v>70318.23</c:v>
                </c:pt>
                <c:pt idx="997">
                  <c:v>71120.09</c:v>
                </c:pt>
                <c:pt idx="998">
                  <c:v>70920.45</c:v>
                </c:pt>
                <c:pt idx="999">
                  <c:v>71035</c:v>
                </c:pt>
                <c:pt idx="1000">
                  <c:v>70849.38</c:v>
                </c:pt>
                <c:pt idx="1001">
                  <c:v>72094.87</c:v>
                </c:pt>
                <c:pt idx="1002">
                  <c:v>71958.149999999994</c:v>
                </c:pt>
                <c:pt idx="1003">
                  <c:v>70485.460000000006</c:v>
                </c:pt>
                <c:pt idx="1004">
                  <c:v>69483.759999999995</c:v>
                </c:pt>
                <c:pt idx="1005">
                  <c:v>67585.25</c:v>
                </c:pt>
                <c:pt idx="1006">
                  <c:v>67690.720000000001</c:v>
                </c:pt>
                <c:pt idx="1007">
                  <c:v>68367.37</c:v>
                </c:pt>
                <c:pt idx="1008">
                  <c:v>67575.28</c:v>
                </c:pt>
                <c:pt idx="1009">
                  <c:v>68245.84</c:v>
                </c:pt>
                <c:pt idx="1010">
                  <c:v>69083.44</c:v>
                </c:pt>
                <c:pt idx="1011">
                  <c:v>69696.39</c:v>
                </c:pt>
                <c:pt idx="1012">
                  <c:v>69211.759999999995</c:v>
                </c:pt>
                <c:pt idx="1013">
                  <c:v>68650.66</c:v>
                </c:pt>
                <c:pt idx="1014">
                  <c:v>67251.89</c:v>
                </c:pt>
                <c:pt idx="1015">
                  <c:v>68416.41</c:v>
                </c:pt>
                <c:pt idx="1016">
                  <c:v>66966.73</c:v>
                </c:pt>
                <c:pt idx="1017">
                  <c:v>66769.119999999995</c:v>
                </c:pt>
                <c:pt idx="1018">
                  <c:v>67978.14</c:v>
                </c:pt>
                <c:pt idx="1019">
                  <c:v>69682.649999999994</c:v>
                </c:pt>
                <c:pt idx="1020">
                  <c:v>70357.58</c:v>
                </c:pt>
                <c:pt idx="1021">
                  <c:v>71338.990000000005</c:v>
                </c:pt>
                <c:pt idx="1022">
                  <c:v>72438.25</c:v>
                </c:pt>
                <c:pt idx="1023">
                  <c:v>71534.570000000007</c:v>
                </c:pt>
                <c:pt idx="1024">
                  <c:v>70264.11</c:v>
                </c:pt>
                <c:pt idx="1025">
                  <c:v>69750.67</c:v>
                </c:pt>
                <c:pt idx="1026">
                  <c:v>72264.899999999994</c:v>
                </c:pt>
                <c:pt idx="1027">
                  <c:v>73350.94</c:v>
                </c:pt>
                <c:pt idx="1028">
                  <c:v>73783.429999999993</c:v>
                </c:pt>
                <c:pt idx="1029">
                  <c:v>73830.27</c:v>
                </c:pt>
                <c:pt idx="1030">
                  <c:v>73382.83</c:v>
                </c:pt>
                <c:pt idx="1031">
                  <c:v>73128.649999999994</c:v>
                </c:pt>
                <c:pt idx="1032">
                  <c:v>73801.88</c:v>
                </c:pt>
                <c:pt idx="1033">
                  <c:v>74426.399999999994</c:v>
                </c:pt>
                <c:pt idx="1034">
                  <c:v>74776.11</c:v>
                </c:pt>
                <c:pt idx="1035">
                  <c:v>74008.070000000007</c:v>
                </c:pt>
                <c:pt idx="1036">
                  <c:v>74359.03</c:v>
                </c:pt>
                <c:pt idx="1037">
                  <c:v>75286.61</c:v>
                </c:pt>
                <c:pt idx="1038">
                  <c:v>75835.070000000007</c:v>
                </c:pt>
                <c:pt idx="1039">
                  <c:v>75907.899999999994</c:v>
                </c:pt>
                <c:pt idx="1040">
                  <c:v>75497.149999999994</c:v>
                </c:pt>
                <c:pt idx="1041">
                  <c:v>75425.31</c:v>
                </c:pt>
                <c:pt idx="1042">
                  <c:v>74776.39</c:v>
                </c:pt>
                <c:pt idx="1043">
                  <c:v>74194.350000000006</c:v>
                </c:pt>
                <c:pt idx="1044">
                  <c:v>74324.67</c:v>
                </c:pt>
                <c:pt idx="1045">
                  <c:v>74349.94</c:v>
                </c:pt>
                <c:pt idx="1046">
                  <c:v>74838.09</c:v>
                </c:pt>
                <c:pt idx="1047">
                  <c:v>75751.41</c:v>
                </c:pt>
                <c:pt idx="1048">
                  <c:v>74847.63</c:v>
                </c:pt>
                <c:pt idx="1049">
                  <c:v>74124.27</c:v>
                </c:pt>
                <c:pt idx="1050">
                  <c:v>73484.3</c:v>
                </c:pt>
                <c:pt idx="1051">
                  <c:v>70628.2</c:v>
                </c:pt>
                <c:pt idx="1052">
                  <c:v>71903.72</c:v>
                </c:pt>
                <c:pt idx="1053">
                  <c:v>73685.89</c:v>
                </c:pt>
                <c:pt idx="1054">
                  <c:v>73889.41</c:v>
                </c:pt>
                <c:pt idx="1055">
                  <c:v>72684.820000000007</c:v>
                </c:pt>
                <c:pt idx="1056">
                  <c:v>72398.62</c:v>
                </c:pt>
                <c:pt idx="1057">
                  <c:v>73295.88</c:v>
                </c:pt>
                <c:pt idx="1058">
                  <c:v>74734.37</c:v>
                </c:pt>
                <c:pt idx="1059">
                  <c:v>77390.850000000006</c:v>
                </c:pt>
                <c:pt idx="1060">
                  <c:v>77536.12</c:v>
                </c:pt>
                <c:pt idx="1061">
                  <c:v>77110.69</c:v>
                </c:pt>
                <c:pt idx="1062">
                  <c:v>76090.509999999995</c:v>
                </c:pt>
                <c:pt idx="1063">
                  <c:v>74205.69</c:v>
                </c:pt>
                <c:pt idx="1064">
                  <c:v>73697.11</c:v>
                </c:pt>
                <c:pt idx="1065">
                  <c:v>74987.05</c:v>
                </c:pt>
                <c:pt idx="1066">
                  <c:v>75653.84</c:v>
                </c:pt>
                <c:pt idx="1067">
                  <c:v>75528.460000000006</c:v>
                </c:pt>
                <c:pt idx="1068">
                  <c:v>76368.34</c:v>
                </c:pt>
                <c:pt idx="1069">
                  <c:v>76154.69</c:v>
                </c:pt>
                <c:pt idx="1070">
                  <c:v>76502.59</c:v>
                </c:pt>
                <c:pt idx="1071">
                  <c:v>75853.16</c:v>
                </c:pt>
                <c:pt idx="1072">
                  <c:v>75765.16</c:v>
                </c:pt>
                <c:pt idx="1073">
                  <c:v>76382.95</c:v>
                </c:pt>
                <c:pt idx="1074">
                  <c:v>76585.19</c:v>
                </c:pt>
                <c:pt idx="1075">
                  <c:v>76690.92</c:v>
                </c:pt>
                <c:pt idx="1076">
                  <c:v>76090.52</c:v>
                </c:pt>
                <c:pt idx="1077">
                  <c:v>75679.56</c:v>
                </c:pt>
                <c:pt idx="1078">
                  <c:v>75206</c:v>
                </c:pt>
                <c:pt idx="1079">
                  <c:v>75021.67</c:v>
                </c:pt>
                <c:pt idx="1080">
                  <c:v>75190.740000000005</c:v>
                </c:pt>
                <c:pt idx="1081">
                  <c:v>74889.17</c:v>
                </c:pt>
                <c:pt idx="1082">
                  <c:v>74304.56</c:v>
                </c:pt>
                <c:pt idx="1083">
                  <c:v>73454.960000000006</c:v>
                </c:pt>
                <c:pt idx="1084">
                  <c:v>73504.039999999994</c:v>
                </c:pt>
                <c:pt idx="1085">
                  <c:v>73797.33</c:v>
                </c:pt>
                <c:pt idx="1086">
                  <c:v>72314.81</c:v>
                </c:pt>
                <c:pt idx="1087">
                  <c:v>72164.02</c:v>
                </c:pt>
                <c:pt idx="1088">
                  <c:v>74834.52</c:v>
                </c:pt>
                <c:pt idx="1089">
                  <c:v>76233.259999999995</c:v>
                </c:pt>
                <c:pt idx="1090">
                  <c:v>76176.149999999994</c:v>
                </c:pt>
                <c:pt idx="1091">
                  <c:v>74955.66</c:v>
                </c:pt>
                <c:pt idx="1092">
                  <c:v>75593.47</c:v>
                </c:pt>
                <c:pt idx="1093">
                  <c:v>75160.210000000006</c:v>
                </c:pt>
                <c:pt idx="1094">
                  <c:v>75925.55</c:v>
                </c:pt>
                <c:pt idx="1095">
                  <c:v>75884.75</c:v>
                </c:pt>
                <c:pt idx="1096">
                  <c:v>73971.429999999993</c:v>
                </c:pt>
                <c:pt idx="1097">
                  <c:v>73830.47</c:v>
                </c:pt>
                <c:pt idx="1098">
                  <c:v>73939.710000000006</c:v>
                </c:pt>
                <c:pt idx="1099">
                  <c:v>74165.25</c:v>
                </c:pt>
                <c:pt idx="1100">
                  <c:v>75060.92</c:v>
                </c:pt>
                <c:pt idx="1101">
                  <c:v>75052.06</c:v>
                </c:pt>
                <c:pt idx="1102">
                  <c:v>73722.600000000006</c:v>
                </c:pt>
                <c:pt idx="1103">
                  <c:v>73709.39</c:v>
                </c:pt>
                <c:pt idx="1104">
                  <c:v>73786.45</c:v>
                </c:pt>
                <c:pt idx="1105">
                  <c:v>73238.009999999995</c:v>
                </c:pt>
                <c:pt idx="1106">
                  <c:v>72444.52</c:v>
                </c:pt>
                <c:pt idx="1107">
                  <c:v>71570.64</c:v>
                </c:pt>
                <c:pt idx="1108">
                  <c:v>71684.100000000006</c:v>
                </c:pt>
                <c:pt idx="1109">
                  <c:v>71359.039999999994</c:v>
                </c:pt>
                <c:pt idx="1110">
                  <c:v>71119.360000000001</c:v>
                </c:pt>
                <c:pt idx="1111">
                  <c:v>70087.63</c:v>
                </c:pt>
                <c:pt idx="1112">
                  <c:v>71203.13</c:v>
                </c:pt>
                <c:pt idx="1113">
                  <c:v>71467.17</c:v>
                </c:pt>
                <c:pt idx="1114">
                  <c:v>71544.820000000007</c:v>
                </c:pt>
                <c:pt idx="1115">
                  <c:v>71429.88</c:v>
                </c:pt>
                <c:pt idx="1116">
                  <c:v>71686.33</c:v>
                </c:pt>
                <c:pt idx="1117">
                  <c:v>72207.64</c:v>
                </c:pt>
                <c:pt idx="1118">
                  <c:v>72403.88</c:v>
                </c:pt>
                <c:pt idx="1119">
                  <c:v>72939.25</c:v>
                </c:pt>
                <c:pt idx="1120">
                  <c:v>71016.63</c:v>
                </c:pt>
                <c:pt idx="1121">
                  <c:v>70807.600000000006</c:v>
                </c:pt>
                <c:pt idx="1122">
                  <c:v>71020.759999999995</c:v>
                </c:pt>
                <c:pt idx="1123">
                  <c:v>71198.080000000002</c:v>
                </c:pt>
                <c:pt idx="1124">
                  <c:v>70475.02</c:v>
                </c:pt>
                <c:pt idx="1125">
                  <c:v>70008.539999999994</c:v>
                </c:pt>
                <c:pt idx="1126">
                  <c:v>68614.98</c:v>
                </c:pt>
                <c:pt idx="1127">
                  <c:v>70554.679999999993</c:v>
                </c:pt>
                <c:pt idx="1128">
                  <c:v>70558.89</c:v>
                </c:pt>
                <c:pt idx="1129">
                  <c:v>71015.399999999994</c:v>
                </c:pt>
                <c:pt idx="1130">
                  <c:v>70865.850000000006</c:v>
                </c:pt>
                <c:pt idx="1131">
                  <c:v>70376.42</c:v>
                </c:pt>
                <c:pt idx="1132">
                  <c:v>70866.570000000007</c:v>
                </c:pt>
                <c:pt idx="1133">
                  <c:v>70942.34</c:v>
                </c:pt>
                <c:pt idx="1134">
                  <c:v>70938.41</c:v>
                </c:pt>
                <c:pt idx="1135">
                  <c:v>70090.539999999994</c:v>
                </c:pt>
                <c:pt idx="1136">
                  <c:v>69921.37</c:v>
                </c:pt>
                <c:pt idx="1137">
                  <c:v>69131.56</c:v>
                </c:pt>
                <c:pt idx="1138">
                  <c:v>68279.399999999994</c:v>
                </c:pt>
                <c:pt idx="1139">
                  <c:v>67983.199999999997</c:v>
                </c:pt>
                <c:pt idx="1140">
                  <c:v>68049.34</c:v>
                </c:pt>
                <c:pt idx="1141">
                  <c:v>67825.34</c:v>
                </c:pt>
                <c:pt idx="1142">
                  <c:v>68156.210000000006</c:v>
                </c:pt>
                <c:pt idx="1143">
                  <c:v>68587.27</c:v>
                </c:pt>
                <c:pt idx="1144">
                  <c:v>67782.2</c:v>
                </c:pt>
                <c:pt idx="1145">
                  <c:v>67464.69</c:v>
                </c:pt>
                <c:pt idx="1146">
                  <c:v>67759.759999999995</c:v>
                </c:pt>
                <c:pt idx="1147">
                  <c:v>67475.09</c:v>
                </c:pt>
                <c:pt idx="1148">
                  <c:v>67615.31</c:v>
                </c:pt>
                <c:pt idx="1149">
                  <c:v>66980.45</c:v>
                </c:pt>
                <c:pt idx="1150">
                  <c:v>67050.52</c:v>
                </c:pt>
                <c:pt idx="1151">
                  <c:v>66057.58</c:v>
                </c:pt>
                <c:pt idx="1152">
                  <c:v>66894.789999999994</c:v>
                </c:pt>
                <c:pt idx="1153">
                  <c:v>66776.149999999994</c:v>
                </c:pt>
                <c:pt idx="1154">
                  <c:v>66792.100000000006</c:v>
                </c:pt>
                <c:pt idx="1155">
                  <c:v>67028.86</c:v>
                </c:pt>
                <c:pt idx="1156">
                  <c:v>66846.17</c:v>
                </c:pt>
                <c:pt idx="1157">
                  <c:v>66012.78</c:v>
                </c:pt>
                <c:pt idx="1158">
                  <c:v>65988.12</c:v>
                </c:pt>
                <c:pt idx="1159">
                  <c:v>66101.039999999994</c:v>
                </c:pt>
                <c:pt idx="1160">
                  <c:v>65242.61</c:v>
                </c:pt>
                <c:pt idx="1161">
                  <c:v>65157.75</c:v>
                </c:pt>
                <c:pt idx="1162">
                  <c:v>63987.02</c:v>
                </c:pt>
                <c:pt idx="1163">
                  <c:v>64542.87</c:v>
                </c:pt>
                <c:pt idx="1164">
                  <c:v>64129</c:v>
                </c:pt>
                <c:pt idx="1165">
                  <c:v>63661.02</c:v>
                </c:pt>
                <c:pt idx="1166">
                  <c:v>64281.77</c:v>
                </c:pt>
                <c:pt idx="1167">
                  <c:v>64363.66</c:v>
                </c:pt>
                <c:pt idx="1168">
                  <c:v>63784.41</c:v>
                </c:pt>
                <c:pt idx="1169">
                  <c:v>64197.36</c:v>
                </c:pt>
                <c:pt idx="1170">
                  <c:v>64049.05</c:v>
                </c:pt>
                <c:pt idx="1171">
                  <c:v>63353.05</c:v>
                </c:pt>
                <c:pt idx="1172">
                  <c:v>62362.18</c:v>
                </c:pt>
                <c:pt idx="1173">
                  <c:v>61453.42</c:v>
                </c:pt>
                <c:pt idx="1174">
                  <c:v>62863.64</c:v>
                </c:pt>
                <c:pt idx="1175">
                  <c:v>63313.75</c:v>
                </c:pt>
                <c:pt idx="1176">
                  <c:v>64385.13</c:v>
                </c:pt>
                <c:pt idx="1177">
                  <c:v>64300.46</c:v>
                </c:pt>
                <c:pt idx="1178">
                  <c:v>64652.32</c:v>
                </c:pt>
                <c:pt idx="1179">
                  <c:v>64296.06</c:v>
                </c:pt>
                <c:pt idx="1180">
                  <c:v>64176.53</c:v>
                </c:pt>
                <c:pt idx="1181">
                  <c:v>65525.35</c:v>
                </c:pt>
                <c:pt idx="1182">
                  <c:v>66514.91</c:v>
                </c:pt>
                <c:pt idx="1183">
                  <c:v>66253.8</c:v>
                </c:pt>
                <c:pt idx="1184">
                  <c:v>66371.850000000006</c:v>
                </c:pt>
                <c:pt idx="1185">
                  <c:v>66654.240000000005</c:v>
                </c:pt>
                <c:pt idx="1186">
                  <c:v>66976.05</c:v>
                </c:pt>
                <c:pt idx="1187">
                  <c:v>67427.929999999993</c:v>
                </c:pt>
                <c:pt idx="1188">
                  <c:v>67064.69</c:v>
                </c:pt>
                <c:pt idx="1189">
                  <c:v>67646.080000000002</c:v>
                </c:pt>
                <c:pt idx="1190">
                  <c:v>67068.740000000005</c:v>
                </c:pt>
                <c:pt idx="1191">
                  <c:v>67452.86</c:v>
                </c:pt>
                <c:pt idx="1192">
                  <c:v>67451.539999999994</c:v>
                </c:pt>
                <c:pt idx="1193">
                  <c:v>66829.210000000006</c:v>
                </c:pt>
                <c:pt idx="1194">
                  <c:v>66011.06</c:v>
                </c:pt>
                <c:pt idx="1195">
                  <c:v>66113.48</c:v>
                </c:pt>
                <c:pt idx="1196">
                  <c:v>67905.679999999993</c:v>
                </c:pt>
                <c:pt idx="1197">
                  <c:v>68939.839999999997</c:v>
                </c:pt>
                <c:pt idx="1198">
                  <c:v>68824.7</c:v>
                </c:pt>
                <c:pt idx="1199">
                  <c:v>69384.759999999995</c:v>
                </c:pt>
                <c:pt idx="1200">
                  <c:v>69401.95</c:v>
                </c:pt>
                <c:pt idx="1201">
                  <c:v>69617.16</c:v>
                </c:pt>
                <c:pt idx="1202">
                  <c:v>69602.039999999994</c:v>
                </c:pt>
                <c:pt idx="1203">
                  <c:v>68673.95</c:v>
                </c:pt>
                <c:pt idx="1204">
                  <c:v>68371.23</c:v>
                </c:pt>
                <c:pt idx="1205">
                  <c:v>68898.039999999994</c:v>
                </c:pt>
                <c:pt idx="1206">
                  <c:v>68705.73</c:v>
                </c:pt>
                <c:pt idx="1207">
                  <c:v>68822.75</c:v>
                </c:pt>
                <c:pt idx="1208">
                  <c:v>68970.78</c:v>
                </c:pt>
                <c:pt idx="1209">
                  <c:v>69565.23</c:v>
                </c:pt>
                <c:pt idx="1210">
                  <c:v>68525.539999999994</c:v>
                </c:pt>
                <c:pt idx="1211">
                  <c:v>67340.72</c:v>
                </c:pt>
                <c:pt idx="1212">
                  <c:v>68051.05</c:v>
                </c:pt>
                <c:pt idx="1213">
                  <c:v>68063.7</c:v>
                </c:pt>
                <c:pt idx="1214">
                  <c:v>67404.27</c:v>
                </c:pt>
                <c:pt idx="1215">
                  <c:v>66558.460000000006</c:v>
                </c:pt>
                <c:pt idx="1216">
                  <c:v>65724.679999999993</c:v>
                </c:pt>
                <c:pt idx="1217">
                  <c:v>64804.74</c:v>
                </c:pt>
                <c:pt idx="1218">
                  <c:v>66529.53</c:v>
                </c:pt>
                <c:pt idx="1219">
                  <c:v>67538.61</c:v>
                </c:pt>
                <c:pt idx="1220">
                  <c:v>67897.600000000006</c:v>
                </c:pt>
                <c:pt idx="1221">
                  <c:v>67088.27</c:v>
                </c:pt>
                <c:pt idx="1222">
                  <c:v>67293.33</c:v>
                </c:pt>
                <c:pt idx="1223">
                  <c:v>66385.570000000007</c:v>
                </c:pt>
                <c:pt idx="1224">
                  <c:v>65243.5</c:v>
                </c:pt>
                <c:pt idx="1225">
                  <c:v>66806.36</c:v>
                </c:pt>
                <c:pt idx="1226">
                  <c:v>65849.75</c:v>
                </c:pt>
                <c:pt idx="1227">
                  <c:v>66166.86</c:v>
                </c:pt>
                <c:pt idx="1228">
                  <c:v>66323.759999999995</c:v>
                </c:pt>
                <c:pt idx="1229">
                  <c:v>66555.78</c:v>
                </c:pt>
                <c:pt idx="1230">
                  <c:v>66248.740000000005</c:v>
                </c:pt>
                <c:pt idx="1231">
                  <c:v>66548.710000000006</c:v>
                </c:pt>
                <c:pt idx="1232">
                  <c:v>65809.350000000006</c:v>
                </c:pt>
                <c:pt idx="1233">
                  <c:v>66215.47</c:v>
                </c:pt>
                <c:pt idx="1234">
                  <c:v>66263.490000000005</c:v>
                </c:pt>
                <c:pt idx="1235">
                  <c:v>65819.63</c:v>
                </c:pt>
                <c:pt idx="1236">
                  <c:v>65551.73</c:v>
                </c:pt>
                <c:pt idx="1237">
                  <c:v>65563.48</c:v>
                </c:pt>
                <c:pt idx="1238">
                  <c:v>65635.23</c:v>
                </c:pt>
                <c:pt idx="1239">
                  <c:v>66585.48</c:v>
                </c:pt>
                <c:pt idx="1240">
                  <c:v>67310.570000000007</c:v>
                </c:pt>
                <c:pt idx="1241">
                  <c:v>67941.48</c:v>
                </c:pt>
                <c:pt idx="1242">
                  <c:v>67723.91</c:v>
                </c:pt>
                <c:pt idx="1243">
                  <c:v>67542.84</c:v>
                </c:pt>
                <c:pt idx="1244">
                  <c:v>67681.47</c:v>
                </c:pt>
                <c:pt idx="1245">
                  <c:v>67644.84</c:v>
                </c:pt>
                <c:pt idx="1246">
                  <c:v>67575.42</c:v>
                </c:pt>
                <c:pt idx="1247">
                  <c:v>67825.02</c:v>
                </c:pt>
                <c:pt idx="1248">
                  <c:v>67791.38</c:v>
                </c:pt>
                <c:pt idx="1249">
                  <c:v>69049.039999999994</c:v>
                </c:pt>
                <c:pt idx="1250">
                  <c:v>68922.86</c:v>
                </c:pt>
                <c:pt idx="1251">
                  <c:v>67964.039999999994</c:v>
                </c:pt>
                <c:pt idx="1252">
                  <c:v>67554.86</c:v>
                </c:pt>
                <c:pt idx="1253">
                  <c:v>66940.25</c:v>
                </c:pt>
                <c:pt idx="1254">
                  <c:v>66108.23</c:v>
                </c:pt>
                <c:pt idx="1255">
                  <c:v>66076.679999999993</c:v>
                </c:pt>
                <c:pt idx="1256">
                  <c:v>66054.92</c:v>
                </c:pt>
                <c:pt idx="1257">
                  <c:v>66238.929999999993</c:v>
                </c:pt>
                <c:pt idx="1258">
                  <c:v>66124.44</c:v>
                </c:pt>
                <c:pt idx="1259">
                  <c:v>65855.81</c:v>
                </c:pt>
                <c:pt idx="1260">
                  <c:v>67254.92</c:v>
                </c:pt>
                <c:pt idx="1261">
                  <c:v>67217.11</c:v>
                </c:pt>
                <c:pt idx="1262">
                  <c:v>66598.13</c:v>
                </c:pt>
                <c:pt idx="1263">
                  <c:v>66168.649999999994</c:v>
                </c:pt>
                <c:pt idx="1264">
                  <c:v>67424.27</c:v>
                </c:pt>
                <c:pt idx="1265">
                  <c:v>67241.2</c:v>
                </c:pt>
                <c:pt idx="1266">
                  <c:v>68377.23</c:v>
                </c:pt>
                <c:pt idx="1267">
                  <c:v>68519.53</c:v>
                </c:pt>
                <c:pt idx="1268">
                  <c:v>67608.89</c:v>
                </c:pt>
                <c:pt idx="1269">
                  <c:v>67346.19</c:v>
                </c:pt>
                <c:pt idx="1270">
                  <c:v>66173.97</c:v>
                </c:pt>
                <c:pt idx="1271">
                  <c:v>66586.240000000005</c:v>
                </c:pt>
                <c:pt idx="1272">
                  <c:v>66937</c:v>
                </c:pt>
                <c:pt idx="1273">
                  <c:v>67392.73</c:v>
                </c:pt>
                <c:pt idx="1274">
                  <c:v>67740.11</c:v>
                </c:pt>
                <c:pt idx="1275">
                  <c:v>67572.58</c:v>
                </c:pt>
                <c:pt idx="1276">
                  <c:v>67295.740000000005</c:v>
                </c:pt>
                <c:pt idx="1277">
                  <c:v>66971.59</c:v>
                </c:pt>
                <c:pt idx="1278">
                  <c:v>67145.75</c:v>
                </c:pt>
                <c:pt idx="1279">
                  <c:v>66835.520000000004</c:v>
                </c:pt>
                <c:pt idx="1280">
                  <c:v>68094.28</c:v>
                </c:pt>
                <c:pt idx="1281">
                  <c:v>68698.78</c:v>
                </c:pt>
                <c:pt idx="1282">
                  <c:v>67823.09</c:v>
                </c:pt>
                <c:pt idx="1283">
                  <c:v>67812.149999999994</c:v>
                </c:pt>
                <c:pt idx="1284">
                  <c:v>67072.490000000005</c:v>
                </c:pt>
                <c:pt idx="1285">
                  <c:v>66390.02</c:v>
                </c:pt>
                <c:pt idx="1286">
                  <c:v>67191.27</c:v>
                </c:pt>
                <c:pt idx="1287">
                  <c:v>67053.97</c:v>
                </c:pt>
                <c:pt idx="1288">
                  <c:v>67160.42</c:v>
                </c:pt>
                <c:pt idx="1289">
                  <c:v>68063.89</c:v>
                </c:pt>
                <c:pt idx="1290">
                  <c:v>67236.31</c:v>
                </c:pt>
                <c:pt idx="1291">
                  <c:v>66485.289999999994</c:v>
                </c:pt>
                <c:pt idx="1292">
                  <c:v>67291.66</c:v>
                </c:pt>
                <c:pt idx="1293">
                  <c:v>67089.37</c:v>
                </c:pt>
                <c:pt idx="1294">
                  <c:v>66833.990000000005</c:v>
                </c:pt>
                <c:pt idx="1295">
                  <c:v>64783.62</c:v>
                </c:pt>
                <c:pt idx="1296">
                  <c:v>65257.09</c:v>
                </c:pt>
                <c:pt idx="1297">
                  <c:v>65318.52</c:v>
                </c:pt>
                <c:pt idx="1298">
                  <c:v>65911.27</c:v>
                </c:pt>
                <c:pt idx="1299">
                  <c:v>66739.740000000005</c:v>
                </c:pt>
                <c:pt idx="1300">
                  <c:v>66494.490000000005</c:v>
                </c:pt>
                <c:pt idx="1301">
                  <c:v>67289.37</c:v>
                </c:pt>
                <c:pt idx="1302">
                  <c:v>67566.42</c:v>
                </c:pt>
                <c:pt idx="1303">
                  <c:v>68209.86</c:v>
                </c:pt>
                <c:pt idx="1304">
                  <c:v>68775.06</c:v>
                </c:pt>
                <c:pt idx="1305">
                  <c:v>68516.990000000005</c:v>
                </c:pt>
                <c:pt idx="1306">
                  <c:v>68655.960000000006</c:v>
                </c:pt>
                <c:pt idx="1307">
                  <c:v>68426.17</c:v>
                </c:pt>
                <c:pt idx="1308">
                  <c:v>68271.19</c:v>
                </c:pt>
                <c:pt idx="1309">
                  <c:v>67743.539999999994</c:v>
                </c:pt>
                <c:pt idx="1310">
                  <c:v>68326.789999999994</c:v>
                </c:pt>
                <c:pt idx="1311">
                  <c:v>68510.75</c:v>
                </c:pt>
                <c:pt idx="1312">
                  <c:v>67536.960000000006</c:v>
                </c:pt>
                <c:pt idx="1313">
                  <c:v>66138.05</c:v>
                </c:pt>
                <c:pt idx="1314">
                  <c:v>67483.759999999995</c:v>
                </c:pt>
                <c:pt idx="1315">
                  <c:v>66200.759999999995</c:v>
                </c:pt>
                <c:pt idx="1316">
                  <c:v>65921.600000000006</c:v>
                </c:pt>
                <c:pt idx="1317">
                  <c:v>67362.820000000007</c:v>
                </c:pt>
                <c:pt idx="1318">
                  <c:v>67464.86</c:v>
                </c:pt>
                <c:pt idx="1319">
                  <c:v>66575.45</c:v>
                </c:pt>
                <c:pt idx="1320">
                  <c:v>67110.070000000007</c:v>
                </c:pt>
                <c:pt idx="1321">
                  <c:v>67227.06</c:v>
                </c:pt>
                <c:pt idx="1322">
                  <c:v>67124.83</c:v>
                </c:pt>
                <c:pt idx="1323">
                  <c:v>66132.240000000005</c:v>
                </c:pt>
                <c:pt idx="1324">
                  <c:v>65882.720000000001</c:v>
                </c:pt>
                <c:pt idx="1325">
                  <c:v>66150.820000000007</c:v>
                </c:pt>
                <c:pt idx="1326">
                  <c:v>65162.69</c:v>
                </c:pt>
                <c:pt idx="1327">
                  <c:v>65059.16</c:v>
                </c:pt>
                <c:pt idx="1328">
                  <c:v>64289.48</c:v>
                </c:pt>
                <c:pt idx="1329">
                  <c:v>63786.21</c:v>
                </c:pt>
                <c:pt idx="1330">
                  <c:v>63010.61</c:v>
                </c:pt>
                <c:pt idx="1331">
                  <c:v>62733.65</c:v>
                </c:pt>
                <c:pt idx="1332">
                  <c:v>62796.65</c:v>
                </c:pt>
                <c:pt idx="1333">
                  <c:v>62472.1</c:v>
                </c:pt>
                <c:pt idx="1334">
                  <c:v>63206.720000000001</c:v>
                </c:pt>
                <c:pt idx="1335">
                  <c:v>62784.52</c:v>
                </c:pt>
                <c:pt idx="1336">
                  <c:v>63923.63</c:v>
                </c:pt>
                <c:pt idx="1337">
                  <c:v>64559.85</c:v>
                </c:pt>
                <c:pt idx="1338">
                  <c:v>63987.92</c:v>
                </c:pt>
                <c:pt idx="1339">
                  <c:v>64174.879999999997</c:v>
                </c:pt>
                <c:pt idx="1340">
                  <c:v>64108.51</c:v>
                </c:pt>
                <c:pt idx="1341">
                  <c:v>63603.26</c:v>
                </c:pt>
                <c:pt idx="1342">
                  <c:v>63713.87</c:v>
                </c:pt>
                <c:pt idx="1343">
                  <c:v>63549.75</c:v>
                </c:pt>
                <c:pt idx="1344">
                  <c:v>63884.77</c:v>
                </c:pt>
                <c:pt idx="1345">
                  <c:v>63474.53</c:v>
                </c:pt>
                <c:pt idx="1346">
                  <c:v>63535.1</c:v>
                </c:pt>
                <c:pt idx="1347">
                  <c:v>63759.93</c:v>
                </c:pt>
                <c:pt idx="1348">
                  <c:v>63519.18</c:v>
                </c:pt>
                <c:pt idx="1349">
                  <c:v>63042.879999999997</c:v>
                </c:pt>
                <c:pt idx="1350">
                  <c:v>61857.42</c:v>
                </c:pt>
                <c:pt idx="1351">
                  <c:v>60921.37</c:v>
                </c:pt>
                <c:pt idx="1352">
                  <c:v>60479.42</c:v>
                </c:pt>
                <c:pt idx="1353">
                  <c:v>59408.68</c:v>
                </c:pt>
                <c:pt idx="1354">
                  <c:v>59634.93</c:v>
                </c:pt>
                <c:pt idx="1355">
                  <c:v>59246.400000000001</c:v>
                </c:pt>
                <c:pt idx="1356">
                  <c:v>59006.07</c:v>
                </c:pt>
                <c:pt idx="1357">
                  <c:v>59175.8</c:v>
                </c:pt>
                <c:pt idx="1358">
                  <c:v>58986.720000000001</c:v>
                </c:pt>
                <c:pt idx="1359">
                  <c:v>58619.75</c:v>
                </c:pt>
                <c:pt idx="1360">
                  <c:v>58714.87</c:v>
                </c:pt>
                <c:pt idx="1361">
                  <c:v>59788.12</c:v>
                </c:pt>
                <c:pt idx="1362">
                  <c:v>60544.3</c:v>
                </c:pt>
                <c:pt idx="1363">
                  <c:v>59478.26</c:v>
                </c:pt>
                <c:pt idx="1364">
                  <c:v>59508.800000000003</c:v>
                </c:pt>
                <c:pt idx="1365">
                  <c:v>59412.61</c:v>
                </c:pt>
                <c:pt idx="1366">
                  <c:v>59282.77</c:v>
                </c:pt>
                <c:pt idx="1367">
                  <c:v>59291.75</c:v>
                </c:pt>
                <c:pt idx="1368">
                  <c:v>59159.360000000001</c:v>
                </c:pt>
                <c:pt idx="1369">
                  <c:v>59527.7</c:v>
                </c:pt>
                <c:pt idx="1370">
                  <c:v>59419.37</c:v>
                </c:pt>
                <c:pt idx="1371">
                  <c:v>58947.48</c:v>
                </c:pt>
                <c:pt idx="1372">
                  <c:v>58281.98</c:v>
                </c:pt>
                <c:pt idx="1373">
                  <c:v>57509.72</c:v>
                </c:pt>
                <c:pt idx="1374">
                  <c:v>57091.89</c:v>
                </c:pt>
                <c:pt idx="1375">
                  <c:v>57822.5</c:v>
                </c:pt>
                <c:pt idx="1376">
                  <c:v>57923.69</c:v>
                </c:pt>
                <c:pt idx="1377">
                  <c:v>57742.19</c:v>
                </c:pt>
                <c:pt idx="1378">
                  <c:v>57761.919999999998</c:v>
                </c:pt>
                <c:pt idx="1379">
                  <c:v>57147.31</c:v>
                </c:pt>
                <c:pt idx="1380">
                  <c:v>56615.28</c:v>
                </c:pt>
                <c:pt idx="1381">
                  <c:v>56753.49</c:v>
                </c:pt>
                <c:pt idx="1382">
                  <c:v>57323.67</c:v>
                </c:pt>
                <c:pt idx="1383">
                  <c:v>57053.01</c:v>
                </c:pt>
                <c:pt idx="1384">
                  <c:v>57267</c:v>
                </c:pt>
                <c:pt idx="1385">
                  <c:v>57182.6</c:v>
                </c:pt>
                <c:pt idx="1386">
                  <c:v>57031.19</c:v>
                </c:pt>
                <c:pt idx="1387">
                  <c:v>57607.3</c:v>
                </c:pt>
                <c:pt idx="1388">
                  <c:v>57672.12</c:v>
                </c:pt>
                <c:pt idx="1389">
                  <c:v>57307.49</c:v>
                </c:pt>
                <c:pt idx="1390">
                  <c:v>56387.040000000001</c:v>
                </c:pt>
                <c:pt idx="1391">
                  <c:v>55225.24</c:v>
                </c:pt>
                <c:pt idx="1392">
                  <c:v>53656.21</c:v>
                </c:pt>
                <c:pt idx="1393">
                  <c:v>53187.81</c:v>
                </c:pt>
                <c:pt idx="1394">
                  <c:v>52618.04</c:v>
                </c:pt>
                <c:pt idx="1395">
                  <c:v>51684.7</c:v>
                </c:pt>
                <c:pt idx="1396">
                  <c:v>51896.97</c:v>
                </c:pt>
                <c:pt idx="1397">
                  <c:v>52308.14</c:v>
                </c:pt>
                <c:pt idx="1398">
                  <c:v>54079.43</c:v>
                </c:pt>
                <c:pt idx="1399">
                  <c:v>54890.879999999997</c:v>
                </c:pt>
                <c:pt idx="1400">
                  <c:v>55339.58</c:v>
                </c:pt>
                <c:pt idx="1401">
                  <c:v>54796.42</c:v>
                </c:pt>
                <c:pt idx="1402">
                  <c:v>55345.49</c:v>
                </c:pt>
                <c:pt idx="1403">
                  <c:v>55271.75</c:v>
                </c:pt>
                <c:pt idx="1404">
                  <c:v>55161.03</c:v>
                </c:pt>
                <c:pt idx="1405">
                  <c:v>55047.26</c:v>
                </c:pt>
                <c:pt idx="1406">
                  <c:v>54843.96</c:v>
                </c:pt>
                <c:pt idx="1407">
                  <c:v>55394.23</c:v>
                </c:pt>
                <c:pt idx="1408">
                  <c:v>55054.53</c:v>
                </c:pt>
                <c:pt idx="1409">
                  <c:v>55552.35</c:v>
                </c:pt>
                <c:pt idx="1410">
                  <c:v>55182.99</c:v>
                </c:pt>
                <c:pt idx="1411">
                  <c:v>54554.85</c:v>
                </c:pt>
                <c:pt idx="1412">
                  <c:v>54749.77</c:v>
                </c:pt>
                <c:pt idx="1413">
                  <c:v>54203.83</c:v>
                </c:pt>
                <c:pt idx="1414">
                  <c:v>54524.05</c:v>
                </c:pt>
                <c:pt idx="1415">
                  <c:v>54219.24</c:v>
                </c:pt>
                <c:pt idx="1416">
                  <c:v>54446.78</c:v>
                </c:pt>
                <c:pt idx="1417">
                  <c:v>54264.959999999999</c:v>
                </c:pt>
                <c:pt idx="1418">
                  <c:v>54506.879999999997</c:v>
                </c:pt>
                <c:pt idx="1419">
                  <c:v>54718.8</c:v>
                </c:pt>
                <c:pt idx="1420">
                  <c:v>53587.11</c:v>
                </c:pt>
                <c:pt idx="1421">
                  <c:v>54247.81</c:v>
                </c:pt>
                <c:pt idx="1422">
                  <c:v>53265.33</c:v>
                </c:pt>
                <c:pt idx="1423">
                  <c:v>53319.08</c:v>
                </c:pt>
                <c:pt idx="1424">
                  <c:v>54673.65</c:v>
                </c:pt>
                <c:pt idx="1425">
                  <c:v>55035.6</c:v>
                </c:pt>
                <c:pt idx="1426">
                  <c:v>55960.74</c:v>
                </c:pt>
                <c:pt idx="1427">
                  <c:v>56130.78</c:v>
                </c:pt>
                <c:pt idx="1428">
                  <c:v>56327.05</c:v>
                </c:pt>
                <c:pt idx="1429">
                  <c:v>56087.839999999997</c:v>
                </c:pt>
                <c:pt idx="1430">
                  <c:v>55953.96</c:v>
                </c:pt>
                <c:pt idx="1431">
                  <c:v>55211.34</c:v>
                </c:pt>
                <c:pt idx="1432">
                  <c:v>54438.82</c:v>
                </c:pt>
                <c:pt idx="1433">
                  <c:v>54400.28</c:v>
                </c:pt>
                <c:pt idx="1434">
                  <c:v>53878.95</c:v>
                </c:pt>
                <c:pt idx="1435">
                  <c:v>54522.35</c:v>
                </c:pt>
                <c:pt idx="1436">
                  <c:v>55861.88</c:v>
                </c:pt>
                <c:pt idx="1437">
                  <c:v>55927.69</c:v>
                </c:pt>
                <c:pt idx="1438">
                  <c:v>55476.11</c:v>
                </c:pt>
                <c:pt idx="1439">
                  <c:v>56057.1</c:v>
                </c:pt>
                <c:pt idx="1440">
                  <c:v>56869.67</c:v>
                </c:pt>
                <c:pt idx="1441">
                  <c:v>56572.24</c:v>
                </c:pt>
                <c:pt idx="1442">
                  <c:v>56114.23</c:v>
                </c:pt>
                <c:pt idx="1443">
                  <c:v>56625.42</c:v>
                </c:pt>
                <c:pt idx="1444">
                  <c:v>55949.919999999998</c:v>
                </c:pt>
                <c:pt idx="1445">
                  <c:v>55629.98</c:v>
                </c:pt>
                <c:pt idx="1446">
                  <c:v>56433.279999999999</c:v>
                </c:pt>
                <c:pt idx="1447">
                  <c:v>57025.16</c:v>
                </c:pt>
                <c:pt idx="1448">
                  <c:v>57435.08</c:v>
                </c:pt>
                <c:pt idx="1449">
                  <c:v>57077.48</c:v>
                </c:pt>
                <c:pt idx="1450">
                  <c:v>57419.46</c:v>
                </c:pt>
                <c:pt idx="1451">
                  <c:v>57417.279999999999</c:v>
                </c:pt>
                <c:pt idx="1452">
                  <c:v>57168.24</c:v>
                </c:pt>
                <c:pt idx="1453">
                  <c:v>56757.73</c:v>
                </c:pt>
                <c:pt idx="1454">
                  <c:v>57656.69</c:v>
                </c:pt>
                <c:pt idx="1455">
                  <c:v>57629.36</c:v>
                </c:pt>
                <c:pt idx="1456">
                  <c:v>56248.93</c:v>
                </c:pt>
                <c:pt idx="1457">
                  <c:v>55829.4</c:v>
                </c:pt>
                <c:pt idx="1458">
                  <c:v>55721.8</c:v>
                </c:pt>
                <c:pt idx="1459">
                  <c:v>55844.9</c:v>
                </c:pt>
                <c:pt idx="1460">
                  <c:v>56707.74</c:v>
                </c:pt>
                <c:pt idx="1461">
                  <c:v>56488.11</c:v>
                </c:pt>
                <c:pt idx="1462">
                  <c:v>56326.2</c:v>
                </c:pt>
                <c:pt idx="1463">
                  <c:v>55645.65</c:v>
                </c:pt>
                <c:pt idx="1464">
                  <c:v>56070.7</c:v>
                </c:pt>
                <c:pt idx="1465">
                  <c:v>55834.239999999998</c:v>
                </c:pt>
                <c:pt idx="1466">
                  <c:v>56422.14</c:v>
                </c:pt>
                <c:pt idx="1467">
                  <c:v>56265.36</c:v>
                </c:pt>
                <c:pt idx="1468">
                  <c:v>55911.8</c:v>
                </c:pt>
                <c:pt idx="1469">
                  <c:v>55729.45</c:v>
                </c:pt>
                <c:pt idx="1470">
                  <c:v>55947.05</c:v>
                </c:pt>
                <c:pt idx="1471">
                  <c:v>55531.05</c:v>
                </c:pt>
                <c:pt idx="1472">
                  <c:v>56199.46</c:v>
                </c:pt>
                <c:pt idx="1473">
                  <c:v>55417.89</c:v>
                </c:pt>
                <c:pt idx="1474">
                  <c:v>55787.9</c:v>
                </c:pt>
                <c:pt idx="1475">
                  <c:v>55870.69</c:v>
                </c:pt>
                <c:pt idx="1476">
                  <c:v>55243.8</c:v>
                </c:pt>
                <c:pt idx="1477">
                  <c:v>54846.28</c:v>
                </c:pt>
                <c:pt idx="1478">
                  <c:v>54521.9</c:v>
                </c:pt>
                <c:pt idx="1479">
                  <c:v>54617.19</c:v>
                </c:pt>
                <c:pt idx="1480">
                  <c:v>53787.72</c:v>
                </c:pt>
                <c:pt idx="1481">
                  <c:v>54362.36</c:v>
                </c:pt>
                <c:pt idx="1482">
                  <c:v>54141.5</c:v>
                </c:pt>
                <c:pt idx="1483">
                  <c:v>53648.05</c:v>
                </c:pt>
                <c:pt idx="1484">
                  <c:v>53914.05</c:v>
                </c:pt>
                <c:pt idx="1485">
                  <c:v>54447.73</c:v>
                </c:pt>
                <c:pt idx="1486">
                  <c:v>55474.93</c:v>
                </c:pt>
                <c:pt idx="1487">
                  <c:v>54230.17</c:v>
                </c:pt>
                <c:pt idx="1488">
                  <c:v>54224.4</c:v>
                </c:pt>
                <c:pt idx="1489">
                  <c:v>53941.22</c:v>
                </c:pt>
                <c:pt idx="1490">
                  <c:v>54027.42</c:v>
                </c:pt>
                <c:pt idx="1491">
                  <c:v>52270.2</c:v>
                </c:pt>
                <c:pt idx="1492">
                  <c:v>53639.64</c:v>
                </c:pt>
                <c:pt idx="1493">
                  <c:v>53295.3</c:v>
                </c:pt>
                <c:pt idx="1494">
                  <c:v>53672.63</c:v>
                </c:pt>
                <c:pt idx="1495">
                  <c:v>54483.48</c:v>
                </c:pt>
                <c:pt idx="1496">
                  <c:v>54684.32</c:v>
                </c:pt>
                <c:pt idx="1497">
                  <c:v>54722.38</c:v>
                </c:pt>
                <c:pt idx="1498">
                  <c:v>53204.79</c:v>
                </c:pt>
                <c:pt idx="1499">
                  <c:v>53645.279999999999</c:v>
                </c:pt>
                <c:pt idx="1500">
                  <c:v>52496.86</c:v>
                </c:pt>
                <c:pt idx="1501">
                  <c:v>50929.59</c:v>
                </c:pt>
                <c:pt idx="1502">
                  <c:v>50483</c:v>
                </c:pt>
                <c:pt idx="1503">
                  <c:v>51389.120000000003</c:v>
                </c:pt>
                <c:pt idx="1504">
                  <c:v>50495.95</c:v>
                </c:pt>
                <c:pt idx="1505">
                  <c:v>50602.5</c:v>
                </c:pt>
                <c:pt idx="1506">
                  <c:v>50074.21</c:v>
                </c:pt>
                <c:pt idx="1507">
                  <c:v>50147.21</c:v>
                </c:pt>
                <c:pt idx="1508">
                  <c:v>51022.76</c:v>
                </c:pt>
                <c:pt idx="1509">
                  <c:v>52142.75</c:v>
                </c:pt>
                <c:pt idx="1510">
                  <c:v>51950.14</c:v>
                </c:pt>
                <c:pt idx="1511">
                  <c:v>51382.06</c:v>
                </c:pt>
                <c:pt idx="1512">
                  <c:v>49628.72</c:v>
                </c:pt>
                <c:pt idx="1513">
                  <c:v>49113.06</c:v>
                </c:pt>
                <c:pt idx="1514">
                  <c:v>50152.05</c:v>
                </c:pt>
                <c:pt idx="1515">
                  <c:v>50319.41</c:v>
                </c:pt>
                <c:pt idx="1516">
                  <c:v>50202.85</c:v>
                </c:pt>
                <c:pt idx="1517">
                  <c:v>51003.58</c:v>
                </c:pt>
                <c:pt idx="1518">
                  <c:v>50019.7</c:v>
                </c:pt>
                <c:pt idx="1519">
                  <c:v>49831.99</c:v>
                </c:pt>
                <c:pt idx="1520">
                  <c:v>49184.160000000003</c:v>
                </c:pt>
                <c:pt idx="1521">
                  <c:v>49186.59</c:v>
                </c:pt>
                <c:pt idx="1522">
                  <c:v>50336.72</c:v>
                </c:pt>
                <c:pt idx="1523">
                  <c:v>50857.25</c:v>
                </c:pt>
                <c:pt idx="1524">
                  <c:v>50029.22</c:v>
                </c:pt>
                <c:pt idx="1525">
                  <c:v>49527.23</c:v>
                </c:pt>
                <c:pt idx="1526">
                  <c:v>49601.82</c:v>
                </c:pt>
                <c:pt idx="1527">
                  <c:v>48108.49</c:v>
                </c:pt>
                <c:pt idx="1528">
                  <c:v>47628.87</c:v>
                </c:pt>
                <c:pt idx="1529">
                  <c:v>48849.52</c:v>
                </c:pt>
                <c:pt idx="1530">
                  <c:v>49134.65</c:v>
                </c:pt>
                <c:pt idx="1531">
                  <c:v>48245.11</c:v>
                </c:pt>
                <c:pt idx="1532">
                  <c:v>48301.279999999999</c:v>
                </c:pt>
                <c:pt idx="1533">
                  <c:v>49874.51</c:v>
                </c:pt>
                <c:pt idx="1534">
                  <c:v>48011.56</c:v>
                </c:pt>
                <c:pt idx="1535">
                  <c:v>46689.9</c:v>
                </c:pt>
                <c:pt idx="1536">
                  <c:v>47496.72</c:v>
                </c:pt>
                <c:pt idx="1537">
                  <c:v>46240.35</c:v>
                </c:pt>
                <c:pt idx="1538">
                  <c:v>44598.7</c:v>
                </c:pt>
                <c:pt idx="1539">
                  <c:v>45060.69</c:v>
                </c:pt>
                <c:pt idx="1540">
                  <c:v>43732.44</c:v>
                </c:pt>
                <c:pt idx="1541">
                  <c:v>44490.31</c:v>
                </c:pt>
                <c:pt idx="1542">
                  <c:v>43413.63</c:v>
                </c:pt>
                <c:pt idx="1543">
                  <c:v>42946.83</c:v>
                </c:pt>
                <c:pt idx="1544">
                  <c:v>45046.35</c:v>
                </c:pt>
                <c:pt idx="1545">
                  <c:v>41149.35</c:v>
                </c:pt>
                <c:pt idx="1546">
                  <c:v>41149.35</c:v>
                </c:pt>
                <c:pt idx="1547">
                  <c:v>38267.21</c:v>
                </c:pt>
                <c:pt idx="1548">
                  <c:v>40272</c:v>
                </c:pt>
                <c:pt idx="1549">
                  <c:v>37963.01</c:v>
                </c:pt>
                <c:pt idx="1550">
                  <c:v>38604.879999999997</c:v>
                </c:pt>
                <c:pt idx="1551">
                  <c:v>41579.58</c:v>
                </c:pt>
                <c:pt idx="1552">
                  <c:v>40500.230000000003</c:v>
                </c:pt>
                <c:pt idx="1553">
                  <c:v>44177.63</c:v>
                </c:pt>
                <c:pt idx="1554">
                  <c:v>44303.47</c:v>
                </c:pt>
                <c:pt idx="1555">
                  <c:v>49074.09</c:v>
                </c:pt>
                <c:pt idx="1556">
                  <c:v>49466.01</c:v>
                </c:pt>
                <c:pt idx="1557">
                  <c:v>48819.55</c:v>
                </c:pt>
                <c:pt idx="1558">
                  <c:v>52064.72</c:v>
                </c:pt>
                <c:pt idx="1559">
                  <c:v>52936.27</c:v>
                </c:pt>
                <c:pt idx="1560">
                  <c:v>52926.75</c:v>
                </c:pt>
                <c:pt idx="1561">
                  <c:v>52957.85</c:v>
                </c:pt>
                <c:pt idx="1562">
                  <c:v>51840.09</c:v>
                </c:pt>
                <c:pt idx="1563">
                  <c:v>51038.18</c:v>
                </c:pt>
                <c:pt idx="1564">
                  <c:v>53444.83</c:v>
                </c:pt>
                <c:pt idx="1565">
                  <c:v>55047.199999999997</c:v>
                </c:pt>
                <c:pt idx="1566">
                  <c:v>54809.51</c:v>
                </c:pt>
                <c:pt idx="1567">
                  <c:v>54881.56</c:v>
                </c:pt>
                <c:pt idx="1568">
                  <c:v>57336.21</c:v>
                </c:pt>
                <c:pt idx="1569">
                  <c:v>57793.03</c:v>
                </c:pt>
                <c:pt idx="1570">
                  <c:v>57940.97</c:v>
                </c:pt>
                <c:pt idx="1571">
                  <c:v>57714.66</c:v>
                </c:pt>
                <c:pt idx="1572">
                  <c:v>58187.96</c:v>
                </c:pt>
                <c:pt idx="1573">
                  <c:v>57861.760000000002</c:v>
                </c:pt>
                <c:pt idx="1574">
                  <c:v>57835.69</c:v>
                </c:pt>
                <c:pt idx="1575">
                  <c:v>57744.13</c:v>
                </c:pt>
                <c:pt idx="1576">
                  <c:v>56981.2</c:v>
                </c:pt>
                <c:pt idx="1577">
                  <c:v>56847.74</c:v>
                </c:pt>
                <c:pt idx="1578">
                  <c:v>57276.49</c:v>
                </c:pt>
                <c:pt idx="1579">
                  <c:v>57531.49</c:v>
                </c:pt>
                <c:pt idx="1580">
                  <c:v>57426.2</c:v>
                </c:pt>
                <c:pt idx="1581">
                  <c:v>56817.03</c:v>
                </c:pt>
                <c:pt idx="1582">
                  <c:v>55828.49</c:v>
                </c:pt>
                <c:pt idx="1583">
                  <c:v>56079.54</c:v>
                </c:pt>
                <c:pt idx="1584">
                  <c:v>56590.93</c:v>
                </c:pt>
                <c:pt idx="1585">
                  <c:v>56370.720000000001</c:v>
                </c:pt>
                <c:pt idx="1586">
                  <c:v>55748.24</c:v>
                </c:pt>
                <c:pt idx="1587">
                  <c:v>55902.94</c:v>
                </c:pt>
                <c:pt idx="1588">
                  <c:v>57261.04</c:v>
                </c:pt>
                <c:pt idx="1589">
                  <c:v>56894.67</c:v>
                </c:pt>
                <c:pt idx="1590">
                  <c:v>57918.89</c:v>
                </c:pt>
                <c:pt idx="1591">
                  <c:v>57976.39</c:v>
                </c:pt>
                <c:pt idx="1592">
                  <c:v>58850.41</c:v>
                </c:pt>
                <c:pt idx="1593">
                  <c:v>59001.87</c:v>
                </c:pt>
                <c:pt idx="1594">
                  <c:v>58217.43</c:v>
                </c:pt>
                <c:pt idx="1595">
                  <c:v>58063.59</c:v>
                </c:pt>
                <c:pt idx="1596">
                  <c:v>57967.13</c:v>
                </c:pt>
                <c:pt idx="1597">
                  <c:v>57572.72</c:v>
                </c:pt>
                <c:pt idx="1598">
                  <c:v>57484.84</c:v>
                </c:pt>
                <c:pt idx="1599">
                  <c:v>57128.68</c:v>
                </c:pt>
                <c:pt idx="1600">
                  <c:v>57322.33</c:v>
                </c:pt>
                <c:pt idx="1601">
                  <c:v>57384.41</c:v>
                </c:pt>
                <c:pt idx="1602">
                  <c:v>57195.35</c:v>
                </c:pt>
                <c:pt idx="1603">
                  <c:v>57810</c:v>
                </c:pt>
                <c:pt idx="1604">
                  <c:v>57718</c:v>
                </c:pt>
                <c:pt idx="1605">
                  <c:v>57084.1</c:v>
                </c:pt>
                <c:pt idx="1606">
                  <c:v>57703.56</c:v>
                </c:pt>
                <c:pt idx="1607">
                  <c:v>57430.7</c:v>
                </c:pt>
                <c:pt idx="1608">
                  <c:v>57244.87</c:v>
                </c:pt>
                <c:pt idx="1609">
                  <c:v>57092.85</c:v>
                </c:pt>
                <c:pt idx="1610">
                  <c:v>57411.21</c:v>
                </c:pt>
                <c:pt idx="1611">
                  <c:v>57558.92</c:v>
                </c:pt>
                <c:pt idx="1612">
                  <c:v>57767.81</c:v>
                </c:pt>
                <c:pt idx="1613">
                  <c:v>57326.18</c:v>
                </c:pt>
                <c:pt idx="1614">
                  <c:v>56749.120000000003</c:v>
                </c:pt>
                <c:pt idx="1615">
                  <c:v>55824.08</c:v>
                </c:pt>
                <c:pt idx="1616">
                  <c:v>55766.45</c:v>
                </c:pt>
                <c:pt idx="1617">
                  <c:v>55417.93</c:v>
                </c:pt>
                <c:pt idx="1618">
                  <c:v>55269.2</c:v>
                </c:pt>
                <c:pt idx="1619">
                  <c:v>55307.31</c:v>
                </c:pt>
                <c:pt idx="1620">
                  <c:v>54779.76</c:v>
                </c:pt>
                <c:pt idx="1621">
                  <c:v>55022.87</c:v>
                </c:pt>
                <c:pt idx="1622">
                  <c:v>54485.41</c:v>
                </c:pt>
                <c:pt idx="1623">
                  <c:v>54814.07</c:v>
                </c:pt>
                <c:pt idx="1624">
                  <c:v>55349.01</c:v>
                </c:pt>
                <c:pt idx="1625">
                  <c:v>55702.45</c:v>
                </c:pt>
                <c:pt idx="1626">
                  <c:v>56173.86</c:v>
                </c:pt>
                <c:pt idx="1627">
                  <c:v>56053.38</c:v>
                </c:pt>
                <c:pt idx="1628">
                  <c:v>56747.88</c:v>
                </c:pt>
                <c:pt idx="1629">
                  <c:v>56759.62</c:v>
                </c:pt>
                <c:pt idx="1630">
                  <c:v>56540.25</c:v>
                </c:pt>
                <c:pt idx="1631">
                  <c:v>57313.440000000002</c:v>
                </c:pt>
                <c:pt idx="1632">
                  <c:v>57372.55</c:v>
                </c:pt>
                <c:pt idx="1633">
                  <c:v>56467.03</c:v>
                </c:pt>
                <c:pt idx="1634">
                  <c:v>56054.77</c:v>
                </c:pt>
                <c:pt idx="1635">
                  <c:v>56235.94</c:v>
                </c:pt>
                <c:pt idx="1636">
                  <c:v>56338.33</c:v>
                </c:pt>
                <c:pt idx="1637">
                  <c:v>56399.1</c:v>
                </c:pt>
                <c:pt idx="1638">
                  <c:v>56174.93</c:v>
                </c:pt>
                <c:pt idx="1639">
                  <c:v>56617.02</c:v>
                </c:pt>
                <c:pt idx="1640">
                  <c:v>57483</c:v>
                </c:pt>
                <c:pt idx="1641">
                  <c:v>57652.58</c:v>
                </c:pt>
                <c:pt idx="1642">
                  <c:v>57246.91</c:v>
                </c:pt>
                <c:pt idx="1643">
                  <c:v>56928.87</c:v>
                </c:pt>
                <c:pt idx="1644">
                  <c:v>56650.01</c:v>
                </c:pt>
                <c:pt idx="1645">
                  <c:v>56425.11</c:v>
                </c:pt>
                <c:pt idx="1646">
                  <c:v>55872.6</c:v>
                </c:pt>
                <c:pt idx="1647">
                  <c:v>55716.69</c:v>
                </c:pt>
                <c:pt idx="1648">
                  <c:v>55761.98</c:v>
                </c:pt>
                <c:pt idx="1649">
                  <c:v>55141.98</c:v>
                </c:pt>
                <c:pt idx="1650">
                  <c:v>55478.45</c:v>
                </c:pt>
                <c:pt idx="1651">
                  <c:v>55571.45</c:v>
                </c:pt>
                <c:pt idx="1652">
                  <c:v>55936.83</c:v>
                </c:pt>
                <c:pt idx="1653">
                  <c:v>56110.78</c:v>
                </c:pt>
                <c:pt idx="1654">
                  <c:v>55722.79</c:v>
                </c:pt>
                <c:pt idx="1655">
                  <c:v>55993.42</c:v>
                </c:pt>
                <c:pt idx="1656">
                  <c:v>56090.51</c:v>
                </c:pt>
                <c:pt idx="1657">
                  <c:v>55573.79</c:v>
                </c:pt>
                <c:pt idx="1658">
                  <c:v>55219.21</c:v>
                </c:pt>
                <c:pt idx="1659">
                  <c:v>55537.02</c:v>
                </c:pt>
                <c:pt idx="1660">
                  <c:v>55071.77</c:v>
                </c:pt>
                <c:pt idx="1661">
                  <c:v>54339.47</c:v>
                </c:pt>
                <c:pt idx="1662">
                  <c:v>54532.68</c:v>
                </c:pt>
                <c:pt idx="1663">
                  <c:v>54714.75</c:v>
                </c:pt>
                <c:pt idx="1664">
                  <c:v>53993.87</c:v>
                </c:pt>
                <c:pt idx="1665">
                  <c:v>53727.29</c:v>
                </c:pt>
                <c:pt idx="1666">
                  <c:v>54003.82</c:v>
                </c:pt>
                <c:pt idx="1667">
                  <c:v>54945.89</c:v>
                </c:pt>
                <c:pt idx="1668">
                  <c:v>54824.97</c:v>
                </c:pt>
                <c:pt idx="1669">
                  <c:v>55209.03</c:v>
                </c:pt>
                <c:pt idx="1670">
                  <c:v>55271.38</c:v>
                </c:pt>
                <c:pt idx="1671">
                  <c:v>54876.83</c:v>
                </c:pt>
                <c:pt idx="1672">
                  <c:v>55622.8</c:v>
                </c:pt>
                <c:pt idx="1673">
                  <c:v>56406.89</c:v>
                </c:pt>
                <c:pt idx="1674">
                  <c:v>56123.83</c:v>
                </c:pt>
                <c:pt idx="1675">
                  <c:v>56220.41</c:v>
                </c:pt>
                <c:pt idx="1676">
                  <c:v>56895.23</c:v>
                </c:pt>
                <c:pt idx="1677">
                  <c:v>57853.9</c:v>
                </c:pt>
                <c:pt idx="1678">
                  <c:v>57123.78</c:v>
                </c:pt>
                <c:pt idx="1679">
                  <c:v>56781.94</c:v>
                </c:pt>
                <c:pt idx="1680">
                  <c:v>56243.78</c:v>
                </c:pt>
                <c:pt idx="1681">
                  <c:v>55335.81</c:v>
                </c:pt>
                <c:pt idx="1682">
                  <c:v>55523.07</c:v>
                </c:pt>
                <c:pt idx="1683">
                  <c:v>55591.09</c:v>
                </c:pt>
                <c:pt idx="1684">
                  <c:v>55476.36</c:v>
                </c:pt>
                <c:pt idx="1685">
                  <c:v>54907.17</c:v>
                </c:pt>
                <c:pt idx="1686">
                  <c:v>54742.07</c:v>
                </c:pt>
                <c:pt idx="1687">
                  <c:v>54785.18</c:v>
                </c:pt>
                <c:pt idx="1688">
                  <c:v>55259.57</c:v>
                </c:pt>
                <c:pt idx="1689">
                  <c:v>54411.47</c:v>
                </c:pt>
                <c:pt idx="1690">
                  <c:v>54255.62</c:v>
                </c:pt>
                <c:pt idx="1691">
                  <c:v>53895.75</c:v>
                </c:pt>
                <c:pt idx="1692">
                  <c:v>53811.89</c:v>
                </c:pt>
                <c:pt idx="1693">
                  <c:v>53995.82</c:v>
                </c:pt>
                <c:pt idx="1694">
                  <c:v>54187.93</c:v>
                </c:pt>
                <c:pt idx="1695">
                  <c:v>54638.03</c:v>
                </c:pt>
                <c:pt idx="1696">
                  <c:v>54280.800000000003</c:v>
                </c:pt>
                <c:pt idx="1697">
                  <c:v>54386.31</c:v>
                </c:pt>
                <c:pt idx="1698">
                  <c:v>53874.52</c:v>
                </c:pt>
                <c:pt idx="1699">
                  <c:v>53840.93</c:v>
                </c:pt>
                <c:pt idx="1700">
                  <c:v>54029.43</c:v>
                </c:pt>
                <c:pt idx="1701">
                  <c:v>55191.97</c:v>
                </c:pt>
                <c:pt idx="1702">
                  <c:v>55371.53</c:v>
                </c:pt>
                <c:pt idx="1703">
                  <c:v>55535.24</c:v>
                </c:pt>
                <c:pt idx="1704">
                  <c:v>55225.32</c:v>
                </c:pt>
                <c:pt idx="1705">
                  <c:v>55062.01</c:v>
                </c:pt>
                <c:pt idx="1706">
                  <c:v>54975.38</c:v>
                </c:pt>
                <c:pt idx="1707">
                  <c:v>56273.919999999998</c:v>
                </c:pt>
                <c:pt idx="1708">
                  <c:v>57223.61</c:v>
                </c:pt>
                <c:pt idx="1709">
                  <c:v>56784.61</c:v>
                </c:pt>
                <c:pt idx="1710">
                  <c:v>57241.55</c:v>
                </c:pt>
                <c:pt idx="1711">
                  <c:v>58034.77</c:v>
                </c:pt>
                <c:pt idx="1712">
                  <c:v>57570.54</c:v>
                </c:pt>
                <c:pt idx="1713">
                  <c:v>57662.89</c:v>
                </c:pt>
                <c:pt idx="1714">
                  <c:v>57718.1</c:v>
                </c:pt>
                <c:pt idx="1715">
                  <c:v>58309.59</c:v>
                </c:pt>
                <c:pt idx="1716">
                  <c:v>58015.09</c:v>
                </c:pt>
                <c:pt idx="1717">
                  <c:v>58248.73</c:v>
                </c:pt>
                <c:pt idx="1718">
                  <c:v>57872.53</c:v>
                </c:pt>
                <c:pt idx="1719">
                  <c:v>57636.01</c:v>
                </c:pt>
                <c:pt idx="1720">
                  <c:v>58052.72</c:v>
                </c:pt>
                <c:pt idx="1721">
                  <c:v>57537.23</c:v>
                </c:pt>
                <c:pt idx="1722">
                  <c:v>57277.35</c:v>
                </c:pt>
                <c:pt idx="1723">
                  <c:v>57273.14</c:v>
                </c:pt>
                <c:pt idx="1724">
                  <c:v>57597.87</c:v>
                </c:pt>
                <c:pt idx="1725">
                  <c:v>56963.8</c:v>
                </c:pt>
                <c:pt idx="1726">
                  <c:v>57731.4</c:v>
                </c:pt>
                <c:pt idx="1727">
                  <c:v>57589.82</c:v>
                </c:pt>
                <c:pt idx="1728">
                  <c:v>57829.47</c:v>
                </c:pt>
                <c:pt idx="1729">
                  <c:v>58012.18</c:v>
                </c:pt>
                <c:pt idx="1730">
                  <c:v>58092.480000000003</c:v>
                </c:pt>
                <c:pt idx="1731">
                  <c:v>58472.52</c:v>
                </c:pt>
                <c:pt idx="1732">
                  <c:v>58203.839999999997</c:v>
                </c:pt>
                <c:pt idx="1733">
                  <c:v>58066.65</c:v>
                </c:pt>
                <c:pt idx="1734">
                  <c:v>58421.72</c:v>
                </c:pt>
                <c:pt idx="1735">
                  <c:v>58343.23</c:v>
                </c:pt>
                <c:pt idx="1736">
                  <c:v>58756.01</c:v>
                </c:pt>
                <c:pt idx="1737">
                  <c:v>58941.47</c:v>
                </c:pt>
                <c:pt idx="1738">
                  <c:v>58973.62</c:v>
                </c:pt>
                <c:pt idx="1739">
                  <c:v>58564.72</c:v>
                </c:pt>
                <c:pt idx="1740">
                  <c:v>58629.09</c:v>
                </c:pt>
                <c:pt idx="1741">
                  <c:v>58193.78</c:v>
                </c:pt>
                <c:pt idx="1742">
                  <c:v>58697.63</c:v>
                </c:pt>
                <c:pt idx="1743">
                  <c:v>58710.55</c:v>
                </c:pt>
                <c:pt idx="1744">
                  <c:v>58767.63</c:v>
                </c:pt>
                <c:pt idx="1745">
                  <c:v>58481.05</c:v>
                </c:pt>
                <c:pt idx="1746">
                  <c:v>58099.839999999997</c:v>
                </c:pt>
                <c:pt idx="1747">
                  <c:v>57090.53</c:v>
                </c:pt>
                <c:pt idx="1748">
                  <c:v>57073.38</c:v>
                </c:pt>
                <c:pt idx="1749">
                  <c:v>56500.38</c:v>
                </c:pt>
                <c:pt idx="1750">
                  <c:v>56286.31</c:v>
                </c:pt>
                <c:pt idx="1751">
                  <c:v>55650.41</c:v>
                </c:pt>
                <c:pt idx="1752">
                  <c:v>55700.59</c:v>
                </c:pt>
                <c:pt idx="1753">
                  <c:v>54997.34</c:v>
                </c:pt>
                <c:pt idx="1754">
                  <c:v>54431.63</c:v>
                </c:pt>
                <c:pt idx="1755">
                  <c:v>54488.15</c:v>
                </c:pt>
                <c:pt idx="1756">
                  <c:v>54423.56</c:v>
                </c:pt>
                <c:pt idx="1757">
                  <c:v>54271.24</c:v>
                </c:pt>
                <c:pt idx="1758">
                  <c:v>55231.05</c:v>
                </c:pt>
                <c:pt idx="1759">
                  <c:v>55523.95</c:v>
                </c:pt>
                <c:pt idx="1760">
                  <c:v>55616.97</c:v>
                </c:pt>
                <c:pt idx="1761">
                  <c:v>56183.21</c:v>
                </c:pt>
                <c:pt idx="1762">
                  <c:v>56537.72</c:v>
                </c:pt>
                <c:pt idx="1763">
                  <c:v>56043.21</c:v>
                </c:pt>
                <c:pt idx="1764">
                  <c:v>56234.28</c:v>
                </c:pt>
                <c:pt idx="1765">
                  <c:v>56373.68</c:v>
                </c:pt>
                <c:pt idx="1766">
                  <c:v>56780.75</c:v>
                </c:pt>
                <c:pt idx="1767">
                  <c:v>56496.08</c:v>
                </c:pt>
                <c:pt idx="1768">
                  <c:v>58043.6</c:v>
                </c:pt>
                <c:pt idx="1769">
                  <c:v>58712.83</c:v>
                </c:pt>
                <c:pt idx="1770">
                  <c:v>59335.9</c:v>
                </c:pt>
                <c:pt idx="1771">
                  <c:v>58743.56</c:v>
                </c:pt>
                <c:pt idx="1772">
                  <c:v>58528.4</c:v>
                </c:pt>
                <c:pt idx="1773">
                  <c:v>58662.68</c:v>
                </c:pt>
                <c:pt idx="1774">
                  <c:v>58894.19</c:v>
                </c:pt>
                <c:pt idx="1775">
                  <c:v>58807.07</c:v>
                </c:pt>
                <c:pt idx="1776">
                  <c:v>59102.68</c:v>
                </c:pt>
                <c:pt idx="1777">
                  <c:v>59544.800000000003</c:v>
                </c:pt>
                <c:pt idx="1778">
                  <c:v>59222.47</c:v>
                </c:pt>
                <c:pt idx="1779">
                  <c:v>58908.31</c:v>
                </c:pt>
                <c:pt idx="1780">
                  <c:v>58902.64</c:v>
                </c:pt>
                <c:pt idx="1781">
                  <c:v>58249.35</c:v>
                </c:pt>
                <c:pt idx="1782">
                  <c:v>58405.3</c:v>
                </c:pt>
                <c:pt idx="1783">
                  <c:v>58186.19</c:v>
                </c:pt>
                <c:pt idx="1784">
                  <c:v>58411.65</c:v>
                </c:pt>
                <c:pt idx="1785">
                  <c:v>57838.37</c:v>
                </c:pt>
                <c:pt idx="1786">
                  <c:v>57985.78</c:v>
                </c:pt>
                <c:pt idx="1787">
                  <c:v>57776.36</c:v>
                </c:pt>
                <c:pt idx="1788">
                  <c:v>57711.02</c:v>
                </c:pt>
                <c:pt idx="1789">
                  <c:v>57926.01</c:v>
                </c:pt>
                <c:pt idx="1790">
                  <c:v>57158</c:v>
                </c:pt>
                <c:pt idx="1791">
                  <c:v>57109.64</c:v>
                </c:pt>
                <c:pt idx="1792">
                  <c:v>56462.55</c:v>
                </c:pt>
                <c:pt idx="1793">
                  <c:v>56059.5</c:v>
                </c:pt>
                <c:pt idx="1794">
                  <c:v>56149.3</c:v>
                </c:pt>
                <c:pt idx="1795">
                  <c:v>55638.43</c:v>
                </c:pt>
                <c:pt idx="1796">
                  <c:v>55367.11</c:v>
                </c:pt>
                <c:pt idx="1797">
                  <c:v>56107.48</c:v>
                </c:pt>
                <c:pt idx="1798">
                  <c:v>56145.67</c:v>
                </c:pt>
                <c:pt idx="1799">
                  <c:v>56849.67</c:v>
                </c:pt>
                <c:pt idx="1800">
                  <c:v>56769.86</c:v>
                </c:pt>
                <c:pt idx="1801">
                  <c:v>56040.21</c:v>
                </c:pt>
                <c:pt idx="1802">
                  <c:v>55789.45</c:v>
                </c:pt>
                <c:pt idx="1803">
                  <c:v>55829.1</c:v>
                </c:pt>
                <c:pt idx="1804">
                  <c:v>55699.8</c:v>
                </c:pt>
                <c:pt idx="1805">
                  <c:v>55580.65</c:v>
                </c:pt>
                <c:pt idx="1806">
                  <c:v>55488.79</c:v>
                </c:pt>
                <c:pt idx="1807">
                  <c:v>55857.89</c:v>
                </c:pt>
                <c:pt idx="1808">
                  <c:v>56073.86</c:v>
                </c:pt>
                <c:pt idx="1809">
                  <c:v>55815.43</c:v>
                </c:pt>
                <c:pt idx="1810">
                  <c:v>56217.13</c:v>
                </c:pt>
                <c:pt idx="1811">
                  <c:v>56203.11</c:v>
                </c:pt>
                <c:pt idx="1812">
                  <c:v>56002.080000000002</c:v>
                </c:pt>
                <c:pt idx="1813">
                  <c:v>56297.95</c:v>
                </c:pt>
                <c:pt idx="1814">
                  <c:v>56242.8</c:v>
                </c:pt>
                <c:pt idx="1815">
                  <c:v>55878.2</c:v>
                </c:pt>
                <c:pt idx="1816">
                  <c:v>55992.97</c:v>
                </c:pt>
                <c:pt idx="1817">
                  <c:v>55483.79</c:v>
                </c:pt>
                <c:pt idx="1818">
                  <c:v>55691.58</c:v>
                </c:pt>
                <c:pt idx="1819">
                  <c:v>55194.62</c:v>
                </c:pt>
                <c:pt idx="1820">
                  <c:v>55259.98</c:v>
                </c:pt>
                <c:pt idx="1821">
                  <c:v>54628.41</c:v>
                </c:pt>
                <c:pt idx="1822">
                  <c:v>54527.11</c:v>
                </c:pt>
                <c:pt idx="1823">
                  <c:v>54543.22</c:v>
                </c:pt>
                <c:pt idx="1824">
                  <c:v>53960.51</c:v>
                </c:pt>
                <c:pt idx="1825">
                  <c:v>53409.14</c:v>
                </c:pt>
                <c:pt idx="1826">
                  <c:v>53244.18</c:v>
                </c:pt>
                <c:pt idx="1827">
                  <c:v>53888.85</c:v>
                </c:pt>
                <c:pt idx="1828">
                  <c:v>54574.28</c:v>
                </c:pt>
                <c:pt idx="1829">
                  <c:v>54209.41</c:v>
                </c:pt>
                <c:pt idx="1830">
                  <c:v>53391.83</c:v>
                </c:pt>
                <c:pt idx="1831">
                  <c:v>53930.14</c:v>
                </c:pt>
                <c:pt idx="1832">
                  <c:v>54156.75</c:v>
                </c:pt>
                <c:pt idx="1833">
                  <c:v>54131.67</c:v>
                </c:pt>
                <c:pt idx="1834">
                  <c:v>54387.7</c:v>
                </c:pt>
                <c:pt idx="1835">
                  <c:v>53767.47</c:v>
                </c:pt>
                <c:pt idx="1836">
                  <c:v>54050.23</c:v>
                </c:pt>
                <c:pt idx="1837">
                  <c:v>53639.09</c:v>
                </c:pt>
                <c:pt idx="1838">
                  <c:v>53915.15</c:v>
                </c:pt>
                <c:pt idx="1839">
                  <c:v>54078.37</c:v>
                </c:pt>
                <c:pt idx="1840">
                  <c:v>54139.05</c:v>
                </c:pt>
                <c:pt idx="1841">
                  <c:v>53731.5</c:v>
                </c:pt>
                <c:pt idx="1842">
                  <c:v>53436.21</c:v>
                </c:pt>
                <c:pt idx="1843">
                  <c:v>53786.74</c:v>
                </c:pt>
                <c:pt idx="1844">
                  <c:v>53533.54</c:v>
                </c:pt>
                <c:pt idx="1845">
                  <c:v>53485.59</c:v>
                </c:pt>
                <c:pt idx="1846">
                  <c:v>53653.38</c:v>
                </c:pt>
                <c:pt idx="1847">
                  <c:v>53271.02</c:v>
                </c:pt>
                <c:pt idx="1848">
                  <c:v>53222.89</c:v>
                </c:pt>
                <c:pt idx="1849">
                  <c:v>52165.47</c:v>
                </c:pt>
                <c:pt idx="1850">
                  <c:v>51959.3</c:v>
                </c:pt>
                <c:pt idx="1851">
                  <c:v>52202.95</c:v>
                </c:pt>
                <c:pt idx="1852">
                  <c:v>51669.94</c:v>
                </c:pt>
                <c:pt idx="1853">
                  <c:v>51264.06</c:v>
                </c:pt>
                <c:pt idx="1854">
                  <c:v>52736.86</c:v>
                </c:pt>
                <c:pt idx="1855">
                  <c:v>52444.89</c:v>
                </c:pt>
                <c:pt idx="1856">
                  <c:v>51551.71</c:v>
                </c:pt>
                <c:pt idx="1857">
                  <c:v>52081.11</c:v>
                </c:pt>
                <c:pt idx="1858">
                  <c:v>51430.36</c:v>
                </c:pt>
                <c:pt idx="1859">
                  <c:v>51347.57</c:v>
                </c:pt>
                <c:pt idx="1860">
                  <c:v>51569.77</c:v>
                </c:pt>
                <c:pt idx="1861">
                  <c:v>51237.08</c:v>
                </c:pt>
                <c:pt idx="1862">
                  <c:v>51560.47</c:v>
                </c:pt>
                <c:pt idx="1863">
                  <c:v>51744.160000000003</c:v>
                </c:pt>
                <c:pt idx="1864">
                  <c:v>51598.1</c:v>
                </c:pt>
                <c:pt idx="1865">
                  <c:v>51187.99</c:v>
                </c:pt>
                <c:pt idx="1866">
                  <c:v>50434.39</c:v>
                </c:pt>
                <c:pt idx="1867">
                  <c:v>51037.69</c:v>
                </c:pt>
                <c:pt idx="1868">
                  <c:v>50806.06</c:v>
                </c:pt>
                <c:pt idx="1869">
                  <c:v>51709.16</c:v>
                </c:pt>
                <c:pt idx="1870">
                  <c:v>52234.55</c:v>
                </c:pt>
                <c:pt idx="1871">
                  <c:v>52079.22</c:v>
                </c:pt>
                <c:pt idx="1872">
                  <c:v>50663.94</c:v>
                </c:pt>
                <c:pt idx="1873">
                  <c:v>51737.56</c:v>
                </c:pt>
                <c:pt idx="1874">
                  <c:v>51895.12</c:v>
                </c:pt>
                <c:pt idx="1875">
                  <c:v>51353.98</c:v>
                </c:pt>
                <c:pt idx="1876">
                  <c:v>51690.12</c:v>
                </c:pt>
                <c:pt idx="1877">
                  <c:v>50697.7</c:v>
                </c:pt>
                <c:pt idx="1878">
                  <c:v>51187.35</c:v>
                </c:pt>
                <c:pt idx="1879">
                  <c:v>51318.65</c:v>
                </c:pt>
                <c:pt idx="1880">
                  <c:v>51067.78</c:v>
                </c:pt>
                <c:pt idx="1881">
                  <c:v>52423.53</c:v>
                </c:pt>
                <c:pt idx="1882">
                  <c:v>52096.04</c:v>
                </c:pt>
                <c:pt idx="1883">
                  <c:v>52146.04</c:v>
                </c:pt>
                <c:pt idx="1884">
                  <c:v>51999.45</c:v>
                </c:pt>
                <c:pt idx="1885">
                  <c:v>52109.8</c:v>
                </c:pt>
                <c:pt idx="1886">
                  <c:v>52259.47</c:v>
                </c:pt>
                <c:pt idx="1887">
                  <c:v>53295.35</c:v>
                </c:pt>
                <c:pt idx="1888">
                  <c:v>54064.82</c:v>
                </c:pt>
                <c:pt idx="1889">
                  <c:v>54700.639999999999</c:v>
                </c:pt>
                <c:pt idx="1890">
                  <c:v>54450.55</c:v>
                </c:pt>
                <c:pt idx="1891">
                  <c:v>54915.66</c:v>
                </c:pt>
                <c:pt idx="1892">
                  <c:v>54271.19</c:v>
                </c:pt>
                <c:pt idx="1893">
                  <c:v>53578.76</c:v>
                </c:pt>
                <c:pt idx="1894">
                  <c:v>52388.87</c:v>
                </c:pt>
                <c:pt idx="1895">
                  <c:v>50756.59</c:v>
                </c:pt>
                <c:pt idx="1896">
                  <c:v>51320.52</c:v>
                </c:pt>
                <c:pt idx="1897">
                  <c:v>50837.57</c:v>
                </c:pt>
                <c:pt idx="1898">
                  <c:v>51624.86</c:v>
                </c:pt>
                <c:pt idx="1899">
                  <c:v>50877.34</c:v>
                </c:pt>
                <c:pt idx="1900">
                  <c:v>51168.5</c:v>
                </c:pt>
                <c:pt idx="1901">
                  <c:v>52204.160000000003</c:v>
                </c:pt>
                <c:pt idx="1902">
                  <c:v>52092.98</c:v>
                </c:pt>
                <c:pt idx="1903">
                  <c:v>52132.6</c:v>
                </c:pt>
                <c:pt idx="1904">
                  <c:v>52391.02</c:v>
                </c:pt>
                <c:pt idx="1905">
                  <c:v>53241.35</c:v>
                </c:pt>
                <c:pt idx="1906">
                  <c:v>52466.98</c:v>
                </c:pt>
                <c:pt idx="1907">
                  <c:v>53473.11</c:v>
                </c:pt>
                <c:pt idx="1908">
                  <c:v>52229.33</c:v>
                </c:pt>
                <c:pt idx="1909">
                  <c:v>52813.37</c:v>
                </c:pt>
                <c:pt idx="1910">
                  <c:v>54187.82</c:v>
                </c:pt>
                <c:pt idx="1911">
                  <c:v>54219.199999999997</c:v>
                </c:pt>
                <c:pt idx="1912">
                  <c:v>54409.47</c:v>
                </c:pt>
                <c:pt idx="1913">
                  <c:v>55030.6</c:v>
                </c:pt>
                <c:pt idx="1914">
                  <c:v>55171.5</c:v>
                </c:pt>
                <c:pt idx="1915">
                  <c:v>55472.57</c:v>
                </c:pt>
                <c:pt idx="1916">
                  <c:v>55789.75</c:v>
                </c:pt>
                <c:pt idx="1917">
                  <c:v>55708.47</c:v>
                </c:pt>
                <c:pt idx="1918">
                  <c:v>55988.57</c:v>
                </c:pt>
                <c:pt idx="1919">
                  <c:v>56570.15</c:v>
                </c:pt>
                <c:pt idx="1920">
                  <c:v>56882.75</c:v>
                </c:pt>
                <c:pt idx="1921">
                  <c:v>57164.25</c:v>
                </c:pt>
                <c:pt idx="1922">
                  <c:v>56546.8</c:v>
                </c:pt>
                <c:pt idx="1923">
                  <c:v>56445.57</c:v>
                </c:pt>
                <c:pt idx="1924">
                  <c:v>56381.3</c:v>
                </c:pt>
                <c:pt idx="1925">
                  <c:v>56298.65</c:v>
                </c:pt>
                <c:pt idx="1926">
                  <c:v>56581.88</c:v>
                </c:pt>
                <c:pt idx="1927">
                  <c:v>56166.86</c:v>
                </c:pt>
                <c:pt idx="1928">
                  <c:v>55952.05</c:v>
                </c:pt>
                <c:pt idx="1929">
                  <c:v>56174.01</c:v>
                </c:pt>
                <c:pt idx="1930">
                  <c:v>56715.26</c:v>
                </c:pt>
                <c:pt idx="1931">
                  <c:v>57068.45</c:v>
                </c:pt>
                <c:pt idx="1932">
                  <c:v>57130.48</c:v>
                </c:pt>
                <c:pt idx="1933">
                  <c:v>57102.13</c:v>
                </c:pt>
                <c:pt idx="1934">
                  <c:v>57891.82</c:v>
                </c:pt>
                <c:pt idx="1935">
                  <c:v>58711.15</c:v>
                </c:pt>
                <c:pt idx="1936">
                  <c:v>58668.480000000003</c:v>
                </c:pt>
                <c:pt idx="1937">
                  <c:v>58802.69</c:v>
                </c:pt>
                <c:pt idx="1938">
                  <c:v>60165.51</c:v>
                </c:pt>
                <c:pt idx="1939">
                  <c:v>60039.27</c:v>
                </c:pt>
                <c:pt idx="1940">
                  <c:v>59655.56</c:v>
                </c:pt>
                <c:pt idx="1941">
                  <c:v>58797.68</c:v>
                </c:pt>
                <c:pt idx="1942">
                  <c:v>58204.72</c:v>
                </c:pt>
                <c:pt idx="1943">
                  <c:v>58125.95</c:v>
                </c:pt>
                <c:pt idx="1944">
                  <c:v>57186.66</c:v>
                </c:pt>
                <c:pt idx="1945">
                  <c:v>57145.62</c:v>
                </c:pt>
                <c:pt idx="1946">
                  <c:v>56647.519999999997</c:v>
                </c:pt>
                <c:pt idx="1947">
                  <c:v>56562.34</c:v>
                </c:pt>
                <c:pt idx="1948">
                  <c:v>55646.15</c:v>
                </c:pt>
                <c:pt idx="1949">
                  <c:v>57608.94</c:v>
                </c:pt>
                <c:pt idx="1950">
                  <c:v>57885.26</c:v>
                </c:pt>
                <c:pt idx="1951">
                  <c:v>57703.02</c:v>
                </c:pt>
                <c:pt idx="1952">
                  <c:v>57786.31</c:v>
                </c:pt>
                <c:pt idx="1953">
                  <c:v>57705.64</c:v>
                </c:pt>
                <c:pt idx="1954">
                  <c:v>56861.21</c:v>
                </c:pt>
                <c:pt idx="1955">
                  <c:v>57118.03</c:v>
                </c:pt>
                <c:pt idx="1956">
                  <c:v>56470.720000000001</c:v>
                </c:pt>
                <c:pt idx="1957">
                  <c:v>57399.53</c:v>
                </c:pt>
                <c:pt idx="1958">
                  <c:v>57432.46</c:v>
                </c:pt>
                <c:pt idx="1959">
                  <c:v>57313.14</c:v>
                </c:pt>
                <c:pt idx="1960">
                  <c:v>57162.38</c:v>
                </c:pt>
                <c:pt idx="1961">
                  <c:v>56743.25</c:v>
                </c:pt>
                <c:pt idx="1962">
                  <c:v>56387.87</c:v>
                </c:pt>
                <c:pt idx="1963">
                  <c:v>57054.84</c:v>
                </c:pt>
                <c:pt idx="1964">
                  <c:v>56556.81</c:v>
                </c:pt>
                <c:pt idx="1965">
                  <c:v>56990.2</c:v>
                </c:pt>
                <c:pt idx="1966">
                  <c:v>56276.72</c:v>
                </c:pt>
                <c:pt idx="1967">
                  <c:v>56237.2</c:v>
                </c:pt>
                <c:pt idx="1968">
                  <c:v>56113.06</c:v>
                </c:pt>
                <c:pt idx="1969">
                  <c:v>55442.04</c:v>
                </c:pt>
                <c:pt idx="1970">
                  <c:v>56364.14</c:v>
                </c:pt>
                <c:pt idx="1971">
                  <c:v>56849.36</c:v>
                </c:pt>
                <c:pt idx="1972">
                  <c:v>57231.01</c:v>
                </c:pt>
                <c:pt idx="1973">
                  <c:v>58027.11</c:v>
                </c:pt>
                <c:pt idx="1974">
                  <c:v>58219.91</c:v>
                </c:pt>
                <c:pt idx="1975">
                  <c:v>57313.88</c:v>
                </c:pt>
                <c:pt idx="1976">
                  <c:v>57414</c:v>
                </c:pt>
                <c:pt idx="1977">
                  <c:v>57600.02</c:v>
                </c:pt>
                <c:pt idx="1978">
                  <c:v>57488.76</c:v>
                </c:pt>
                <c:pt idx="1979">
                  <c:v>57159.59</c:v>
                </c:pt>
                <c:pt idx="1980">
                  <c:v>57610.98</c:v>
                </c:pt>
                <c:pt idx="1981">
                  <c:v>55795.199999999997</c:v>
                </c:pt>
                <c:pt idx="1982">
                  <c:v>55369.26</c:v>
                </c:pt>
                <c:pt idx="1983">
                  <c:v>55254.67</c:v>
                </c:pt>
                <c:pt idx="1984">
                  <c:v>55889.26</c:v>
                </c:pt>
                <c:pt idx="1985">
                  <c:v>56856.66</c:v>
                </c:pt>
                <c:pt idx="1986">
                  <c:v>56234.43</c:v>
                </c:pt>
                <c:pt idx="1987">
                  <c:v>56651.66</c:v>
                </c:pt>
                <c:pt idx="1988">
                  <c:v>56253.31</c:v>
                </c:pt>
                <c:pt idx="1989">
                  <c:v>57236.84</c:v>
                </c:pt>
                <c:pt idx="1990">
                  <c:v>57660.5</c:v>
                </c:pt>
                <c:pt idx="1991">
                  <c:v>58495.67</c:v>
                </c:pt>
                <c:pt idx="1992">
                  <c:v>58437.23</c:v>
                </c:pt>
                <c:pt idx="1993">
                  <c:v>58207.82</c:v>
                </c:pt>
                <c:pt idx="1994">
                  <c:v>58146.1</c:v>
                </c:pt>
                <c:pt idx="1995">
                  <c:v>58223.72</c:v>
                </c:pt>
                <c:pt idx="1996">
                  <c:v>58391.64</c:v>
                </c:pt>
                <c:pt idx="1997">
                  <c:v>58081.87</c:v>
                </c:pt>
                <c:pt idx="1998">
                  <c:v>57779.11</c:v>
                </c:pt>
                <c:pt idx="1999">
                  <c:v>57870.89</c:v>
                </c:pt>
                <c:pt idx="2000">
                  <c:v>57282.14</c:v>
                </c:pt>
                <c:pt idx="2001">
                  <c:v>56157.89</c:v>
                </c:pt>
                <c:pt idx="2002">
                  <c:v>55601.63</c:v>
                </c:pt>
                <c:pt idx="2003">
                  <c:v>55935.75</c:v>
                </c:pt>
                <c:pt idx="2004">
                  <c:v>56857.24</c:v>
                </c:pt>
                <c:pt idx="2005">
                  <c:v>56916.97</c:v>
                </c:pt>
                <c:pt idx="2006">
                  <c:v>56699.199999999997</c:v>
                </c:pt>
                <c:pt idx="2007">
                  <c:v>57043.42</c:v>
                </c:pt>
                <c:pt idx="2008">
                  <c:v>58121.84</c:v>
                </c:pt>
                <c:pt idx="2009">
                  <c:v>57821.2</c:v>
                </c:pt>
                <c:pt idx="2010">
                  <c:v>57804.33</c:v>
                </c:pt>
                <c:pt idx="2011">
                  <c:v>58184.25</c:v>
                </c:pt>
                <c:pt idx="2012">
                  <c:v>58621.77</c:v>
                </c:pt>
                <c:pt idx="2013">
                  <c:v>57891.77</c:v>
                </c:pt>
                <c:pt idx="2014">
                  <c:v>58614.45</c:v>
                </c:pt>
                <c:pt idx="2015">
                  <c:v>58422.86</c:v>
                </c:pt>
                <c:pt idx="2016">
                  <c:v>58005.62</c:v>
                </c:pt>
                <c:pt idx="2017">
                  <c:v>57915.13</c:v>
                </c:pt>
                <c:pt idx="2018">
                  <c:v>57665.24</c:v>
                </c:pt>
                <c:pt idx="2019">
                  <c:v>57880.72</c:v>
                </c:pt>
                <c:pt idx="2020">
                  <c:v>57648.87</c:v>
                </c:pt>
                <c:pt idx="2021">
                  <c:v>57273.88</c:v>
                </c:pt>
                <c:pt idx="2022">
                  <c:v>58450.44</c:v>
                </c:pt>
                <c:pt idx="2023">
                  <c:v>58252.12</c:v>
                </c:pt>
                <c:pt idx="2024">
                  <c:v>57453.04</c:v>
                </c:pt>
                <c:pt idx="2025">
                  <c:v>56987.19</c:v>
                </c:pt>
                <c:pt idx="2026">
                  <c:v>57675.21</c:v>
                </c:pt>
                <c:pt idx="2027">
                  <c:v>57679.51</c:v>
                </c:pt>
                <c:pt idx="2028">
                  <c:v>57581.73</c:v>
                </c:pt>
                <c:pt idx="2029">
                  <c:v>57526.79</c:v>
                </c:pt>
                <c:pt idx="2030">
                  <c:v>57713.29</c:v>
                </c:pt>
                <c:pt idx="2031">
                  <c:v>56826.74</c:v>
                </c:pt>
                <c:pt idx="2032">
                  <c:v>56733.47</c:v>
                </c:pt>
                <c:pt idx="2033">
                  <c:v>56563.17</c:v>
                </c:pt>
                <c:pt idx="2034">
                  <c:v>56480.98</c:v>
                </c:pt>
                <c:pt idx="2035">
                  <c:v>56170.07</c:v>
                </c:pt>
                <c:pt idx="2036">
                  <c:v>56747.24</c:v>
                </c:pt>
                <c:pt idx="2037">
                  <c:v>56091.56</c:v>
                </c:pt>
                <c:pt idx="2038">
                  <c:v>55878.81</c:v>
                </c:pt>
                <c:pt idx="2039">
                  <c:v>55761.15</c:v>
                </c:pt>
                <c:pt idx="2040">
                  <c:v>54602.68</c:v>
                </c:pt>
                <c:pt idx="2041">
                  <c:v>54864.79</c:v>
                </c:pt>
                <c:pt idx="2042">
                  <c:v>55474.52</c:v>
                </c:pt>
                <c:pt idx="2043">
                  <c:v>54763.97</c:v>
                </c:pt>
                <c:pt idx="2044">
                  <c:v>56050.79</c:v>
                </c:pt>
                <c:pt idx="2045">
                  <c:v>56176.43</c:v>
                </c:pt>
                <c:pt idx="2046">
                  <c:v>56405.64</c:v>
                </c:pt>
                <c:pt idx="2047">
                  <c:v>57224.6</c:v>
                </c:pt>
                <c:pt idx="2048">
                  <c:v>58288.87</c:v>
                </c:pt>
                <c:pt idx="2049">
                  <c:v>58088.42</c:v>
                </c:pt>
                <c:pt idx="2050">
                  <c:v>58101.02</c:v>
                </c:pt>
                <c:pt idx="2051">
                  <c:v>58203.77</c:v>
                </c:pt>
                <c:pt idx="2052">
                  <c:v>58423.17</c:v>
                </c:pt>
                <c:pt idx="2053">
                  <c:v>59084.51</c:v>
                </c:pt>
                <c:pt idx="2054">
                  <c:v>59194.45</c:v>
                </c:pt>
                <c:pt idx="2055">
                  <c:v>59169.23</c:v>
                </c:pt>
                <c:pt idx="2056">
                  <c:v>58926.01</c:v>
                </c:pt>
                <c:pt idx="2057">
                  <c:v>58962.65</c:v>
                </c:pt>
                <c:pt idx="2058">
                  <c:v>59242.86</c:v>
                </c:pt>
                <c:pt idx="2059">
                  <c:v>57912.4</c:v>
                </c:pt>
                <c:pt idx="2060">
                  <c:v>57744.7</c:v>
                </c:pt>
                <c:pt idx="2061">
                  <c:v>57923.16</c:v>
                </c:pt>
                <c:pt idx="2062">
                  <c:v>58325.09</c:v>
                </c:pt>
                <c:pt idx="2063">
                  <c:v>59027.22</c:v>
                </c:pt>
                <c:pt idx="2064">
                  <c:v>58868.93</c:v>
                </c:pt>
                <c:pt idx="2065">
                  <c:v>58715.46</c:v>
                </c:pt>
                <c:pt idx="2066">
                  <c:v>58155.09</c:v>
                </c:pt>
                <c:pt idx="2067">
                  <c:v>58605.97</c:v>
                </c:pt>
                <c:pt idx="2068">
                  <c:v>57928.78</c:v>
                </c:pt>
                <c:pt idx="2069">
                  <c:v>58701.37</c:v>
                </c:pt>
                <c:pt idx="2070">
                  <c:v>59122.34</c:v>
                </c:pt>
                <c:pt idx="2071">
                  <c:v>59533.1</c:v>
                </c:pt>
                <c:pt idx="2072">
                  <c:v>57399.55</c:v>
                </c:pt>
                <c:pt idx="2073">
                  <c:v>57208.97</c:v>
                </c:pt>
                <c:pt idx="2074">
                  <c:v>56206.76</c:v>
                </c:pt>
                <c:pt idx="2075">
                  <c:v>55902.62</c:v>
                </c:pt>
                <c:pt idx="2076">
                  <c:v>56635.69</c:v>
                </c:pt>
                <c:pt idx="2077">
                  <c:v>56886.45</c:v>
                </c:pt>
                <c:pt idx="2078">
                  <c:v>56377.21</c:v>
                </c:pt>
                <c:pt idx="2079">
                  <c:v>57113.74</c:v>
                </c:pt>
                <c:pt idx="2080">
                  <c:v>58656.82</c:v>
                </c:pt>
                <c:pt idx="2081">
                  <c:v>59258.37</c:v>
                </c:pt>
                <c:pt idx="2082">
                  <c:v>59506.12</c:v>
                </c:pt>
                <c:pt idx="2083">
                  <c:v>59546.23</c:v>
                </c:pt>
                <c:pt idx="2084">
                  <c:v>60806.9</c:v>
                </c:pt>
                <c:pt idx="2085">
                  <c:v>61595.86</c:v>
                </c:pt>
                <c:pt idx="2086">
                  <c:v>61684.77</c:v>
                </c:pt>
                <c:pt idx="2087">
                  <c:v>61623.13</c:v>
                </c:pt>
                <c:pt idx="2088">
                  <c:v>61475.44</c:v>
                </c:pt>
                <c:pt idx="2089">
                  <c:v>61060.28</c:v>
                </c:pt>
                <c:pt idx="2090">
                  <c:v>60912.88</c:v>
                </c:pt>
                <c:pt idx="2091">
                  <c:v>60922.55</c:v>
                </c:pt>
                <c:pt idx="2092">
                  <c:v>60924.46</c:v>
                </c:pt>
                <c:pt idx="2093">
                  <c:v>60649.599999999999</c:v>
                </c:pt>
                <c:pt idx="2094">
                  <c:v>60240.959999999999</c:v>
                </c:pt>
                <c:pt idx="2095">
                  <c:v>60083.13</c:v>
                </c:pt>
                <c:pt idx="2096">
                  <c:v>59606.02</c:v>
                </c:pt>
                <c:pt idx="2097">
                  <c:v>59979.63</c:v>
                </c:pt>
                <c:pt idx="2098">
                  <c:v>60113.65</c:v>
                </c:pt>
                <c:pt idx="2099">
                  <c:v>60038.39</c:v>
                </c:pt>
                <c:pt idx="2100">
                  <c:v>59717.2</c:v>
                </c:pt>
                <c:pt idx="2101">
                  <c:v>59476.77</c:v>
                </c:pt>
                <c:pt idx="2102">
                  <c:v>59629.64</c:v>
                </c:pt>
                <c:pt idx="2103">
                  <c:v>59731.16</c:v>
                </c:pt>
                <c:pt idx="2104">
                  <c:v>59504.67</c:v>
                </c:pt>
                <c:pt idx="2105">
                  <c:v>58952.89</c:v>
                </c:pt>
                <c:pt idx="2106">
                  <c:v>58844.01</c:v>
                </c:pt>
                <c:pt idx="2107">
                  <c:v>58800.23</c:v>
                </c:pt>
                <c:pt idx="2108">
                  <c:v>58771.79</c:v>
                </c:pt>
                <c:pt idx="2109">
                  <c:v>58032.09</c:v>
                </c:pt>
                <c:pt idx="2110">
                  <c:v>58170.44</c:v>
                </c:pt>
                <c:pt idx="2111">
                  <c:v>57707.42</c:v>
                </c:pt>
                <c:pt idx="2112">
                  <c:v>57412.76</c:v>
                </c:pt>
                <c:pt idx="2113">
                  <c:v>57845.57</c:v>
                </c:pt>
                <c:pt idx="2114">
                  <c:v>57344.41</c:v>
                </c:pt>
                <c:pt idx="2115">
                  <c:v>57523.62</c:v>
                </c:pt>
                <c:pt idx="2116">
                  <c:v>57997.33</c:v>
                </c:pt>
                <c:pt idx="2117">
                  <c:v>58012.31</c:v>
                </c:pt>
                <c:pt idx="2118">
                  <c:v>58013.18</c:v>
                </c:pt>
                <c:pt idx="2119">
                  <c:v>58010.18</c:v>
                </c:pt>
                <c:pt idx="2120">
                  <c:v>58977.23</c:v>
                </c:pt>
                <c:pt idx="2121">
                  <c:v>59607.34</c:v>
                </c:pt>
                <c:pt idx="2122">
                  <c:v>59449.38</c:v>
                </c:pt>
                <c:pt idx="2123">
                  <c:v>59772.83</c:v>
                </c:pt>
                <c:pt idx="2124">
                  <c:v>60418.39</c:v>
                </c:pt>
                <c:pt idx="2125">
                  <c:v>60082.79</c:v>
                </c:pt>
                <c:pt idx="2126">
                  <c:v>60157.56</c:v>
                </c:pt>
                <c:pt idx="2127">
                  <c:v>60323.95</c:v>
                </c:pt>
                <c:pt idx="2128">
                  <c:v>60298.16</c:v>
                </c:pt>
                <c:pt idx="2129">
                  <c:v>60751.18</c:v>
                </c:pt>
                <c:pt idx="2130">
                  <c:v>61211.519999999997</c:v>
                </c:pt>
                <c:pt idx="2131">
                  <c:v>60500.61</c:v>
                </c:pt>
                <c:pt idx="2132">
                  <c:v>60128.41</c:v>
                </c:pt>
                <c:pt idx="2133">
                  <c:v>59549.22</c:v>
                </c:pt>
                <c:pt idx="2134">
                  <c:v>59185.21</c:v>
                </c:pt>
                <c:pt idx="2135">
                  <c:v>59518.9</c:v>
                </c:pt>
                <c:pt idx="2136">
                  <c:v>59821.49</c:v>
                </c:pt>
                <c:pt idx="2137">
                  <c:v>59776.12</c:v>
                </c:pt>
                <c:pt idx="2138">
                  <c:v>59862.11</c:v>
                </c:pt>
                <c:pt idx="2139">
                  <c:v>60078.03</c:v>
                </c:pt>
                <c:pt idx="2140">
                  <c:v>60182.6</c:v>
                </c:pt>
                <c:pt idx="2141">
                  <c:v>59975.67</c:v>
                </c:pt>
                <c:pt idx="2142">
                  <c:v>59638.21</c:v>
                </c:pt>
                <c:pt idx="2143">
                  <c:v>59331.199999999997</c:v>
                </c:pt>
                <c:pt idx="2144">
                  <c:v>59514.11</c:v>
                </c:pt>
                <c:pt idx="2145">
                  <c:v>58980.11</c:v>
                </c:pt>
                <c:pt idx="2146">
                  <c:v>58879.14</c:v>
                </c:pt>
                <c:pt idx="2147">
                  <c:v>58714.04</c:v>
                </c:pt>
                <c:pt idx="2148">
                  <c:v>58576.29</c:v>
                </c:pt>
                <c:pt idx="2149">
                  <c:v>58123.13</c:v>
                </c:pt>
                <c:pt idx="2150">
                  <c:v>57904.72</c:v>
                </c:pt>
                <c:pt idx="2151">
                  <c:v>57999.6</c:v>
                </c:pt>
                <c:pt idx="2152">
                  <c:v>57948.66</c:v>
                </c:pt>
                <c:pt idx="2153">
                  <c:v>57896.83</c:v>
                </c:pt>
                <c:pt idx="2154">
                  <c:v>58152.41</c:v>
                </c:pt>
                <c:pt idx="2155">
                  <c:v>57882.67</c:v>
                </c:pt>
                <c:pt idx="2156">
                  <c:v>58163.56</c:v>
                </c:pt>
                <c:pt idx="2157">
                  <c:v>57876.6</c:v>
                </c:pt>
                <c:pt idx="2158">
                  <c:v>57747.34</c:v>
                </c:pt>
                <c:pt idx="2159">
                  <c:v>57770.73</c:v>
                </c:pt>
                <c:pt idx="2160">
                  <c:v>57629.93</c:v>
                </c:pt>
                <c:pt idx="2161">
                  <c:v>57530.11</c:v>
                </c:pt>
                <c:pt idx="2162">
                  <c:v>57231.87</c:v>
                </c:pt>
                <c:pt idx="2163">
                  <c:v>56999.79</c:v>
                </c:pt>
                <c:pt idx="2164">
                  <c:v>56750.03</c:v>
                </c:pt>
                <c:pt idx="2165">
                  <c:v>56358.26</c:v>
                </c:pt>
                <c:pt idx="2166">
                  <c:v>55778.27</c:v>
                </c:pt>
                <c:pt idx="2167">
                  <c:v>55579.92</c:v>
                </c:pt>
                <c:pt idx="2168">
                  <c:v>54994.35</c:v>
                </c:pt>
                <c:pt idx="2169">
                  <c:v>55214.07</c:v>
                </c:pt>
                <c:pt idx="2170">
                  <c:v>55070.38</c:v>
                </c:pt>
                <c:pt idx="2171">
                  <c:v>55839.73</c:v>
                </c:pt>
                <c:pt idx="2172">
                  <c:v>55867.34</c:v>
                </c:pt>
                <c:pt idx="2173">
                  <c:v>55867.46</c:v>
                </c:pt>
                <c:pt idx="2174">
                  <c:v>56011.16</c:v>
                </c:pt>
                <c:pt idx="2175">
                  <c:v>56050.1</c:v>
                </c:pt>
                <c:pt idx="2176">
                  <c:v>55645.15</c:v>
                </c:pt>
                <c:pt idx="2177">
                  <c:v>55850.32</c:v>
                </c:pt>
                <c:pt idx="2178">
                  <c:v>56152.54</c:v>
                </c:pt>
                <c:pt idx="2179">
                  <c:v>56366.16</c:v>
                </c:pt>
                <c:pt idx="2180">
                  <c:v>56008.77</c:v>
                </c:pt>
                <c:pt idx="2181">
                  <c:v>55724.67</c:v>
                </c:pt>
                <c:pt idx="2182">
                  <c:v>55878.19</c:v>
                </c:pt>
                <c:pt idx="2183">
                  <c:v>55480.2</c:v>
                </c:pt>
                <c:pt idx="2184">
                  <c:v>56144.800000000003</c:v>
                </c:pt>
                <c:pt idx="2185">
                  <c:v>56312.85</c:v>
                </c:pt>
                <c:pt idx="2186">
                  <c:v>56513.46</c:v>
                </c:pt>
                <c:pt idx="2187">
                  <c:v>56522.11</c:v>
                </c:pt>
                <c:pt idx="2188">
                  <c:v>56168</c:v>
                </c:pt>
                <c:pt idx="2189">
                  <c:v>56409.62</c:v>
                </c:pt>
                <c:pt idx="2190">
                  <c:v>56555.62</c:v>
                </c:pt>
                <c:pt idx="2191">
                  <c:v>56655.88</c:v>
                </c:pt>
                <c:pt idx="2192">
                  <c:v>56588.99</c:v>
                </c:pt>
                <c:pt idx="2193">
                  <c:v>56162.3</c:v>
                </c:pt>
                <c:pt idx="2194">
                  <c:v>56033.96</c:v>
                </c:pt>
                <c:pt idx="2195">
                  <c:v>55450.53</c:v>
                </c:pt>
                <c:pt idx="2196">
                  <c:v>55304.23</c:v>
                </c:pt>
                <c:pt idx="2197">
                  <c:v>55415.27</c:v>
                </c:pt>
                <c:pt idx="2198">
                  <c:v>55534.6</c:v>
                </c:pt>
                <c:pt idx="2199">
                  <c:v>54983.32</c:v>
                </c:pt>
                <c:pt idx="2200">
                  <c:v>55465.65</c:v>
                </c:pt>
                <c:pt idx="2201">
                  <c:v>55155.13</c:v>
                </c:pt>
                <c:pt idx="2202">
                  <c:v>55700.639999999999</c:v>
                </c:pt>
                <c:pt idx="2203">
                  <c:v>55980.05</c:v>
                </c:pt>
                <c:pt idx="2204">
                  <c:v>56163.6</c:v>
                </c:pt>
                <c:pt idx="2205">
                  <c:v>55944.83</c:v>
                </c:pt>
                <c:pt idx="2206">
                  <c:v>55685.01</c:v>
                </c:pt>
                <c:pt idx="2207">
                  <c:v>55200.49</c:v>
                </c:pt>
                <c:pt idx="2208">
                  <c:v>55390.07</c:v>
                </c:pt>
                <c:pt idx="2209">
                  <c:v>55207.41</c:v>
                </c:pt>
                <c:pt idx="2210">
                  <c:v>54883.21</c:v>
                </c:pt>
                <c:pt idx="2211">
                  <c:v>54888.89</c:v>
                </c:pt>
                <c:pt idx="2212">
                  <c:v>54836.19</c:v>
                </c:pt>
                <c:pt idx="2213">
                  <c:v>54499.11</c:v>
                </c:pt>
                <c:pt idx="2214">
                  <c:v>54368.62</c:v>
                </c:pt>
                <c:pt idx="2215">
                  <c:v>54162.71</c:v>
                </c:pt>
                <c:pt idx="2216">
                  <c:v>54287.32</c:v>
                </c:pt>
                <c:pt idx="2217">
                  <c:v>54091.11</c:v>
                </c:pt>
                <c:pt idx="2218">
                  <c:v>53261.64</c:v>
                </c:pt>
                <c:pt idx="2219">
                  <c:v>53827.41</c:v>
                </c:pt>
                <c:pt idx="2220">
                  <c:v>53597.96</c:v>
                </c:pt>
                <c:pt idx="2221">
                  <c:v>53300.959999999999</c:v>
                </c:pt>
                <c:pt idx="2222">
                  <c:v>52905.98</c:v>
                </c:pt>
                <c:pt idx="2223">
                  <c:v>52376.38</c:v>
                </c:pt>
                <c:pt idx="2224">
                  <c:v>52187.92</c:v>
                </c:pt>
                <c:pt idx="2225">
                  <c:v>51900.26</c:v>
                </c:pt>
                <c:pt idx="2226">
                  <c:v>52285.08</c:v>
                </c:pt>
                <c:pt idx="2227">
                  <c:v>52483.9</c:v>
                </c:pt>
                <c:pt idx="2228">
                  <c:v>52049.25</c:v>
                </c:pt>
                <c:pt idx="2229">
                  <c:v>52163.8</c:v>
                </c:pt>
                <c:pt idx="2230">
                  <c:v>51611.01</c:v>
                </c:pt>
                <c:pt idx="2231">
                  <c:v>51355.97</c:v>
                </c:pt>
                <c:pt idx="2232">
                  <c:v>51596.84</c:v>
                </c:pt>
                <c:pt idx="2233">
                  <c:v>51432.24</c:v>
                </c:pt>
                <c:pt idx="2234">
                  <c:v>51288.71</c:v>
                </c:pt>
                <c:pt idx="2235">
                  <c:v>51503.519999999997</c:v>
                </c:pt>
                <c:pt idx="2236">
                  <c:v>51072.86</c:v>
                </c:pt>
                <c:pt idx="2237">
                  <c:v>51402.69</c:v>
                </c:pt>
                <c:pt idx="2238">
                  <c:v>51160.57</c:v>
                </c:pt>
                <c:pt idx="2239">
                  <c:v>51615.9</c:v>
                </c:pt>
                <c:pt idx="2240">
                  <c:v>50831.89</c:v>
                </c:pt>
                <c:pt idx="2241">
                  <c:v>51489.16</c:v>
                </c:pt>
                <c:pt idx="2242">
                  <c:v>51625.07</c:v>
                </c:pt>
                <c:pt idx="2243">
                  <c:v>51564</c:v>
                </c:pt>
                <c:pt idx="2244">
                  <c:v>52216.93</c:v>
                </c:pt>
                <c:pt idx="2245">
                  <c:v>51958.52</c:v>
                </c:pt>
                <c:pt idx="2246">
                  <c:v>52117.82</c:v>
                </c:pt>
                <c:pt idx="2247">
                  <c:v>52251.87</c:v>
                </c:pt>
                <c:pt idx="2248">
                  <c:v>52870.12</c:v>
                </c:pt>
                <c:pt idx="2249">
                  <c:v>52889.7</c:v>
                </c:pt>
                <c:pt idx="2250">
                  <c:v>52840.68</c:v>
                </c:pt>
                <c:pt idx="2251">
                  <c:v>53562.57</c:v>
                </c:pt>
                <c:pt idx="2252">
                  <c:v>54158.04</c:v>
                </c:pt>
                <c:pt idx="2253">
                  <c:v>53944.22</c:v>
                </c:pt>
                <c:pt idx="2254">
                  <c:v>53996.14</c:v>
                </c:pt>
                <c:pt idx="2255">
                  <c:v>54028.39</c:v>
                </c:pt>
                <c:pt idx="2256">
                  <c:v>54308.67</c:v>
                </c:pt>
                <c:pt idx="2257">
                  <c:v>54548.91</c:v>
                </c:pt>
                <c:pt idx="2258">
                  <c:v>54517.06</c:v>
                </c:pt>
                <c:pt idx="2259">
                  <c:v>54427.3</c:v>
                </c:pt>
                <c:pt idx="2260">
                  <c:v>54197.120000000003</c:v>
                </c:pt>
                <c:pt idx="2261">
                  <c:v>54001.94</c:v>
                </c:pt>
                <c:pt idx="2262">
                  <c:v>54023.12</c:v>
                </c:pt>
                <c:pt idx="2263">
                  <c:v>54052.18</c:v>
                </c:pt>
                <c:pt idx="2264">
                  <c:v>54063.34</c:v>
                </c:pt>
                <c:pt idx="2265">
                  <c:v>54114</c:v>
                </c:pt>
                <c:pt idx="2266">
                  <c:v>54254.35</c:v>
                </c:pt>
                <c:pt idx="2267">
                  <c:v>54172.76</c:v>
                </c:pt>
                <c:pt idx="2268">
                  <c:v>53696.37</c:v>
                </c:pt>
                <c:pt idx="2269">
                  <c:v>53579.01</c:v>
                </c:pt>
                <c:pt idx="2270">
                  <c:v>53406.31</c:v>
                </c:pt>
                <c:pt idx="2271">
                  <c:v>53586.63</c:v>
                </c:pt>
                <c:pt idx="2272">
                  <c:v>53915.64</c:v>
                </c:pt>
                <c:pt idx="2273">
                  <c:v>53817.31</c:v>
                </c:pt>
                <c:pt idx="2274">
                  <c:v>53680.69</c:v>
                </c:pt>
                <c:pt idx="2275">
                  <c:v>53257.440000000002</c:v>
                </c:pt>
                <c:pt idx="2276">
                  <c:v>52921.41</c:v>
                </c:pt>
                <c:pt idx="2277">
                  <c:v>52194.59</c:v>
                </c:pt>
                <c:pt idx="2278">
                  <c:v>52496.62</c:v>
                </c:pt>
                <c:pt idx="2279">
                  <c:v>52545.120000000003</c:v>
                </c:pt>
                <c:pt idx="2280">
                  <c:v>52672.75</c:v>
                </c:pt>
                <c:pt idx="2281">
                  <c:v>53510.22</c:v>
                </c:pt>
                <c:pt idx="2282">
                  <c:v>53551.31</c:v>
                </c:pt>
                <c:pt idx="2283">
                  <c:v>53535.16</c:v>
                </c:pt>
                <c:pt idx="2284">
                  <c:v>53139.96</c:v>
                </c:pt>
                <c:pt idx="2285">
                  <c:v>52853.36</c:v>
                </c:pt>
                <c:pt idx="2286">
                  <c:v>52918.42</c:v>
                </c:pt>
                <c:pt idx="2287">
                  <c:v>52990.080000000002</c:v>
                </c:pt>
                <c:pt idx="2288">
                  <c:v>52660.74</c:v>
                </c:pt>
                <c:pt idx="2289">
                  <c:v>52457.760000000002</c:v>
                </c:pt>
                <c:pt idx="2290">
                  <c:v>52056.06</c:v>
                </c:pt>
                <c:pt idx="2291">
                  <c:v>52261.18</c:v>
                </c:pt>
                <c:pt idx="2292">
                  <c:v>52444.78</c:v>
                </c:pt>
                <c:pt idx="2293">
                  <c:v>52309.23</c:v>
                </c:pt>
                <c:pt idx="2294">
                  <c:v>51724.92</c:v>
                </c:pt>
                <c:pt idx="2295">
                  <c:v>51816.31</c:v>
                </c:pt>
                <c:pt idx="2296">
                  <c:v>52027.98</c:v>
                </c:pt>
                <c:pt idx="2297">
                  <c:v>52096.71</c:v>
                </c:pt>
                <c:pt idx="2298">
                  <c:v>52753.56</c:v>
                </c:pt>
                <c:pt idx="2299">
                  <c:v>52550.99</c:v>
                </c:pt>
                <c:pt idx="2300">
                  <c:v>52748.97</c:v>
                </c:pt>
                <c:pt idx="2301">
                  <c:v>51701.599999999999</c:v>
                </c:pt>
                <c:pt idx="2302">
                  <c:v>51699.46</c:v>
                </c:pt>
                <c:pt idx="2303">
                  <c:v>51855.38</c:v>
                </c:pt>
                <c:pt idx="2304">
                  <c:v>51269.54</c:v>
                </c:pt>
                <c:pt idx="2305">
                  <c:v>50910.71</c:v>
                </c:pt>
                <c:pt idx="2306">
                  <c:v>51299.99</c:v>
                </c:pt>
                <c:pt idx="2307">
                  <c:v>51377.78</c:v>
                </c:pt>
                <c:pt idx="2308">
                  <c:v>51498.14</c:v>
                </c:pt>
                <c:pt idx="2309">
                  <c:v>51708.61</c:v>
                </c:pt>
                <c:pt idx="2310">
                  <c:v>51893.19</c:v>
                </c:pt>
                <c:pt idx="2311">
                  <c:v>51682.19</c:v>
                </c:pt>
                <c:pt idx="2312">
                  <c:v>51146.05</c:v>
                </c:pt>
                <c:pt idx="2313">
                  <c:v>51497.16</c:v>
                </c:pt>
                <c:pt idx="2314">
                  <c:v>51609.86</c:v>
                </c:pt>
                <c:pt idx="2315">
                  <c:v>52183.1</c:v>
                </c:pt>
                <c:pt idx="2316">
                  <c:v>52088.56</c:v>
                </c:pt>
                <c:pt idx="2317">
                  <c:v>52586.61</c:v>
                </c:pt>
                <c:pt idx="2318">
                  <c:v>52558.61</c:v>
                </c:pt>
                <c:pt idx="2319">
                  <c:v>52223.54</c:v>
                </c:pt>
                <c:pt idx="2320">
                  <c:v>52586.37</c:v>
                </c:pt>
                <c:pt idx="2321">
                  <c:v>52485.16</c:v>
                </c:pt>
                <c:pt idx="2322">
                  <c:v>52465.64</c:v>
                </c:pt>
                <c:pt idx="2323">
                  <c:v>52956.71</c:v>
                </c:pt>
                <c:pt idx="2324">
                  <c:v>52687.29</c:v>
                </c:pt>
                <c:pt idx="2325">
                  <c:v>51904.34</c:v>
                </c:pt>
                <c:pt idx="2326">
                  <c:v>51803.48</c:v>
                </c:pt>
                <c:pt idx="2327">
                  <c:v>52181.91</c:v>
                </c:pt>
                <c:pt idx="2328">
                  <c:v>52151.16</c:v>
                </c:pt>
                <c:pt idx="2329">
                  <c:v>52265.16</c:v>
                </c:pt>
                <c:pt idx="2330">
                  <c:v>52719.58</c:v>
                </c:pt>
                <c:pt idx="2331">
                  <c:v>53104.12</c:v>
                </c:pt>
                <c:pt idx="2332">
                  <c:v>52788.12</c:v>
                </c:pt>
                <c:pt idx="2333">
                  <c:v>52660.94</c:v>
                </c:pt>
                <c:pt idx="2334">
                  <c:v>52973.83</c:v>
                </c:pt>
                <c:pt idx="2335">
                  <c:v>53405.74</c:v>
                </c:pt>
                <c:pt idx="2336">
                  <c:v>53250.79</c:v>
                </c:pt>
                <c:pt idx="2337">
                  <c:v>53342.04</c:v>
                </c:pt>
                <c:pt idx="2338">
                  <c:v>53040.480000000003</c:v>
                </c:pt>
                <c:pt idx="2339">
                  <c:v>52532.26</c:v>
                </c:pt>
                <c:pt idx="2340">
                  <c:v>52900.77</c:v>
                </c:pt>
                <c:pt idx="2341">
                  <c:v>52933.279999999999</c:v>
                </c:pt>
                <c:pt idx="2342">
                  <c:v>52817.73</c:v>
                </c:pt>
                <c:pt idx="2343">
                  <c:v>53158.54</c:v>
                </c:pt>
                <c:pt idx="2344">
                  <c:v>52794.81</c:v>
                </c:pt>
                <c:pt idx="2345">
                  <c:v>52444.36</c:v>
                </c:pt>
                <c:pt idx="2346">
                  <c:v>52437.91</c:v>
                </c:pt>
                <c:pt idx="2347">
                  <c:v>51740.17</c:v>
                </c:pt>
                <c:pt idx="2348">
                  <c:v>51049.71</c:v>
                </c:pt>
                <c:pt idx="2349">
                  <c:v>51216</c:v>
                </c:pt>
                <c:pt idx="2350">
                  <c:v>50474.95</c:v>
                </c:pt>
                <c:pt idx="2351">
                  <c:v>50760.24</c:v>
                </c:pt>
                <c:pt idx="2352">
                  <c:v>51020.66</c:v>
                </c:pt>
                <c:pt idx="2353">
                  <c:v>50653.54</c:v>
                </c:pt>
                <c:pt idx="2354">
                  <c:v>50682.080000000002</c:v>
                </c:pt>
                <c:pt idx="2355">
                  <c:v>50322.720000000001</c:v>
                </c:pt>
                <c:pt idx="2356">
                  <c:v>49400.56</c:v>
                </c:pt>
                <c:pt idx="2357">
                  <c:v>49833.77</c:v>
                </c:pt>
                <c:pt idx="2358">
                  <c:v>50163.92</c:v>
                </c:pt>
                <c:pt idx="2359">
                  <c:v>50343.24</c:v>
                </c:pt>
                <c:pt idx="2360">
                  <c:v>49880.99</c:v>
                </c:pt>
                <c:pt idx="2361">
                  <c:v>49691.31</c:v>
                </c:pt>
                <c:pt idx="2362">
                  <c:v>50716.25</c:v>
                </c:pt>
                <c:pt idx="2363">
                  <c:v>50839.25</c:v>
                </c:pt>
                <c:pt idx="2364">
                  <c:v>50527.86</c:v>
                </c:pt>
                <c:pt idx="2365">
                  <c:v>50899.92</c:v>
                </c:pt>
                <c:pt idx="2366">
                  <c:v>50543.44</c:v>
                </c:pt>
                <c:pt idx="2367">
                  <c:v>49476.06</c:v>
                </c:pt>
                <c:pt idx="2368">
                  <c:v>48935.9</c:v>
                </c:pt>
                <c:pt idx="2369">
                  <c:v>49713.56</c:v>
                </c:pt>
                <c:pt idx="2370">
                  <c:v>49256.1</c:v>
                </c:pt>
                <c:pt idx="2371">
                  <c:v>49927</c:v>
                </c:pt>
                <c:pt idx="2372">
                  <c:v>50209.43</c:v>
                </c:pt>
                <c:pt idx="2373">
                  <c:v>50157.279999999999</c:v>
                </c:pt>
                <c:pt idx="2374">
                  <c:v>50193.64</c:v>
                </c:pt>
                <c:pt idx="2375">
                  <c:v>50696.1</c:v>
                </c:pt>
                <c:pt idx="2376">
                  <c:v>50561.43</c:v>
                </c:pt>
                <c:pt idx="2377">
                  <c:v>50616.43</c:v>
                </c:pt>
                <c:pt idx="2378">
                  <c:v>51117.74</c:v>
                </c:pt>
                <c:pt idx="2379">
                  <c:v>50596.52</c:v>
                </c:pt>
                <c:pt idx="2380">
                  <c:v>50626.06</c:v>
                </c:pt>
                <c:pt idx="2381">
                  <c:v>50617.57</c:v>
                </c:pt>
                <c:pt idx="2382">
                  <c:v>50004.82</c:v>
                </c:pt>
                <c:pt idx="2383">
                  <c:v>49430.21</c:v>
                </c:pt>
                <c:pt idx="2384">
                  <c:v>49731.89</c:v>
                </c:pt>
                <c:pt idx="2385">
                  <c:v>50294.720000000001</c:v>
                </c:pt>
                <c:pt idx="2386">
                  <c:v>51493</c:v>
                </c:pt>
                <c:pt idx="2387">
                  <c:v>50977.85</c:v>
                </c:pt>
                <c:pt idx="2388">
                  <c:v>50700.7</c:v>
                </c:pt>
                <c:pt idx="2389">
                  <c:v>50303.77</c:v>
                </c:pt>
                <c:pt idx="2390">
                  <c:v>49686.1</c:v>
                </c:pt>
                <c:pt idx="2391">
                  <c:v>50239.27</c:v>
                </c:pt>
                <c:pt idx="2392">
                  <c:v>50384.87</c:v>
                </c:pt>
                <c:pt idx="2393">
                  <c:v>51002.69</c:v>
                </c:pt>
                <c:pt idx="2394">
                  <c:v>50590.080000000002</c:v>
                </c:pt>
                <c:pt idx="2395">
                  <c:v>50797.7</c:v>
                </c:pt>
                <c:pt idx="2396">
                  <c:v>51139.66</c:v>
                </c:pt>
                <c:pt idx="2397">
                  <c:v>51552.32</c:v>
                </c:pt>
                <c:pt idx="2398">
                  <c:v>51749.86</c:v>
                </c:pt>
                <c:pt idx="2399">
                  <c:v>51683.39</c:v>
                </c:pt>
                <c:pt idx="2400">
                  <c:v>51629.23</c:v>
                </c:pt>
                <c:pt idx="2401">
                  <c:v>51420.66</c:v>
                </c:pt>
                <c:pt idx="2402">
                  <c:v>51504.87</c:v>
                </c:pt>
                <c:pt idx="2403">
                  <c:v>51126.79</c:v>
                </c:pt>
                <c:pt idx="2404">
                  <c:v>50769.01</c:v>
                </c:pt>
                <c:pt idx="2405">
                  <c:v>51146.78</c:v>
                </c:pt>
                <c:pt idx="2406">
                  <c:v>50494.51</c:v>
                </c:pt>
                <c:pt idx="2407">
                  <c:v>51548.13</c:v>
                </c:pt>
                <c:pt idx="2408">
                  <c:v>51898.82</c:v>
                </c:pt>
                <c:pt idx="2409">
                  <c:v>51675.51</c:v>
                </c:pt>
                <c:pt idx="2410">
                  <c:v>51662.07</c:v>
                </c:pt>
                <c:pt idx="2411">
                  <c:v>51610.78</c:v>
                </c:pt>
                <c:pt idx="2412">
                  <c:v>51868.53</c:v>
                </c:pt>
                <c:pt idx="2413">
                  <c:v>52040.85</c:v>
                </c:pt>
                <c:pt idx="2414">
                  <c:v>51658.99</c:v>
                </c:pt>
                <c:pt idx="2415">
                  <c:v>51949.83</c:v>
                </c:pt>
                <c:pt idx="2416">
                  <c:v>52698.58</c:v>
                </c:pt>
                <c:pt idx="2417">
                  <c:v>51773.5</c:v>
                </c:pt>
                <c:pt idx="2418">
                  <c:v>50899.66</c:v>
                </c:pt>
                <c:pt idx="2419">
                  <c:v>51479.8</c:v>
                </c:pt>
                <c:pt idx="2420">
                  <c:v>51999.45</c:v>
                </c:pt>
                <c:pt idx="2421">
                  <c:v>51895.18</c:v>
                </c:pt>
                <c:pt idx="2422">
                  <c:v>50757.82</c:v>
                </c:pt>
                <c:pt idx="2423">
                  <c:v>51335.75</c:v>
                </c:pt>
                <c:pt idx="2424">
                  <c:v>51975.89</c:v>
                </c:pt>
                <c:pt idx="2425">
                  <c:v>51832.55</c:v>
                </c:pt>
                <c:pt idx="2426">
                  <c:v>52174.26</c:v>
                </c:pt>
                <c:pt idx="2427">
                  <c:v>52501.97</c:v>
                </c:pt>
                <c:pt idx="2428">
                  <c:v>52805.96</c:v>
                </c:pt>
                <c:pt idx="2429">
                  <c:v>52802</c:v>
                </c:pt>
                <c:pt idx="2430">
                  <c:v>53347.3</c:v>
                </c:pt>
                <c:pt idx="2431">
                  <c:v>53250.25</c:v>
                </c:pt>
                <c:pt idx="2432">
                  <c:v>53456.43</c:v>
                </c:pt>
                <c:pt idx="2433">
                  <c:v>53680.43</c:v>
                </c:pt>
                <c:pt idx="2434">
                  <c:v>53622</c:v>
                </c:pt>
                <c:pt idx="2435">
                  <c:v>53500.07</c:v>
                </c:pt>
                <c:pt idx="2436">
                  <c:v>52631.33</c:v>
                </c:pt>
                <c:pt idx="2437">
                  <c:v>52733.120000000003</c:v>
                </c:pt>
                <c:pt idx="2438">
                  <c:v>53448.69</c:v>
                </c:pt>
                <c:pt idx="2439">
                  <c:v>53563.93</c:v>
                </c:pt>
                <c:pt idx="2440">
                  <c:v>53506.62</c:v>
                </c:pt>
                <c:pt idx="2441">
                  <c:v>53482.879999999997</c:v>
                </c:pt>
                <c:pt idx="2442">
                  <c:v>53562.8</c:v>
                </c:pt>
                <c:pt idx="2443">
                  <c:v>52957.8</c:v>
                </c:pt>
                <c:pt idx="2444">
                  <c:v>52828.93</c:v>
                </c:pt>
                <c:pt idx="2445">
                  <c:v>52771.95</c:v>
                </c:pt>
                <c:pt idx="2446">
                  <c:v>52989.66</c:v>
                </c:pt>
                <c:pt idx="2447">
                  <c:v>52309.7</c:v>
                </c:pt>
                <c:pt idx="2448">
                  <c:v>52396.4</c:v>
                </c:pt>
                <c:pt idx="2449">
                  <c:v>52397.97</c:v>
                </c:pt>
                <c:pt idx="2450">
                  <c:v>52806.5</c:v>
                </c:pt>
                <c:pt idx="2451">
                  <c:v>52321.78</c:v>
                </c:pt>
                <c:pt idx="2452">
                  <c:v>52218.61</c:v>
                </c:pt>
                <c:pt idx="2453">
                  <c:v>52486.65</c:v>
                </c:pt>
                <c:pt idx="2454">
                  <c:v>52348.36</c:v>
                </c:pt>
                <c:pt idx="2455">
                  <c:v>52543.37</c:v>
                </c:pt>
                <c:pt idx="2456">
                  <c:v>52532.76</c:v>
                </c:pt>
                <c:pt idx="2457">
                  <c:v>53126.8</c:v>
                </c:pt>
                <c:pt idx="2458">
                  <c:v>52797.58</c:v>
                </c:pt>
                <c:pt idx="2459">
                  <c:v>53282.16</c:v>
                </c:pt>
                <c:pt idx="2460">
                  <c:v>53764.26</c:v>
                </c:pt>
                <c:pt idx="2461">
                  <c:v>53638.04</c:v>
                </c:pt>
                <c:pt idx="2462">
                  <c:v>53292.52</c:v>
                </c:pt>
                <c:pt idx="2463">
                  <c:v>53005.22</c:v>
                </c:pt>
                <c:pt idx="2464">
                  <c:v>52974.03</c:v>
                </c:pt>
                <c:pt idx="2465">
                  <c:v>52837.86</c:v>
                </c:pt>
                <c:pt idx="2466">
                  <c:v>52892.92</c:v>
                </c:pt>
                <c:pt idx="2467">
                  <c:v>53046.31</c:v>
                </c:pt>
                <c:pt idx="2468">
                  <c:v>53088.46</c:v>
                </c:pt>
                <c:pt idx="2469">
                  <c:v>52837.03</c:v>
                </c:pt>
                <c:pt idx="2470">
                  <c:v>52814.879999999997</c:v>
                </c:pt>
                <c:pt idx="2471">
                  <c:v>52547.519999999997</c:v>
                </c:pt>
                <c:pt idx="2472">
                  <c:v>52170.37</c:v>
                </c:pt>
                <c:pt idx="2473">
                  <c:v>51276.4</c:v>
                </c:pt>
                <c:pt idx="2474">
                  <c:v>51097.48</c:v>
                </c:pt>
                <c:pt idx="2475">
                  <c:v>50811.66</c:v>
                </c:pt>
                <c:pt idx="2476">
                  <c:v>51670.16</c:v>
                </c:pt>
                <c:pt idx="2477">
                  <c:v>52454.239999999998</c:v>
                </c:pt>
                <c:pt idx="2478">
                  <c:v>52357.5</c:v>
                </c:pt>
                <c:pt idx="2479">
                  <c:v>52217.72</c:v>
                </c:pt>
                <c:pt idx="2480">
                  <c:v>51890.42</c:v>
                </c:pt>
                <c:pt idx="2481">
                  <c:v>51141.14</c:v>
                </c:pt>
                <c:pt idx="2482">
                  <c:v>50086.68</c:v>
                </c:pt>
                <c:pt idx="2483">
                  <c:v>51679.66</c:v>
                </c:pt>
                <c:pt idx="2484">
                  <c:v>53585.53</c:v>
                </c:pt>
                <c:pt idx="2485">
                  <c:v>53557.2</c:v>
                </c:pt>
                <c:pt idx="2486">
                  <c:v>52955.18</c:v>
                </c:pt>
                <c:pt idx="2487">
                  <c:v>53032.14</c:v>
                </c:pt>
                <c:pt idx="2488">
                  <c:v>52140.61</c:v>
                </c:pt>
                <c:pt idx="2489">
                  <c:v>52026.71</c:v>
                </c:pt>
                <c:pt idx="2490">
                  <c:v>51394.31</c:v>
                </c:pt>
                <c:pt idx="2491">
                  <c:v>52511.519999999997</c:v>
                </c:pt>
                <c:pt idx="2492">
                  <c:v>53175.15</c:v>
                </c:pt>
                <c:pt idx="2493">
                  <c:v>53353.87</c:v>
                </c:pt>
                <c:pt idx="2494">
                  <c:v>53960.18</c:v>
                </c:pt>
                <c:pt idx="2495">
                  <c:v>54305.73</c:v>
                </c:pt>
                <c:pt idx="2496">
                  <c:v>53990.76</c:v>
                </c:pt>
                <c:pt idx="2497">
                  <c:v>54259.360000000001</c:v>
                </c:pt>
                <c:pt idx="2498">
                  <c:v>53716.91</c:v>
                </c:pt>
                <c:pt idx="2499">
                  <c:v>53518.36</c:v>
                </c:pt>
                <c:pt idx="2500">
                  <c:v>53905.21</c:v>
                </c:pt>
                <c:pt idx="2501">
                  <c:v>54474.09</c:v>
                </c:pt>
                <c:pt idx="2502">
                  <c:v>54105.37</c:v>
                </c:pt>
                <c:pt idx="2503">
                  <c:v>53921</c:v>
                </c:pt>
                <c:pt idx="2504">
                  <c:v>53721.88</c:v>
                </c:pt>
                <c:pt idx="2505">
                  <c:v>53050.76</c:v>
                </c:pt>
                <c:pt idx="2506">
                  <c:v>52628.62</c:v>
                </c:pt>
                <c:pt idx="2507">
                  <c:v>52638.25</c:v>
                </c:pt>
                <c:pt idx="2508">
                  <c:v>52370.1</c:v>
                </c:pt>
                <c:pt idx="2509">
                  <c:v>52797.23</c:v>
                </c:pt>
                <c:pt idx="2510">
                  <c:v>52528.84</c:v>
                </c:pt>
                <c:pt idx="2511">
                  <c:v>52412.68</c:v>
                </c:pt>
                <c:pt idx="2512">
                  <c:v>51602.55</c:v>
                </c:pt>
                <c:pt idx="2513">
                  <c:v>51458.48</c:v>
                </c:pt>
                <c:pt idx="2514">
                  <c:v>52130.34</c:v>
                </c:pt>
                <c:pt idx="2515">
                  <c:v>51875.26</c:v>
                </c:pt>
                <c:pt idx="2516">
                  <c:v>51348.72</c:v>
                </c:pt>
                <c:pt idx="2517">
                  <c:v>51417.38</c:v>
                </c:pt>
                <c:pt idx="2518">
                  <c:v>51933.8</c:v>
                </c:pt>
                <c:pt idx="2519">
                  <c:v>51873.5</c:v>
                </c:pt>
                <c:pt idx="2520">
                  <c:v>51912.11</c:v>
                </c:pt>
                <c:pt idx="2521">
                  <c:v>52957.32</c:v>
                </c:pt>
                <c:pt idx="2522">
                  <c:v>53223.98</c:v>
                </c:pt>
                <c:pt idx="2523">
                  <c:v>53062.95</c:v>
                </c:pt>
                <c:pt idx="2524">
                  <c:v>52985.31</c:v>
                </c:pt>
                <c:pt idx="2525">
                  <c:v>52925.75</c:v>
                </c:pt>
                <c:pt idx="2526">
                  <c:v>53323.58</c:v>
                </c:pt>
                <c:pt idx="2527">
                  <c:v>53789.75</c:v>
                </c:pt>
                <c:pt idx="2528">
                  <c:v>53380.94</c:v>
                </c:pt>
                <c:pt idx="2529">
                  <c:v>53166.59</c:v>
                </c:pt>
                <c:pt idx="2530">
                  <c:v>53038.91</c:v>
                </c:pt>
                <c:pt idx="2531">
                  <c:v>52848</c:v>
                </c:pt>
                <c:pt idx="2532">
                  <c:v>52938.239999999998</c:v>
                </c:pt>
                <c:pt idx="2533">
                  <c:v>52059.76</c:v>
                </c:pt>
                <c:pt idx="2534">
                  <c:v>51428.08</c:v>
                </c:pt>
                <c:pt idx="2535">
                  <c:v>51424.480000000003</c:v>
                </c:pt>
                <c:pt idx="2536">
                  <c:v>51146.82</c:v>
                </c:pt>
                <c:pt idx="2537">
                  <c:v>51184.32</c:v>
                </c:pt>
                <c:pt idx="2538">
                  <c:v>51226.09</c:v>
                </c:pt>
                <c:pt idx="2539">
                  <c:v>51895.14</c:v>
                </c:pt>
                <c:pt idx="2540">
                  <c:v>51584.13</c:v>
                </c:pt>
                <c:pt idx="2541">
                  <c:v>52250.28</c:v>
                </c:pt>
                <c:pt idx="2542">
                  <c:v>52495.46</c:v>
                </c:pt>
                <c:pt idx="2543">
                  <c:v>51787.199999999997</c:v>
                </c:pt>
                <c:pt idx="2544">
                  <c:v>52323.78</c:v>
                </c:pt>
                <c:pt idx="2545">
                  <c:v>52569.55</c:v>
                </c:pt>
                <c:pt idx="2546">
                  <c:v>53392.86</c:v>
                </c:pt>
                <c:pt idx="2547">
                  <c:v>53824.28</c:v>
                </c:pt>
                <c:pt idx="2548">
                  <c:v>53190.559999999998</c:v>
                </c:pt>
                <c:pt idx="2549">
                  <c:v>52685.7</c:v>
                </c:pt>
                <c:pt idx="2550">
                  <c:v>52253.79</c:v>
                </c:pt>
                <c:pt idx="2551">
                  <c:v>52471.72</c:v>
                </c:pt>
                <c:pt idx="2552">
                  <c:v>51739.83</c:v>
                </c:pt>
                <c:pt idx="2553">
                  <c:v>51533.78</c:v>
                </c:pt>
                <c:pt idx="2554">
                  <c:v>51484.46</c:v>
                </c:pt>
                <c:pt idx="2555">
                  <c:v>52247.839999999997</c:v>
                </c:pt>
                <c:pt idx="2556">
                  <c:v>52673.79</c:v>
                </c:pt>
                <c:pt idx="2557">
                  <c:v>52200.71</c:v>
                </c:pt>
                <c:pt idx="2558">
                  <c:v>51787.01</c:v>
                </c:pt>
                <c:pt idx="2559">
                  <c:v>50966.93</c:v>
                </c:pt>
                <c:pt idx="2560">
                  <c:v>50315.09</c:v>
                </c:pt>
                <c:pt idx="2561">
                  <c:v>49415.31</c:v>
                </c:pt>
                <c:pt idx="2562">
                  <c:v>49429.4</c:v>
                </c:pt>
                <c:pt idx="2563">
                  <c:v>48373.17</c:v>
                </c:pt>
                <c:pt idx="2564">
                  <c:v>47995.82</c:v>
                </c:pt>
                <c:pt idx="2565">
                  <c:v>48421.99</c:v>
                </c:pt>
                <c:pt idx="2566">
                  <c:v>49112.800000000003</c:v>
                </c:pt>
                <c:pt idx="2567">
                  <c:v>48940.43</c:v>
                </c:pt>
                <c:pt idx="2568">
                  <c:v>49857.7</c:v>
                </c:pt>
                <c:pt idx="2569">
                  <c:v>50039.31</c:v>
                </c:pt>
                <c:pt idx="2570">
                  <c:v>49387.1</c:v>
                </c:pt>
                <c:pt idx="2571">
                  <c:v>49851.95</c:v>
                </c:pt>
                <c:pt idx="2572">
                  <c:v>48589.69</c:v>
                </c:pt>
                <c:pt idx="2573">
                  <c:v>47411.57</c:v>
                </c:pt>
                <c:pt idx="2574">
                  <c:v>48273.24</c:v>
                </c:pt>
                <c:pt idx="2575">
                  <c:v>48344.75</c:v>
                </c:pt>
                <c:pt idx="2576">
                  <c:v>49429.59</c:v>
                </c:pt>
                <c:pt idx="2577">
                  <c:v>49753.29</c:v>
                </c:pt>
                <c:pt idx="2578">
                  <c:v>49627.53</c:v>
                </c:pt>
                <c:pt idx="2579">
                  <c:v>48535.48</c:v>
                </c:pt>
                <c:pt idx="2580">
                  <c:v>48029.24</c:v>
                </c:pt>
                <c:pt idx="2581">
                  <c:v>49055.54</c:v>
                </c:pt>
                <c:pt idx="2582">
                  <c:v>49141.94</c:v>
                </c:pt>
                <c:pt idx="2583">
                  <c:v>48702.61</c:v>
                </c:pt>
                <c:pt idx="2584">
                  <c:v>47923.92</c:v>
                </c:pt>
                <c:pt idx="2585">
                  <c:v>47532.4</c:v>
                </c:pt>
                <c:pt idx="2586">
                  <c:v>47210.42</c:v>
                </c:pt>
                <c:pt idx="2587">
                  <c:v>47661.87</c:v>
                </c:pt>
                <c:pt idx="2588">
                  <c:v>46282.02</c:v>
                </c:pt>
                <c:pt idx="2589">
                  <c:v>46329.78</c:v>
                </c:pt>
                <c:pt idx="2590">
                  <c:v>47627.76</c:v>
                </c:pt>
                <c:pt idx="2591">
                  <c:v>46876.62</c:v>
                </c:pt>
                <c:pt idx="2592">
                  <c:v>46960.37</c:v>
                </c:pt>
                <c:pt idx="2593">
                  <c:v>47697.53</c:v>
                </c:pt>
                <c:pt idx="2594">
                  <c:v>48412.800000000003</c:v>
                </c:pt>
                <c:pt idx="2595">
                  <c:v>48396.18</c:v>
                </c:pt>
                <c:pt idx="2596">
                  <c:v>48322.68</c:v>
                </c:pt>
                <c:pt idx="2597">
                  <c:v>48104.68</c:v>
                </c:pt>
                <c:pt idx="2598">
                  <c:v>48052.78</c:v>
                </c:pt>
                <c:pt idx="2599">
                  <c:v>49082.29</c:v>
                </c:pt>
                <c:pt idx="2600">
                  <c:v>49599.72</c:v>
                </c:pt>
                <c:pt idx="2601">
                  <c:v>49316.61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4-4BDE-822A-73036921A154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888816"/>
        <c:axId val="1842897456"/>
      </c:lineChart>
      <c:dateAx>
        <c:axId val="184288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0302435868566375"/>
              <c:y val="0.93549421262790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97456"/>
        <c:crosses val="autoZero"/>
        <c:auto val="1"/>
        <c:lblOffset val="100"/>
        <c:baseTimeUnit val="days"/>
      </c:dateAx>
      <c:valAx>
        <c:axId val="184289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price</a:t>
                </a:r>
              </a:p>
            </c:rich>
          </c:tx>
          <c:layout>
            <c:manualLayout>
              <c:xMode val="edge"/>
              <c:yMode val="edge"/>
              <c:x val="1.7172095916192683E-2"/>
              <c:y val="0.41576445694825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8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 sz="2000"/>
              <a:t>Log Returns of JSE ALSI</a:t>
            </a:r>
          </a:p>
        </c:rich>
      </c:tx>
      <c:layout>
        <c:manualLayout>
          <c:xMode val="edge"/>
          <c:yMode val="edge"/>
          <c:x val="0.3461179663782486"/>
          <c:y val="2.5754495173364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'FTSE_JSE All Share Historical D'!$D$2:$D$2603</c:f>
              <c:numCache>
                <c:formatCode>General</c:formatCode>
                <c:ptCount val="2602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2016</c:v>
                </c:pt>
                <c:pt idx="5">
                  <c:v>2016</c:v>
                </c:pt>
                <c:pt idx="6">
                  <c:v>2016</c:v>
                </c:pt>
                <c:pt idx="7">
                  <c:v>2016</c:v>
                </c:pt>
                <c:pt idx="8">
                  <c:v>2016</c:v>
                </c:pt>
                <c:pt idx="9">
                  <c:v>2016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2016</c:v>
                </c:pt>
                <c:pt idx="19">
                  <c:v>2016</c:v>
                </c:pt>
                <c:pt idx="20">
                  <c:v>2016</c:v>
                </c:pt>
                <c:pt idx="21">
                  <c:v>2016</c:v>
                </c:pt>
                <c:pt idx="22">
                  <c:v>2016</c:v>
                </c:pt>
                <c:pt idx="23">
                  <c:v>2016</c:v>
                </c:pt>
                <c:pt idx="24">
                  <c:v>2016</c:v>
                </c:pt>
                <c:pt idx="25">
                  <c:v>2016</c:v>
                </c:pt>
                <c:pt idx="26">
                  <c:v>2016</c:v>
                </c:pt>
                <c:pt idx="27">
                  <c:v>2016</c:v>
                </c:pt>
                <c:pt idx="28">
                  <c:v>2016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2016</c:v>
                </c:pt>
                <c:pt idx="34">
                  <c:v>2016</c:v>
                </c:pt>
                <c:pt idx="35">
                  <c:v>2016</c:v>
                </c:pt>
                <c:pt idx="36">
                  <c:v>2016</c:v>
                </c:pt>
                <c:pt idx="37">
                  <c:v>2016</c:v>
                </c:pt>
                <c:pt idx="38">
                  <c:v>2016</c:v>
                </c:pt>
                <c:pt idx="39">
                  <c:v>2016</c:v>
                </c:pt>
                <c:pt idx="40">
                  <c:v>2016</c:v>
                </c:pt>
                <c:pt idx="41">
                  <c:v>2016</c:v>
                </c:pt>
                <c:pt idx="42">
                  <c:v>2016</c:v>
                </c:pt>
                <c:pt idx="43">
                  <c:v>2016</c:v>
                </c:pt>
                <c:pt idx="44">
                  <c:v>2016</c:v>
                </c:pt>
                <c:pt idx="45">
                  <c:v>2016</c:v>
                </c:pt>
                <c:pt idx="46">
                  <c:v>2016</c:v>
                </c:pt>
                <c:pt idx="47">
                  <c:v>2016</c:v>
                </c:pt>
                <c:pt idx="48">
                  <c:v>2016</c:v>
                </c:pt>
                <c:pt idx="49">
                  <c:v>2016</c:v>
                </c:pt>
                <c:pt idx="50">
                  <c:v>2016</c:v>
                </c:pt>
                <c:pt idx="51">
                  <c:v>2016</c:v>
                </c:pt>
                <c:pt idx="52">
                  <c:v>2016</c:v>
                </c:pt>
                <c:pt idx="53">
                  <c:v>2016</c:v>
                </c:pt>
                <c:pt idx="54">
                  <c:v>2016</c:v>
                </c:pt>
                <c:pt idx="55">
                  <c:v>2016</c:v>
                </c:pt>
                <c:pt idx="56">
                  <c:v>2016</c:v>
                </c:pt>
                <c:pt idx="57">
                  <c:v>2016</c:v>
                </c:pt>
                <c:pt idx="58">
                  <c:v>2016</c:v>
                </c:pt>
                <c:pt idx="59">
                  <c:v>2016</c:v>
                </c:pt>
                <c:pt idx="60">
                  <c:v>2016</c:v>
                </c:pt>
                <c:pt idx="61">
                  <c:v>2016</c:v>
                </c:pt>
                <c:pt idx="62">
                  <c:v>2016</c:v>
                </c:pt>
                <c:pt idx="63">
                  <c:v>2016</c:v>
                </c:pt>
                <c:pt idx="64">
                  <c:v>2016</c:v>
                </c:pt>
                <c:pt idx="65">
                  <c:v>2016</c:v>
                </c:pt>
                <c:pt idx="66">
                  <c:v>2016</c:v>
                </c:pt>
                <c:pt idx="67">
                  <c:v>2016</c:v>
                </c:pt>
                <c:pt idx="68">
                  <c:v>2016</c:v>
                </c:pt>
                <c:pt idx="69">
                  <c:v>2016</c:v>
                </c:pt>
                <c:pt idx="70">
                  <c:v>2016</c:v>
                </c:pt>
                <c:pt idx="71">
                  <c:v>2016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2016</c:v>
                </c:pt>
                <c:pt idx="78">
                  <c:v>2016</c:v>
                </c:pt>
                <c:pt idx="79">
                  <c:v>2016</c:v>
                </c:pt>
                <c:pt idx="80">
                  <c:v>2016</c:v>
                </c:pt>
                <c:pt idx="81">
                  <c:v>2016</c:v>
                </c:pt>
                <c:pt idx="82">
                  <c:v>2016</c:v>
                </c:pt>
                <c:pt idx="83">
                  <c:v>2016</c:v>
                </c:pt>
                <c:pt idx="84">
                  <c:v>2016</c:v>
                </c:pt>
                <c:pt idx="85">
                  <c:v>2016</c:v>
                </c:pt>
                <c:pt idx="86">
                  <c:v>2016</c:v>
                </c:pt>
                <c:pt idx="87">
                  <c:v>2016</c:v>
                </c:pt>
                <c:pt idx="88">
                  <c:v>2016</c:v>
                </c:pt>
                <c:pt idx="89">
                  <c:v>2016</c:v>
                </c:pt>
                <c:pt idx="90">
                  <c:v>2016</c:v>
                </c:pt>
                <c:pt idx="91">
                  <c:v>2016</c:v>
                </c:pt>
                <c:pt idx="92">
                  <c:v>2016</c:v>
                </c:pt>
                <c:pt idx="93">
                  <c:v>2016</c:v>
                </c:pt>
                <c:pt idx="94">
                  <c:v>2016</c:v>
                </c:pt>
                <c:pt idx="95">
                  <c:v>2016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2016</c:v>
                </c:pt>
                <c:pt idx="109">
                  <c:v>2016</c:v>
                </c:pt>
                <c:pt idx="110">
                  <c:v>2016</c:v>
                </c:pt>
                <c:pt idx="111">
                  <c:v>2016</c:v>
                </c:pt>
                <c:pt idx="112">
                  <c:v>2016</c:v>
                </c:pt>
                <c:pt idx="113">
                  <c:v>2016</c:v>
                </c:pt>
                <c:pt idx="114">
                  <c:v>2016</c:v>
                </c:pt>
                <c:pt idx="115">
                  <c:v>2016</c:v>
                </c:pt>
                <c:pt idx="116">
                  <c:v>2016</c:v>
                </c:pt>
                <c:pt idx="117">
                  <c:v>2016</c:v>
                </c:pt>
                <c:pt idx="118">
                  <c:v>2016</c:v>
                </c:pt>
                <c:pt idx="119">
                  <c:v>2016</c:v>
                </c:pt>
                <c:pt idx="120">
                  <c:v>2016</c:v>
                </c:pt>
                <c:pt idx="121">
                  <c:v>2016</c:v>
                </c:pt>
                <c:pt idx="122">
                  <c:v>2016</c:v>
                </c:pt>
                <c:pt idx="123">
                  <c:v>2016</c:v>
                </c:pt>
                <c:pt idx="124">
                  <c:v>2016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2016</c:v>
                </c:pt>
                <c:pt idx="131">
                  <c:v>2016</c:v>
                </c:pt>
                <c:pt idx="132">
                  <c:v>2016</c:v>
                </c:pt>
                <c:pt idx="133">
                  <c:v>2016</c:v>
                </c:pt>
                <c:pt idx="134">
                  <c:v>2016</c:v>
                </c:pt>
                <c:pt idx="135">
                  <c:v>2016</c:v>
                </c:pt>
                <c:pt idx="136">
                  <c:v>2016</c:v>
                </c:pt>
                <c:pt idx="137">
                  <c:v>2016</c:v>
                </c:pt>
                <c:pt idx="138">
                  <c:v>2016</c:v>
                </c:pt>
                <c:pt idx="139">
                  <c:v>2016</c:v>
                </c:pt>
                <c:pt idx="140">
                  <c:v>2016</c:v>
                </c:pt>
                <c:pt idx="141">
                  <c:v>2016</c:v>
                </c:pt>
                <c:pt idx="142">
                  <c:v>2016</c:v>
                </c:pt>
                <c:pt idx="143">
                  <c:v>2016</c:v>
                </c:pt>
                <c:pt idx="144">
                  <c:v>2016</c:v>
                </c:pt>
                <c:pt idx="145">
                  <c:v>2016</c:v>
                </c:pt>
                <c:pt idx="146">
                  <c:v>2016</c:v>
                </c:pt>
                <c:pt idx="147">
                  <c:v>2016</c:v>
                </c:pt>
                <c:pt idx="148">
                  <c:v>2016</c:v>
                </c:pt>
                <c:pt idx="149">
                  <c:v>2016</c:v>
                </c:pt>
                <c:pt idx="150">
                  <c:v>2016</c:v>
                </c:pt>
                <c:pt idx="151">
                  <c:v>2016</c:v>
                </c:pt>
                <c:pt idx="152">
                  <c:v>2016</c:v>
                </c:pt>
                <c:pt idx="153">
                  <c:v>2016</c:v>
                </c:pt>
                <c:pt idx="154">
                  <c:v>2016</c:v>
                </c:pt>
                <c:pt idx="155">
                  <c:v>2016</c:v>
                </c:pt>
                <c:pt idx="156">
                  <c:v>2016</c:v>
                </c:pt>
                <c:pt idx="157">
                  <c:v>2016</c:v>
                </c:pt>
                <c:pt idx="158">
                  <c:v>2016</c:v>
                </c:pt>
                <c:pt idx="159">
                  <c:v>2016</c:v>
                </c:pt>
                <c:pt idx="160">
                  <c:v>2016</c:v>
                </c:pt>
                <c:pt idx="161">
                  <c:v>2016</c:v>
                </c:pt>
                <c:pt idx="162">
                  <c:v>2016</c:v>
                </c:pt>
                <c:pt idx="163">
                  <c:v>2016</c:v>
                </c:pt>
                <c:pt idx="164">
                  <c:v>2016</c:v>
                </c:pt>
                <c:pt idx="165">
                  <c:v>2016</c:v>
                </c:pt>
                <c:pt idx="166">
                  <c:v>2016</c:v>
                </c:pt>
                <c:pt idx="167">
                  <c:v>2016</c:v>
                </c:pt>
                <c:pt idx="168">
                  <c:v>2016</c:v>
                </c:pt>
                <c:pt idx="169">
                  <c:v>2016</c:v>
                </c:pt>
                <c:pt idx="170">
                  <c:v>2016</c:v>
                </c:pt>
                <c:pt idx="171">
                  <c:v>2016</c:v>
                </c:pt>
                <c:pt idx="172">
                  <c:v>2016</c:v>
                </c:pt>
                <c:pt idx="173">
                  <c:v>2016</c:v>
                </c:pt>
                <c:pt idx="174">
                  <c:v>2016</c:v>
                </c:pt>
                <c:pt idx="175">
                  <c:v>2016</c:v>
                </c:pt>
                <c:pt idx="176">
                  <c:v>2016</c:v>
                </c:pt>
                <c:pt idx="177">
                  <c:v>2016</c:v>
                </c:pt>
                <c:pt idx="178">
                  <c:v>2016</c:v>
                </c:pt>
                <c:pt idx="179">
                  <c:v>2016</c:v>
                </c:pt>
                <c:pt idx="180">
                  <c:v>2016</c:v>
                </c:pt>
                <c:pt idx="181">
                  <c:v>2016</c:v>
                </c:pt>
                <c:pt idx="182">
                  <c:v>2016</c:v>
                </c:pt>
                <c:pt idx="183">
                  <c:v>2016</c:v>
                </c:pt>
                <c:pt idx="184">
                  <c:v>2016</c:v>
                </c:pt>
                <c:pt idx="185">
                  <c:v>2016</c:v>
                </c:pt>
                <c:pt idx="186">
                  <c:v>2016</c:v>
                </c:pt>
                <c:pt idx="187">
                  <c:v>2016</c:v>
                </c:pt>
                <c:pt idx="188">
                  <c:v>2016</c:v>
                </c:pt>
                <c:pt idx="189">
                  <c:v>2016</c:v>
                </c:pt>
                <c:pt idx="190">
                  <c:v>2016</c:v>
                </c:pt>
                <c:pt idx="191">
                  <c:v>2016</c:v>
                </c:pt>
                <c:pt idx="192">
                  <c:v>2016</c:v>
                </c:pt>
                <c:pt idx="193">
                  <c:v>2016</c:v>
                </c:pt>
                <c:pt idx="194">
                  <c:v>2016</c:v>
                </c:pt>
                <c:pt idx="195">
                  <c:v>2016</c:v>
                </c:pt>
                <c:pt idx="196">
                  <c:v>2016</c:v>
                </c:pt>
                <c:pt idx="197">
                  <c:v>2016</c:v>
                </c:pt>
                <c:pt idx="198">
                  <c:v>2016</c:v>
                </c:pt>
                <c:pt idx="199">
                  <c:v>2016</c:v>
                </c:pt>
                <c:pt idx="200">
                  <c:v>2016</c:v>
                </c:pt>
                <c:pt idx="201">
                  <c:v>2016</c:v>
                </c:pt>
                <c:pt idx="202">
                  <c:v>2016</c:v>
                </c:pt>
                <c:pt idx="203">
                  <c:v>2016</c:v>
                </c:pt>
                <c:pt idx="204">
                  <c:v>2016</c:v>
                </c:pt>
                <c:pt idx="205">
                  <c:v>2016</c:v>
                </c:pt>
                <c:pt idx="206">
                  <c:v>2016</c:v>
                </c:pt>
                <c:pt idx="207">
                  <c:v>2016</c:v>
                </c:pt>
                <c:pt idx="208">
                  <c:v>2016</c:v>
                </c:pt>
                <c:pt idx="209">
                  <c:v>2016</c:v>
                </c:pt>
                <c:pt idx="210">
                  <c:v>2016</c:v>
                </c:pt>
                <c:pt idx="211">
                  <c:v>2016</c:v>
                </c:pt>
                <c:pt idx="212">
                  <c:v>2016</c:v>
                </c:pt>
                <c:pt idx="213">
                  <c:v>2016</c:v>
                </c:pt>
                <c:pt idx="214">
                  <c:v>2016</c:v>
                </c:pt>
                <c:pt idx="215">
                  <c:v>2016</c:v>
                </c:pt>
                <c:pt idx="216">
                  <c:v>2016</c:v>
                </c:pt>
                <c:pt idx="217">
                  <c:v>2016</c:v>
                </c:pt>
                <c:pt idx="218">
                  <c:v>2016</c:v>
                </c:pt>
                <c:pt idx="219">
                  <c:v>2016</c:v>
                </c:pt>
                <c:pt idx="220">
                  <c:v>2016</c:v>
                </c:pt>
                <c:pt idx="221">
                  <c:v>2016</c:v>
                </c:pt>
                <c:pt idx="222">
                  <c:v>2016</c:v>
                </c:pt>
                <c:pt idx="223">
                  <c:v>2016</c:v>
                </c:pt>
                <c:pt idx="224">
                  <c:v>2016</c:v>
                </c:pt>
                <c:pt idx="225">
                  <c:v>2016</c:v>
                </c:pt>
                <c:pt idx="226">
                  <c:v>2016</c:v>
                </c:pt>
                <c:pt idx="227">
                  <c:v>2016</c:v>
                </c:pt>
                <c:pt idx="228">
                  <c:v>2016</c:v>
                </c:pt>
                <c:pt idx="229">
                  <c:v>2016</c:v>
                </c:pt>
                <c:pt idx="230">
                  <c:v>2016</c:v>
                </c:pt>
                <c:pt idx="231">
                  <c:v>2016</c:v>
                </c:pt>
                <c:pt idx="232">
                  <c:v>2016</c:v>
                </c:pt>
                <c:pt idx="233">
                  <c:v>2016</c:v>
                </c:pt>
                <c:pt idx="234">
                  <c:v>2016</c:v>
                </c:pt>
                <c:pt idx="235">
                  <c:v>2016</c:v>
                </c:pt>
                <c:pt idx="236">
                  <c:v>2016</c:v>
                </c:pt>
                <c:pt idx="237">
                  <c:v>2016</c:v>
                </c:pt>
                <c:pt idx="238">
                  <c:v>2016</c:v>
                </c:pt>
                <c:pt idx="239">
                  <c:v>2016</c:v>
                </c:pt>
                <c:pt idx="240">
                  <c:v>2016</c:v>
                </c:pt>
                <c:pt idx="241">
                  <c:v>2016</c:v>
                </c:pt>
                <c:pt idx="242">
                  <c:v>2016</c:v>
                </c:pt>
                <c:pt idx="243">
                  <c:v>2016</c:v>
                </c:pt>
                <c:pt idx="244">
                  <c:v>2016</c:v>
                </c:pt>
                <c:pt idx="245">
                  <c:v>2016</c:v>
                </c:pt>
                <c:pt idx="246">
                  <c:v>2016</c:v>
                </c:pt>
                <c:pt idx="247">
                  <c:v>2016</c:v>
                </c:pt>
                <c:pt idx="248">
                  <c:v>2016</c:v>
                </c:pt>
                <c:pt idx="249">
                  <c:v>2017</c:v>
                </c:pt>
                <c:pt idx="250">
                  <c:v>2017</c:v>
                </c:pt>
                <c:pt idx="251">
                  <c:v>2017</c:v>
                </c:pt>
                <c:pt idx="252">
                  <c:v>2017</c:v>
                </c:pt>
                <c:pt idx="253">
                  <c:v>2017</c:v>
                </c:pt>
                <c:pt idx="254">
                  <c:v>2017</c:v>
                </c:pt>
                <c:pt idx="255">
                  <c:v>2017</c:v>
                </c:pt>
                <c:pt idx="256">
                  <c:v>2017</c:v>
                </c:pt>
                <c:pt idx="257">
                  <c:v>2017</c:v>
                </c:pt>
                <c:pt idx="258">
                  <c:v>2017</c:v>
                </c:pt>
                <c:pt idx="259">
                  <c:v>2017</c:v>
                </c:pt>
                <c:pt idx="260">
                  <c:v>2017</c:v>
                </c:pt>
                <c:pt idx="261">
                  <c:v>2017</c:v>
                </c:pt>
                <c:pt idx="262">
                  <c:v>2017</c:v>
                </c:pt>
                <c:pt idx="263">
                  <c:v>2017</c:v>
                </c:pt>
                <c:pt idx="264">
                  <c:v>2017</c:v>
                </c:pt>
                <c:pt idx="265">
                  <c:v>2017</c:v>
                </c:pt>
                <c:pt idx="266">
                  <c:v>2017</c:v>
                </c:pt>
                <c:pt idx="267">
                  <c:v>2017</c:v>
                </c:pt>
                <c:pt idx="268">
                  <c:v>2017</c:v>
                </c:pt>
                <c:pt idx="269">
                  <c:v>2017</c:v>
                </c:pt>
                <c:pt idx="270">
                  <c:v>2017</c:v>
                </c:pt>
                <c:pt idx="271">
                  <c:v>2017</c:v>
                </c:pt>
                <c:pt idx="272">
                  <c:v>2017</c:v>
                </c:pt>
                <c:pt idx="273">
                  <c:v>2017</c:v>
                </c:pt>
                <c:pt idx="274">
                  <c:v>2017</c:v>
                </c:pt>
                <c:pt idx="275">
                  <c:v>2017</c:v>
                </c:pt>
                <c:pt idx="276">
                  <c:v>2017</c:v>
                </c:pt>
                <c:pt idx="277">
                  <c:v>2017</c:v>
                </c:pt>
                <c:pt idx="278">
                  <c:v>2017</c:v>
                </c:pt>
                <c:pt idx="279">
                  <c:v>2017</c:v>
                </c:pt>
                <c:pt idx="280">
                  <c:v>2017</c:v>
                </c:pt>
                <c:pt idx="281">
                  <c:v>2017</c:v>
                </c:pt>
                <c:pt idx="282">
                  <c:v>2017</c:v>
                </c:pt>
                <c:pt idx="283">
                  <c:v>2017</c:v>
                </c:pt>
                <c:pt idx="284">
                  <c:v>2017</c:v>
                </c:pt>
                <c:pt idx="285">
                  <c:v>2017</c:v>
                </c:pt>
                <c:pt idx="286">
                  <c:v>2017</c:v>
                </c:pt>
                <c:pt idx="287">
                  <c:v>2017</c:v>
                </c:pt>
                <c:pt idx="288">
                  <c:v>2017</c:v>
                </c:pt>
                <c:pt idx="289">
                  <c:v>2017</c:v>
                </c:pt>
                <c:pt idx="290">
                  <c:v>2017</c:v>
                </c:pt>
                <c:pt idx="291">
                  <c:v>2017</c:v>
                </c:pt>
                <c:pt idx="292">
                  <c:v>2017</c:v>
                </c:pt>
                <c:pt idx="293">
                  <c:v>2017</c:v>
                </c:pt>
                <c:pt idx="294">
                  <c:v>2017</c:v>
                </c:pt>
                <c:pt idx="295">
                  <c:v>2017</c:v>
                </c:pt>
                <c:pt idx="296">
                  <c:v>2017</c:v>
                </c:pt>
                <c:pt idx="297">
                  <c:v>2017</c:v>
                </c:pt>
                <c:pt idx="298">
                  <c:v>2017</c:v>
                </c:pt>
                <c:pt idx="299">
                  <c:v>2017</c:v>
                </c:pt>
                <c:pt idx="300">
                  <c:v>2017</c:v>
                </c:pt>
                <c:pt idx="301">
                  <c:v>2017</c:v>
                </c:pt>
                <c:pt idx="302">
                  <c:v>2017</c:v>
                </c:pt>
                <c:pt idx="303">
                  <c:v>2017</c:v>
                </c:pt>
                <c:pt idx="304">
                  <c:v>2017</c:v>
                </c:pt>
                <c:pt idx="305">
                  <c:v>2017</c:v>
                </c:pt>
                <c:pt idx="306">
                  <c:v>2017</c:v>
                </c:pt>
                <c:pt idx="307">
                  <c:v>2017</c:v>
                </c:pt>
                <c:pt idx="308">
                  <c:v>2017</c:v>
                </c:pt>
                <c:pt idx="309">
                  <c:v>2017</c:v>
                </c:pt>
                <c:pt idx="310">
                  <c:v>2017</c:v>
                </c:pt>
                <c:pt idx="311">
                  <c:v>2017</c:v>
                </c:pt>
                <c:pt idx="312">
                  <c:v>2017</c:v>
                </c:pt>
                <c:pt idx="313">
                  <c:v>2017</c:v>
                </c:pt>
                <c:pt idx="314">
                  <c:v>2017</c:v>
                </c:pt>
                <c:pt idx="315">
                  <c:v>2017</c:v>
                </c:pt>
                <c:pt idx="316">
                  <c:v>2017</c:v>
                </c:pt>
                <c:pt idx="317">
                  <c:v>2017</c:v>
                </c:pt>
                <c:pt idx="318">
                  <c:v>2017</c:v>
                </c:pt>
                <c:pt idx="319">
                  <c:v>2017</c:v>
                </c:pt>
                <c:pt idx="320">
                  <c:v>2017</c:v>
                </c:pt>
                <c:pt idx="321">
                  <c:v>2017</c:v>
                </c:pt>
                <c:pt idx="322">
                  <c:v>2017</c:v>
                </c:pt>
                <c:pt idx="323">
                  <c:v>2017</c:v>
                </c:pt>
                <c:pt idx="324">
                  <c:v>2017</c:v>
                </c:pt>
                <c:pt idx="325">
                  <c:v>2017</c:v>
                </c:pt>
                <c:pt idx="326">
                  <c:v>2017</c:v>
                </c:pt>
                <c:pt idx="327">
                  <c:v>2017</c:v>
                </c:pt>
                <c:pt idx="328">
                  <c:v>2017</c:v>
                </c:pt>
                <c:pt idx="329">
                  <c:v>2017</c:v>
                </c:pt>
                <c:pt idx="330">
                  <c:v>2017</c:v>
                </c:pt>
                <c:pt idx="331">
                  <c:v>2017</c:v>
                </c:pt>
                <c:pt idx="332">
                  <c:v>2017</c:v>
                </c:pt>
                <c:pt idx="333">
                  <c:v>2017</c:v>
                </c:pt>
                <c:pt idx="334">
                  <c:v>2017</c:v>
                </c:pt>
                <c:pt idx="335">
                  <c:v>2017</c:v>
                </c:pt>
                <c:pt idx="336">
                  <c:v>2017</c:v>
                </c:pt>
                <c:pt idx="337">
                  <c:v>2017</c:v>
                </c:pt>
                <c:pt idx="338">
                  <c:v>2017</c:v>
                </c:pt>
                <c:pt idx="339">
                  <c:v>2017</c:v>
                </c:pt>
                <c:pt idx="340">
                  <c:v>2017</c:v>
                </c:pt>
                <c:pt idx="341">
                  <c:v>2017</c:v>
                </c:pt>
                <c:pt idx="342">
                  <c:v>2017</c:v>
                </c:pt>
                <c:pt idx="343">
                  <c:v>2017</c:v>
                </c:pt>
                <c:pt idx="344">
                  <c:v>2017</c:v>
                </c:pt>
                <c:pt idx="345">
                  <c:v>2017</c:v>
                </c:pt>
                <c:pt idx="346">
                  <c:v>2017</c:v>
                </c:pt>
                <c:pt idx="347">
                  <c:v>2017</c:v>
                </c:pt>
                <c:pt idx="348">
                  <c:v>2017</c:v>
                </c:pt>
                <c:pt idx="349">
                  <c:v>2017</c:v>
                </c:pt>
                <c:pt idx="350">
                  <c:v>2017</c:v>
                </c:pt>
                <c:pt idx="351">
                  <c:v>2017</c:v>
                </c:pt>
                <c:pt idx="352">
                  <c:v>2017</c:v>
                </c:pt>
                <c:pt idx="353">
                  <c:v>2017</c:v>
                </c:pt>
                <c:pt idx="354">
                  <c:v>2017</c:v>
                </c:pt>
                <c:pt idx="355">
                  <c:v>2017</c:v>
                </c:pt>
                <c:pt idx="356">
                  <c:v>2017</c:v>
                </c:pt>
                <c:pt idx="357">
                  <c:v>2017</c:v>
                </c:pt>
                <c:pt idx="358">
                  <c:v>2017</c:v>
                </c:pt>
                <c:pt idx="359">
                  <c:v>2017</c:v>
                </c:pt>
                <c:pt idx="360">
                  <c:v>2017</c:v>
                </c:pt>
                <c:pt idx="361">
                  <c:v>2017</c:v>
                </c:pt>
                <c:pt idx="362">
                  <c:v>2017</c:v>
                </c:pt>
                <c:pt idx="363">
                  <c:v>2017</c:v>
                </c:pt>
                <c:pt idx="364">
                  <c:v>2017</c:v>
                </c:pt>
                <c:pt idx="365">
                  <c:v>2017</c:v>
                </c:pt>
                <c:pt idx="366">
                  <c:v>2017</c:v>
                </c:pt>
                <c:pt idx="367">
                  <c:v>2017</c:v>
                </c:pt>
                <c:pt idx="368">
                  <c:v>2017</c:v>
                </c:pt>
                <c:pt idx="369">
                  <c:v>2017</c:v>
                </c:pt>
                <c:pt idx="370">
                  <c:v>2017</c:v>
                </c:pt>
                <c:pt idx="371">
                  <c:v>2017</c:v>
                </c:pt>
                <c:pt idx="372">
                  <c:v>2017</c:v>
                </c:pt>
                <c:pt idx="373">
                  <c:v>2017</c:v>
                </c:pt>
                <c:pt idx="374">
                  <c:v>2017</c:v>
                </c:pt>
                <c:pt idx="375">
                  <c:v>2017</c:v>
                </c:pt>
                <c:pt idx="376">
                  <c:v>2017</c:v>
                </c:pt>
                <c:pt idx="377">
                  <c:v>2017</c:v>
                </c:pt>
                <c:pt idx="378">
                  <c:v>2017</c:v>
                </c:pt>
                <c:pt idx="379">
                  <c:v>2017</c:v>
                </c:pt>
                <c:pt idx="380">
                  <c:v>2017</c:v>
                </c:pt>
                <c:pt idx="381">
                  <c:v>2017</c:v>
                </c:pt>
                <c:pt idx="382">
                  <c:v>2017</c:v>
                </c:pt>
                <c:pt idx="383">
                  <c:v>2017</c:v>
                </c:pt>
                <c:pt idx="384">
                  <c:v>2017</c:v>
                </c:pt>
                <c:pt idx="385">
                  <c:v>2017</c:v>
                </c:pt>
                <c:pt idx="386">
                  <c:v>2017</c:v>
                </c:pt>
                <c:pt idx="387">
                  <c:v>2017</c:v>
                </c:pt>
                <c:pt idx="388">
                  <c:v>2017</c:v>
                </c:pt>
                <c:pt idx="389">
                  <c:v>2017</c:v>
                </c:pt>
                <c:pt idx="390">
                  <c:v>2017</c:v>
                </c:pt>
                <c:pt idx="391">
                  <c:v>2017</c:v>
                </c:pt>
                <c:pt idx="392">
                  <c:v>2017</c:v>
                </c:pt>
                <c:pt idx="393">
                  <c:v>2017</c:v>
                </c:pt>
                <c:pt idx="394">
                  <c:v>2017</c:v>
                </c:pt>
                <c:pt idx="395">
                  <c:v>2017</c:v>
                </c:pt>
                <c:pt idx="396">
                  <c:v>2017</c:v>
                </c:pt>
                <c:pt idx="397">
                  <c:v>2017</c:v>
                </c:pt>
                <c:pt idx="398">
                  <c:v>2017</c:v>
                </c:pt>
                <c:pt idx="399">
                  <c:v>2017</c:v>
                </c:pt>
                <c:pt idx="400">
                  <c:v>2017</c:v>
                </c:pt>
                <c:pt idx="401">
                  <c:v>2017</c:v>
                </c:pt>
                <c:pt idx="402">
                  <c:v>2017</c:v>
                </c:pt>
                <c:pt idx="403">
                  <c:v>2017</c:v>
                </c:pt>
                <c:pt idx="404">
                  <c:v>2017</c:v>
                </c:pt>
                <c:pt idx="405">
                  <c:v>2017</c:v>
                </c:pt>
                <c:pt idx="406">
                  <c:v>2017</c:v>
                </c:pt>
                <c:pt idx="407">
                  <c:v>2017</c:v>
                </c:pt>
                <c:pt idx="408">
                  <c:v>2017</c:v>
                </c:pt>
                <c:pt idx="409">
                  <c:v>2017</c:v>
                </c:pt>
                <c:pt idx="410">
                  <c:v>2017</c:v>
                </c:pt>
                <c:pt idx="411">
                  <c:v>2017</c:v>
                </c:pt>
                <c:pt idx="412">
                  <c:v>2017</c:v>
                </c:pt>
                <c:pt idx="413">
                  <c:v>2017</c:v>
                </c:pt>
                <c:pt idx="414">
                  <c:v>2017</c:v>
                </c:pt>
                <c:pt idx="415">
                  <c:v>2017</c:v>
                </c:pt>
                <c:pt idx="416">
                  <c:v>2017</c:v>
                </c:pt>
                <c:pt idx="417">
                  <c:v>2017</c:v>
                </c:pt>
                <c:pt idx="418">
                  <c:v>2017</c:v>
                </c:pt>
                <c:pt idx="419">
                  <c:v>2017</c:v>
                </c:pt>
                <c:pt idx="420">
                  <c:v>2017</c:v>
                </c:pt>
                <c:pt idx="421">
                  <c:v>2017</c:v>
                </c:pt>
                <c:pt idx="422">
                  <c:v>2017</c:v>
                </c:pt>
                <c:pt idx="423">
                  <c:v>2017</c:v>
                </c:pt>
                <c:pt idx="424">
                  <c:v>2017</c:v>
                </c:pt>
                <c:pt idx="425">
                  <c:v>2017</c:v>
                </c:pt>
                <c:pt idx="426">
                  <c:v>2017</c:v>
                </c:pt>
                <c:pt idx="427">
                  <c:v>2017</c:v>
                </c:pt>
                <c:pt idx="428">
                  <c:v>2017</c:v>
                </c:pt>
                <c:pt idx="429">
                  <c:v>2017</c:v>
                </c:pt>
                <c:pt idx="430">
                  <c:v>2017</c:v>
                </c:pt>
                <c:pt idx="431">
                  <c:v>2017</c:v>
                </c:pt>
                <c:pt idx="432">
                  <c:v>2017</c:v>
                </c:pt>
                <c:pt idx="433">
                  <c:v>2017</c:v>
                </c:pt>
                <c:pt idx="434">
                  <c:v>2017</c:v>
                </c:pt>
                <c:pt idx="435">
                  <c:v>2017</c:v>
                </c:pt>
                <c:pt idx="436">
                  <c:v>2017</c:v>
                </c:pt>
                <c:pt idx="437">
                  <c:v>2017</c:v>
                </c:pt>
                <c:pt idx="438">
                  <c:v>2017</c:v>
                </c:pt>
                <c:pt idx="439">
                  <c:v>2017</c:v>
                </c:pt>
                <c:pt idx="440">
                  <c:v>2017</c:v>
                </c:pt>
                <c:pt idx="441">
                  <c:v>2017</c:v>
                </c:pt>
                <c:pt idx="442">
                  <c:v>2017</c:v>
                </c:pt>
                <c:pt idx="443">
                  <c:v>2017</c:v>
                </c:pt>
                <c:pt idx="444">
                  <c:v>2017</c:v>
                </c:pt>
                <c:pt idx="445">
                  <c:v>2017</c:v>
                </c:pt>
                <c:pt idx="446">
                  <c:v>2017</c:v>
                </c:pt>
                <c:pt idx="447">
                  <c:v>2017</c:v>
                </c:pt>
                <c:pt idx="448">
                  <c:v>2017</c:v>
                </c:pt>
                <c:pt idx="449">
                  <c:v>2017</c:v>
                </c:pt>
                <c:pt idx="450">
                  <c:v>2017</c:v>
                </c:pt>
                <c:pt idx="451">
                  <c:v>2017</c:v>
                </c:pt>
                <c:pt idx="452">
                  <c:v>2017</c:v>
                </c:pt>
                <c:pt idx="453">
                  <c:v>2017</c:v>
                </c:pt>
                <c:pt idx="454">
                  <c:v>2017</c:v>
                </c:pt>
                <c:pt idx="455">
                  <c:v>2017</c:v>
                </c:pt>
                <c:pt idx="456">
                  <c:v>2017</c:v>
                </c:pt>
                <c:pt idx="457">
                  <c:v>2017</c:v>
                </c:pt>
                <c:pt idx="458">
                  <c:v>2017</c:v>
                </c:pt>
                <c:pt idx="459">
                  <c:v>2017</c:v>
                </c:pt>
                <c:pt idx="460">
                  <c:v>2017</c:v>
                </c:pt>
                <c:pt idx="461">
                  <c:v>2017</c:v>
                </c:pt>
                <c:pt idx="462">
                  <c:v>2017</c:v>
                </c:pt>
                <c:pt idx="463">
                  <c:v>2017</c:v>
                </c:pt>
                <c:pt idx="464">
                  <c:v>2017</c:v>
                </c:pt>
                <c:pt idx="465">
                  <c:v>2017</c:v>
                </c:pt>
                <c:pt idx="466">
                  <c:v>2017</c:v>
                </c:pt>
                <c:pt idx="467">
                  <c:v>2017</c:v>
                </c:pt>
                <c:pt idx="468">
                  <c:v>2017</c:v>
                </c:pt>
                <c:pt idx="469">
                  <c:v>2017</c:v>
                </c:pt>
                <c:pt idx="470">
                  <c:v>2017</c:v>
                </c:pt>
                <c:pt idx="471">
                  <c:v>2017</c:v>
                </c:pt>
                <c:pt idx="472">
                  <c:v>2017</c:v>
                </c:pt>
                <c:pt idx="473">
                  <c:v>2017</c:v>
                </c:pt>
                <c:pt idx="474">
                  <c:v>2017</c:v>
                </c:pt>
                <c:pt idx="475">
                  <c:v>2017</c:v>
                </c:pt>
                <c:pt idx="476">
                  <c:v>2017</c:v>
                </c:pt>
                <c:pt idx="477">
                  <c:v>2017</c:v>
                </c:pt>
                <c:pt idx="478">
                  <c:v>2017</c:v>
                </c:pt>
                <c:pt idx="479">
                  <c:v>2017</c:v>
                </c:pt>
                <c:pt idx="480">
                  <c:v>2017</c:v>
                </c:pt>
                <c:pt idx="481">
                  <c:v>2017</c:v>
                </c:pt>
                <c:pt idx="482">
                  <c:v>2017</c:v>
                </c:pt>
                <c:pt idx="483">
                  <c:v>2017</c:v>
                </c:pt>
                <c:pt idx="484">
                  <c:v>2017</c:v>
                </c:pt>
                <c:pt idx="485">
                  <c:v>2017</c:v>
                </c:pt>
                <c:pt idx="486">
                  <c:v>2017</c:v>
                </c:pt>
                <c:pt idx="487">
                  <c:v>2017</c:v>
                </c:pt>
                <c:pt idx="488">
                  <c:v>2017</c:v>
                </c:pt>
                <c:pt idx="489">
                  <c:v>2017</c:v>
                </c:pt>
                <c:pt idx="490">
                  <c:v>2017</c:v>
                </c:pt>
                <c:pt idx="491">
                  <c:v>2017</c:v>
                </c:pt>
                <c:pt idx="492">
                  <c:v>2017</c:v>
                </c:pt>
                <c:pt idx="493">
                  <c:v>2017</c:v>
                </c:pt>
                <c:pt idx="494">
                  <c:v>2017</c:v>
                </c:pt>
                <c:pt idx="495">
                  <c:v>2017</c:v>
                </c:pt>
                <c:pt idx="496">
                  <c:v>2017</c:v>
                </c:pt>
                <c:pt idx="497">
                  <c:v>2017</c:v>
                </c:pt>
                <c:pt idx="498">
                  <c:v>2018</c:v>
                </c:pt>
                <c:pt idx="499">
                  <c:v>2018</c:v>
                </c:pt>
                <c:pt idx="500">
                  <c:v>2018</c:v>
                </c:pt>
                <c:pt idx="501">
                  <c:v>2018</c:v>
                </c:pt>
                <c:pt idx="502">
                  <c:v>2018</c:v>
                </c:pt>
                <c:pt idx="503">
                  <c:v>2018</c:v>
                </c:pt>
                <c:pt idx="504">
                  <c:v>2018</c:v>
                </c:pt>
                <c:pt idx="505">
                  <c:v>2018</c:v>
                </c:pt>
                <c:pt idx="506">
                  <c:v>2018</c:v>
                </c:pt>
                <c:pt idx="507">
                  <c:v>2018</c:v>
                </c:pt>
                <c:pt idx="508">
                  <c:v>2018</c:v>
                </c:pt>
                <c:pt idx="509">
                  <c:v>2018</c:v>
                </c:pt>
                <c:pt idx="510">
                  <c:v>2018</c:v>
                </c:pt>
                <c:pt idx="511">
                  <c:v>2018</c:v>
                </c:pt>
                <c:pt idx="512">
                  <c:v>2018</c:v>
                </c:pt>
                <c:pt idx="513">
                  <c:v>2018</c:v>
                </c:pt>
                <c:pt idx="514">
                  <c:v>2018</c:v>
                </c:pt>
                <c:pt idx="515">
                  <c:v>2018</c:v>
                </c:pt>
                <c:pt idx="516">
                  <c:v>2018</c:v>
                </c:pt>
                <c:pt idx="517">
                  <c:v>2018</c:v>
                </c:pt>
                <c:pt idx="518">
                  <c:v>2018</c:v>
                </c:pt>
                <c:pt idx="519">
                  <c:v>2018</c:v>
                </c:pt>
                <c:pt idx="520">
                  <c:v>2018</c:v>
                </c:pt>
                <c:pt idx="521">
                  <c:v>2018</c:v>
                </c:pt>
                <c:pt idx="522">
                  <c:v>2018</c:v>
                </c:pt>
                <c:pt idx="523">
                  <c:v>2018</c:v>
                </c:pt>
                <c:pt idx="524">
                  <c:v>2018</c:v>
                </c:pt>
                <c:pt idx="525">
                  <c:v>2018</c:v>
                </c:pt>
                <c:pt idx="526">
                  <c:v>2018</c:v>
                </c:pt>
                <c:pt idx="527">
                  <c:v>2018</c:v>
                </c:pt>
                <c:pt idx="528">
                  <c:v>2018</c:v>
                </c:pt>
                <c:pt idx="529">
                  <c:v>2018</c:v>
                </c:pt>
                <c:pt idx="530">
                  <c:v>2018</c:v>
                </c:pt>
                <c:pt idx="531">
                  <c:v>2018</c:v>
                </c:pt>
                <c:pt idx="532">
                  <c:v>2018</c:v>
                </c:pt>
                <c:pt idx="533">
                  <c:v>2018</c:v>
                </c:pt>
                <c:pt idx="534">
                  <c:v>2018</c:v>
                </c:pt>
                <c:pt idx="535">
                  <c:v>2018</c:v>
                </c:pt>
                <c:pt idx="536">
                  <c:v>2018</c:v>
                </c:pt>
                <c:pt idx="537">
                  <c:v>2018</c:v>
                </c:pt>
                <c:pt idx="538">
                  <c:v>2018</c:v>
                </c:pt>
                <c:pt idx="539">
                  <c:v>2018</c:v>
                </c:pt>
                <c:pt idx="540">
                  <c:v>2018</c:v>
                </c:pt>
                <c:pt idx="541">
                  <c:v>2018</c:v>
                </c:pt>
                <c:pt idx="542">
                  <c:v>2018</c:v>
                </c:pt>
                <c:pt idx="543">
                  <c:v>2018</c:v>
                </c:pt>
                <c:pt idx="544">
                  <c:v>2018</c:v>
                </c:pt>
                <c:pt idx="545">
                  <c:v>2018</c:v>
                </c:pt>
                <c:pt idx="546">
                  <c:v>2018</c:v>
                </c:pt>
                <c:pt idx="547">
                  <c:v>2018</c:v>
                </c:pt>
                <c:pt idx="548">
                  <c:v>2018</c:v>
                </c:pt>
                <c:pt idx="549">
                  <c:v>2018</c:v>
                </c:pt>
                <c:pt idx="550">
                  <c:v>2018</c:v>
                </c:pt>
                <c:pt idx="551">
                  <c:v>2018</c:v>
                </c:pt>
                <c:pt idx="552">
                  <c:v>2018</c:v>
                </c:pt>
                <c:pt idx="553">
                  <c:v>2018</c:v>
                </c:pt>
                <c:pt idx="554">
                  <c:v>2018</c:v>
                </c:pt>
                <c:pt idx="555">
                  <c:v>2018</c:v>
                </c:pt>
                <c:pt idx="556">
                  <c:v>2018</c:v>
                </c:pt>
                <c:pt idx="557">
                  <c:v>2018</c:v>
                </c:pt>
                <c:pt idx="558">
                  <c:v>2018</c:v>
                </c:pt>
                <c:pt idx="559">
                  <c:v>2018</c:v>
                </c:pt>
                <c:pt idx="560">
                  <c:v>2018</c:v>
                </c:pt>
                <c:pt idx="561">
                  <c:v>2018</c:v>
                </c:pt>
                <c:pt idx="562">
                  <c:v>2018</c:v>
                </c:pt>
                <c:pt idx="563">
                  <c:v>2018</c:v>
                </c:pt>
                <c:pt idx="564">
                  <c:v>2018</c:v>
                </c:pt>
                <c:pt idx="565">
                  <c:v>2018</c:v>
                </c:pt>
                <c:pt idx="566">
                  <c:v>2018</c:v>
                </c:pt>
                <c:pt idx="567">
                  <c:v>2018</c:v>
                </c:pt>
                <c:pt idx="568">
                  <c:v>2018</c:v>
                </c:pt>
                <c:pt idx="569">
                  <c:v>2018</c:v>
                </c:pt>
                <c:pt idx="570">
                  <c:v>2018</c:v>
                </c:pt>
                <c:pt idx="571">
                  <c:v>2018</c:v>
                </c:pt>
                <c:pt idx="572">
                  <c:v>2018</c:v>
                </c:pt>
                <c:pt idx="573">
                  <c:v>2018</c:v>
                </c:pt>
                <c:pt idx="574">
                  <c:v>2018</c:v>
                </c:pt>
                <c:pt idx="575">
                  <c:v>2018</c:v>
                </c:pt>
                <c:pt idx="576">
                  <c:v>2018</c:v>
                </c:pt>
                <c:pt idx="577">
                  <c:v>2018</c:v>
                </c:pt>
                <c:pt idx="578">
                  <c:v>2018</c:v>
                </c:pt>
                <c:pt idx="579">
                  <c:v>2018</c:v>
                </c:pt>
                <c:pt idx="580">
                  <c:v>2018</c:v>
                </c:pt>
                <c:pt idx="581">
                  <c:v>2018</c:v>
                </c:pt>
                <c:pt idx="582">
                  <c:v>2018</c:v>
                </c:pt>
                <c:pt idx="583">
                  <c:v>2018</c:v>
                </c:pt>
                <c:pt idx="584">
                  <c:v>2018</c:v>
                </c:pt>
                <c:pt idx="585">
                  <c:v>2018</c:v>
                </c:pt>
                <c:pt idx="586">
                  <c:v>2018</c:v>
                </c:pt>
                <c:pt idx="587">
                  <c:v>2018</c:v>
                </c:pt>
                <c:pt idx="588">
                  <c:v>2018</c:v>
                </c:pt>
                <c:pt idx="589">
                  <c:v>2018</c:v>
                </c:pt>
                <c:pt idx="590">
                  <c:v>2018</c:v>
                </c:pt>
                <c:pt idx="591">
                  <c:v>2018</c:v>
                </c:pt>
                <c:pt idx="592">
                  <c:v>2018</c:v>
                </c:pt>
                <c:pt idx="593">
                  <c:v>2018</c:v>
                </c:pt>
                <c:pt idx="594">
                  <c:v>2018</c:v>
                </c:pt>
                <c:pt idx="595">
                  <c:v>2018</c:v>
                </c:pt>
                <c:pt idx="596">
                  <c:v>2018</c:v>
                </c:pt>
                <c:pt idx="597">
                  <c:v>2018</c:v>
                </c:pt>
                <c:pt idx="598">
                  <c:v>2018</c:v>
                </c:pt>
                <c:pt idx="599">
                  <c:v>2018</c:v>
                </c:pt>
                <c:pt idx="600">
                  <c:v>2018</c:v>
                </c:pt>
                <c:pt idx="601">
                  <c:v>2018</c:v>
                </c:pt>
                <c:pt idx="602">
                  <c:v>2018</c:v>
                </c:pt>
                <c:pt idx="603">
                  <c:v>2018</c:v>
                </c:pt>
                <c:pt idx="604">
                  <c:v>2018</c:v>
                </c:pt>
                <c:pt idx="605">
                  <c:v>2018</c:v>
                </c:pt>
                <c:pt idx="606">
                  <c:v>2018</c:v>
                </c:pt>
                <c:pt idx="607">
                  <c:v>2018</c:v>
                </c:pt>
                <c:pt idx="608">
                  <c:v>2018</c:v>
                </c:pt>
                <c:pt idx="609">
                  <c:v>2018</c:v>
                </c:pt>
                <c:pt idx="610">
                  <c:v>2018</c:v>
                </c:pt>
                <c:pt idx="611">
                  <c:v>2018</c:v>
                </c:pt>
                <c:pt idx="612">
                  <c:v>2018</c:v>
                </c:pt>
                <c:pt idx="613">
                  <c:v>2018</c:v>
                </c:pt>
                <c:pt idx="614">
                  <c:v>2018</c:v>
                </c:pt>
                <c:pt idx="615">
                  <c:v>2018</c:v>
                </c:pt>
                <c:pt idx="616">
                  <c:v>2018</c:v>
                </c:pt>
                <c:pt idx="617">
                  <c:v>2018</c:v>
                </c:pt>
                <c:pt idx="618">
                  <c:v>2018</c:v>
                </c:pt>
                <c:pt idx="619">
                  <c:v>2018</c:v>
                </c:pt>
                <c:pt idx="620">
                  <c:v>2018</c:v>
                </c:pt>
                <c:pt idx="621">
                  <c:v>2018</c:v>
                </c:pt>
                <c:pt idx="622">
                  <c:v>2018</c:v>
                </c:pt>
                <c:pt idx="623">
                  <c:v>2018</c:v>
                </c:pt>
                <c:pt idx="624">
                  <c:v>2018</c:v>
                </c:pt>
                <c:pt idx="625">
                  <c:v>2018</c:v>
                </c:pt>
                <c:pt idx="626">
                  <c:v>2018</c:v>
                </c:pt>
                <c:pt idx="627">
                  <c:v>2018</c:v>
                </c:pt>
                <c:pt idx="628">
                  <c:v>2018</c:v>
                </c:pt>
                <c:pt idx="629">
                  <c:v>2018</c:v>
                </c:pt>
                <c:pt idx="630">
                  <c:v>2018</c:v>
                </c:pt>
                <c:pt idx="631">
                  <c:v>2018</c:v>
                </c:pt>
                <c:pt idx="632">
                  <c:v>2018</c:v>
                </c:pt>
                <c:pt idx="633">
                  <c:v>2018</c:v>
                </c:pt>
                <c:pt idx="634">
                  <c:v>2018</c:v>
                </c:pt>
                <c:pt idx="635">
                  <c:v>2018</c:v>
                </c:pt>
                <c:pt idx="636">
                  <c:v>2018</c:v>
                </c:pt>
                <c:pt idx="637">
                  <c:v>2018</c:v>
                </c:pt>
                <c:pt idx="638">
                  <c:v>2018</c:v>
                </c:pt>
                <c:pt idx="639">
                  <c:v>2018</c:v>
                </c:pt>
                <c:pt idx="640">
                  <c:v>2018</c:v>
                </c:pt>
                <c:pt idx="641">
                  <c:v>2018</c:v>
                </c:pt>
                <c:pt idx="642">
                  <c:v>2018</c:v>
                </c:pt>
                <c:pt idx="643">
                  <c:v>2018</c:v>
                </c:pt>
                <c:pt idx="644">
                  <c:v>2018</c:v>
                </c:pt>
                <c:pt idx="645">
                  <c:v>2018</c:v>
                </c:pt>
                <c:pt idx="646">
                  <c:v>2018</c:v>
                </c:pt>
                <c:pt idx="647">
                  <c:v>2018</c:v>
                </c:pt>
                <c:pt idx="648">
                  <c:v>2018</c:v>
                </c:pt>
                <c:pt idx="649">
                  <c:v>2018</c:v>
                </c:pt>
                <c:pt idx="650">
                  <c:v>2018</c:v>
                </c:pt>
                <c:pt idx="651">
                  <c:v>2018</c:v>
                </c:pt>
                <c:pt idx="652">
                  <c:v>2018</c:v>
                </c:pt>
                <c:pt idx="653">
                  <c:v>2018</c:v>
                </c:pt>
                <c:pt idx="654">
                  <c:v>2018</c:v>
                </c:pt>
                <c:pt idx="655">
                  <c:v>2018</c:v>
                </c:pt>
                <c:pt idx="656">
                  <c:v>2018</c:v>
                </c:pt>
                <c:pt idx="657">
                  <c:v>2018</c:v>
                </c:pt>
                <c:pt idx="658">
                  <c:v>2018</c:v>
                </c:pt>
                <c:pt idx="659">
                  <c:v>2018</c:v>
                </c:pt>
                <c:pt idx="660">
                  <c:v>2018</c:v>
                </c:pt>
                <c:pt idx="661">
                  <c:v>2018</c:v>
                </c:pt>
                <c:pt idx="662">
                  <c:v>2018</c:v>
                </c:pt>
                <c:pt idx="663">
                  <c:v>2018</c:v>
                </c:pt>
                <c:pt idx="664">
                  <c:v>2018</c:v>
                </c:pt>
                <c:pt idx="665">
                  <c:v>2018</c:v>
                </c:pt>
                <c:pt idx="666">
                  <c:v>2018</c:v>
                </c:pt>
                <c:pt idx="667">
                  <c:v>2018</c:v>
                </c:pt>
                <c:pt idx="668">
                  <c:v>2018</c:v>
                </c:pt>
                <c:pt idx="669">
                  <c:v>2018</c:v>
                </c:pt>
                <c:pt idx="670">
                  <c:v>2018</c:v>
                </c:pt>
                <c:pt idx="671">
                  <c:v>2018</c:v>
                </c:pt>
                <c:pt idx="672">
                  <c:v>2018</c:v>
                </c:pt>
                <c:pt idx="673">
                  <c:v>2018</c:v>
                </c:pt>
                <c:pt idx="674">
                  <c:v>2018</c:v>
                </c:pt>
                <c:pt idx="675">
                  <c:v>2018</c:v>
                </c:pt>
                <c:pt idx="676">
                  <c:v>2018</c:v>
                </c:pt>
                <c:pt idx="677">
                  <c:v>2018</c:v>
                </c:pt>
                <c:pt idx="678">
                  <c:v>2018</c:v>
                </c:pt>
                <c:pt idx="679">
                  <c:v>2018</c:v>
                </c:pt>
                <c:pt idx="680">
                  <c:v>2018</c:v>
                </c:pt>
                <c:pt idx="681">
                  <c:v>2018</c:v>
                </c:pt>
                <c:pt idx="682">
                  <c:v>2018</c:v>
                </c:pt>
                <c:pt idx="683">
                  <c:v>2018</c:v>
                </c:pt>
                <c:pt idx="684">
                  <c:v>2018</c:v>
                </c:pt>
                <c:pt idx="685">
                  <c:v>2018</c:v>
                </c:pt>
                <c:pt idx="686">
                  <c:v>2018</c:v>
                </c:pt>
                <c:pt idx="687">
                  <c:v>2018</c:v>
                </c:pt>
                <c:pt idx="688">
                  <c:v>2018</c:v>
                </c:pt>
                <c:pt idx="689">
                  <c:v>2018</c:v>
                </c:pt>
                <c:pt idx="690">
                  <c:v>2018</c:v>
                </c:pt>
                <c:pt idx="691">
                  <c:v>2018</c:v>
                </c:pt>
                <c:pt idx="692">
                  <c:v>2018</c:v>
                </c:pt>
                <c:pt idx="693">
                  <c:v>2018</c:v>
                </c:pt>
                <c:pt idx="694">
                  <c:v>2018</c:v>
                </c:pt>
                <c:pt idx="695">
                  <c:v>2018</c:v>
                </c:pt>
                <c:pt idx="696">
                  <c:v>2018</c:v>
                </c:pt>
                <c:pt idx="697">
                  <c:v>2018</c:v>
                </c:pt>
                <c:pt idx="698">
                  <c:v>2018</c:v>
                </c:pt>
                <c:pt idx="699">
                  <c:v>2018</c:v>
                </c:pt>
                <c:pt idx="700">
                  <c:v>2018</c:v>
                </c:pt>
                <c:pt idx="701">
                  <c:v>2018</c:v>
                </c:pt>
                <c:pt idx="702">
                  <c:v>2018</c:v>
                </c:pt>
                <c:pt idx="703">
                  <c:v>2018</c:v>
                </c:pt>
                <c:pt idx="704">
                  <c:v>2018</c:v>
                </c:pt>
                <c:pt idx="705">
                  <c:v>2018</c:v>
                </c:pt>
                <c:pt idx="706">
                  <c:v>2018</c:v>
                </c:pt>
                <c:pt idx="707">
                  <c:v>2018</c:v>
                </c:pt>
                <c:pt idx="708">
                  <c:v>2018</c:v>
                </c:pt>
                <c:pt idx="709">
                  <c:v>2018</c:v>
                </c:pt>
                <c:pt idx="710">
                  <c:v>2018</c:v>
                </c:pt>
                <c:pt idx="711">
                  <c:v>2018</c:v>
                </c:pt>
                <c:pt idx="712">
                  <c:v>2018</c:v>
                </c:pt>
                <c:pt idx="713">
                  <c:v>2018</c:v>
                </c:pt>
                <c:pt idx="714">
                  <c:v>2018</c:v>
                </c:pt>
                <c:pt idx="715">
                  <c:v>2018</c:v>
                </c:pt>
                <c:pt idx="716">
                  <c:v>2018</c:v>
                </c:pt>
                <c:pt idx="717">
                  <c:v>2018</c:v>
                </c:pt>
                <c:pt idx="718">
                  <c:v>2018</c:v>
                </c:pt>
                <c:pt idx="719">
                  <c:v>2018</c:v>
                </c:pt>
                <c:pt idx="720">
                  <c:v>2018</c:v>
                </c:pt>
                <c:pt idx="721">
                  <c:v>2018</c:v>
                </c:pt>
                <c:pt idx="722">
                  <c:v>2018</c:v>
                </c:pt>
                <c:pt idx="723">
                  <c:v>2018</c:v>
                </c:pt>
                <c:pt idx="724">
                  <c:v>2018</c:v>
                </c:pt>
                <c:pt idx="725">
                  <c:v>2018</c:v>
                </c:pt>
                <c:pt idx="726">
                  <c:v>2018</c:v>
                </c:pt>
                <c:pt idx="727">
                  <c:v>2018</c:v>
                </c:pt>
                <c:pt idx="728">
                  <c:v>2018</c:v>
                </c:pt>
                <c:pt idx="729">
                  <c:v>2018</c:v>
                </c:pt>
                <c:pt idx="730">
                  <c:v>2018</c:v>
                </c:pt>
                <c:pt idx="731">
                  <c:v>2018</c:v>
                </c:pt>
                <c:pt idx="732">
                  <c:v>2018</c:v>
                </c:pt>
                <c:pt idx="733">
                  <c:v>2018</c:v>
                </c:pt>
                <c:pt idx="734">
                  <c:v>2018</c:v>
                </c:pt>
                <c:pt idx="735">
                  <c:v>2018</c:v>
                </c:pt>
                <c:pt idx="736">
                  <c:v>2018</c:v>
                </c:pt>
                <c:pt idx="737">
                  <c:v>2018</c:v>
                </c:pt>
                <c:pt idx="738">
                  <c:v>2018</c:v>
                </c:pt>
                <c:pt idx="739">
                  <c:v>2018</c:v>
                </c:pt>
                <c:pt idx="740">
                  <c:v>2018</c:v>
                </c:pt>
                <c:pt idx="741">
                  <c:v>2018</c:v>
                </c:pt>
                <c:pt idx="742">
                  <c:v>2018</c:v>
                </c:pt>
                <c:pt idx="743">
                  <c:v>2018</c:v>
                </c:pt>
                <c:pt idx="744">
                  <c:v>2018</c:v>
                </c:pt>
                <c:pt idx="745">
                  <c:v>2018</c:v>
                </c:pt>
                <c:pt idx="746">
                  <c:v>2018</c:v>
                </c:pt>
                <c:pt idx="747">
                  <c:v>2018</c:v>
                </c:pt>
                <c:pt idx="748">
                  <c:v>2019</c:v>
                </c:pt>
                <c:pt idx="749">
                  <c:v>2019</c:v>
                </c:pt>
                <c:pt idx="750">
                  <c:v>2019</c:v>
                </c:pt>
                <c:pt idx="751">
                  <c:v>2019</c:v>
                </c:pt>
                <c:pt idx="752">
                  <c:v>2019</c:v>
                </c:pt>
                <c:pt idx="753">
                  <c:v>2019</c:v>
                </c:pt>
                <c:pt idx="754">
                  <c:v>2019</c:v>
                </c:pt>
                <c:pt idx="755">
                  <c:v>2019</c:v>
                </c:pt>
                <c:pt idx="756">
                  <c:v>2019</c:v>
                </c:pt>
                <c:pt idx="757">
                  <c:v>2019</c:v>
                </c:pt>
                <c:pt idx="758">
                  <c:v>2019</c:v>
                </c:pt>
                <c:pt idx="759">
                  <c:v>2019</c:v>
                </c:pt>
                <c:pt idx="760">
                  <c:v>2019</c:v>
                </c:pt>
                <c:pt idx="761">
                  <c:v>2019</c:v>
                </c:pt>
                <c:pt idx="762">
                  <c:v>2019</c:v>
                </c:pt>
                <c:pt idx="763">
                  <c:v>2019</c:v>
                </c:pt>
                <c:pt idx="764">
                  <c:v>2019</c:v>
                </c:pt>
                <c:pt idx="765">
                  <c:v>2019</c:v>
                </c:pt>
                <c:pt idx="766">
                  <c:v>2019</c:v>
                </c:pt>
                <c:pt idx="767">
                  <c:v>2019</c:v>
                </c:pt>
                <c:pt idx="768">
                  <c:v>2019</c:v>
                </c:pt>
                <c:pt idx="769">
                  <c:v>2019</c:v>
                </c:pt>
                <c:pt idx="770">
                  <c:v>2019</c:v>
                </c:pt>
                <c:pt idx="771">
                  <c:v>2019</c:v>
                </c:pt>
                <c:pt idx="772">
                  <c:v>2019</c:v>
                </c:pt>
                <c:pt idx="773">
                  <c:v>2019</c:v>
                </c:pt>
                <c:pt idx="774">
                  <c:v>2019</c:v>
                </c:pt>
                <c:pt idx="775">
                  <c:v>2019</c:v>
                </c:pt>
                <c:pt idx="776">
                  <c:v>2019</c:v>
                </c:pt>
                <c:pt idx="777">
                  <c:v>2019</c:v>
                </c:pt>
                <c:pt idx="778">
                  <c:v>2019</c:v>
                </c:pt>
                <c:pt idx="779">
                  <c:v>2019</c:v>
                </c:pt>
                <c:pt idx="780">
                  <c:v>2019</c:v>
                </c:pt>
                <c:pt idx="781">
                  <c:v>2019</c:v>
                </c:pt>
                <c:pt idx="782">
                  <c:v>2019</c:v>
                </c:pt>
                <c:pt idx="783">
                  <c:v>2019</c:v>
                </c:pt>
                <c:pt idx="784">
                  <c:v>2019</c:v>
                </c:pt>
                <c:pt idx="785">
                  <c:v>2019</c:v>
                </c:pt>
                <c:pt idx="786">
                  <c:v>2019</c:v>
                </c:pt>
                <c:pt idx="787">
                  <c:v>2019</c:v>
                </c:pt>
                <c:pt idx="788">
                  <c:v>2019</c:v>
                </c:pt>
                <c:pt idx="789">
                  <c:v>2019</c:v>
                </c:pt>
                <c:pt idx="790">
                  <c:v>2019</c:v>
                </c:pt>
                <c:pt idx="791">
                  <c:v>2019</c:v>
                </c:pt>
                <c:pt idx="792">
                  <c:v>2019</c:v>
                </c:pt>
                <c:pt idx="793">
                  <c:v>2019</c:v>
                </c:pt>
                <c:pt idx="794">
                  <c:v>2019</c:v>
                </c:pt>
                <c:pt idx="795">
                  <c:v>2019</c:v>
                </c:pt>
                <c:pt idx="796">
                  <c:v>2019</c:v>
                </c:pt>
                <c:pt idx="797">
                  <c:v>2019</c:v>
                </c:pt>
                <c:pt idx="798">
                  <c:v>2019</c:v>
                </c:pt>
                <c:pt idx="799">
                  <c:v>2019</c:v>
                </c:pt>
                <c:pt idx="800">
                  <c:v>2019</c:v>
                </c:pt>
                <c:pt idx="801">
                  <c:v>2019</c:v>
                </c:pt>
                <c:pt idx="802">
                  <c:v>2019</c:v>
                </c:pt>
                <c:pt idx="803">
                  <c:v>2019</c:v>
                </c:pt>
                <c:pt idx="804">
                  <c:v>2019</c:v>
                </c:pt>
                <c:pt idx="805">
                  <c:v>2019</c:v>
                </c:pt>
                <c:pt idx="806">
                  <c:v>2019</c:v>
                </c:pt>
                <c:pt idx="807">
                  <c:v>2019</c:v>
                </c:pt>
                <c:pt idx="808">
                  <c:v>2019</c:v>
                </c:pt>
                <c:pt idx="809">
                  <c:v>2019</c:v>
                </c:pt>
                <c:pt idx="810">
                  <c:v>2019</c:v>
                </c:pt>
                <c:pt idx="811">
                  <c:v>2019</c:v>
                </c:pt>
                <c:pt idx="812">
                  <c:v>2019</c:v>
                </c:pt>
                <c:pt idx="813">
                  <c:v>2019</c:v>
                </c:pt>
                <c:pt idx="814">
                  <c:v>2019</c:v>
                </c:pt>
                <c:pt idx="815">
                  <c:v>2019</c:v>
                </c:pt>
                <c:pt idx="816">
                  <c:v>2019</c:v>
                </c:pt>
                <c:pt idx="817">
                  <c:v>2019</c:v>
                </c:pt>
                <c:pt idx="818">
                  <c:v>2019</c:v>
                </c:pt>
                <c:pt idx="819">
                  <c:v>2019</c:v>
                </c:pt>
                <c:pt idx="820">
                  <c:v>2019</c:v>
                </c:pt>
                <c:pt idx="821">
                  <c:v>2019</c:v>
                </c:pt>
                <c:pt idx="822">
                  <c:v>2019</c:v>
                </c:pt>
                <c:pt idx="823">
                  <c:v>2019</c:v>
                </c:pt>
                <c:pt idx="824">
                  <c:v>2019</c:v>
                </c:pt>
                <c:pt idx="825">
                  <c:v>2019</c:v>
                </c:pt>
                <c:pt idx="826">
                  <c:v>2019</c:v>
                </c:pt>
                <c:pt idx="827">
                  <c:v>2019</c:v>
                </c:pt>
                <c:pt idx="828">
                  <c:v>2019</c:v>
                </c:pt>
                <c:pt idx="829">
                  <c:v>2019</c:v>
                </c:pt>
                <c:pt idx="830">
                  <c:v>2019</c:v>
                </c:pt>
                <c:pt idx="831">
                  <c:v>2019</c:v>
                </c:pt>
                <c:pt idx="832">
                  <c:v>2019</c:v>
                </c:pt>
                <c:pt idx="833">
                  <c:v>2019</c:v>
                </c:pt>
                <c:pt idx="834">
                  <c:v>2019</c:v>
                </c:pt>
                <c:pt idx="835">
                  <c:v>2019</c:v>
                </c:pt>
                <c:pt idx="836">
                  <c:v>2019</c:v>
                </c:pt>
                <c:pt idx="837">
                  <c:v>2019</c:v>
                </c:pt>
                <c:pt idx="838">
                  <c:v>2019</c:v>
                </c:pt>
                <c:pt idx="839">
                  <c:v>2019</c:v>
                </c:pt>
                <c:pt idx="840">
                  <c:v>2019</c:v>
                </c:pt>
                <c:pt idx="841">
                  <c:v>2019</c:v>
                </c:pt>
                <c:pt idx="842">
                  <c:v>2019</c:v>
                </c:pt>
                <c:pt idx="843">
                  <c:v>2019</c:v>
                </c:pt>
                <c:pt idx="844">
                  <c:v>2019</c:v>
                </c:pt>
                <c:pt idx="845">
                  <c:v>2019</c:v>
                </c:pt>
                <c:pt idx="846">
                  <c:v>2019</c:v>
                </c:pt>
                <c:pt idx="847">
                  <c:v>2019</c:v>
                </c:pt>
                <c:pt idx="848">
                  <c:v>2019</c:v>
                </c:pt>
                <c:pt idx="849">
                  <c:v>2019</c:v>
                </c:pt>
                <c:pt idx="850">
                  <c:v>2019</c:v>
                </c:pt>
                <c:pt idx="851">
                  <c:v>2019</c:v>
                </c:pt>
                <c:pt idx="852">
                  <c:v>2019</c:v>
                </c:pt>
                <c:pt idx="853">
                  <c:v>2019</c:v>
                </c:pt>
                <c:pt idx="854">
                  <c:v>2019</c:v>
                </c:pt>
                <c:pt idx="855">
                  <c:v>2019</c:v>
                </c:pt>
                <c:pt idx="856">
                  <c:v>2019</c:v>
                </c:pt>
                <c:pt idx="857">
                  <c:v>2019</c:v>
                </c:pt>
                <c:pt idx="858">
                  <c:v>2019</c:v>
                </c:pt>
                <c:pt idx="859">
                  <c:v>2019</c:v>
                </c:pt>
                <c:pt idx="860">
                  <c:v>2019</c:v>
                </c:pt>
                <c:pt idx="861">
                  <c:v>2019</c:v>
                </c:pt>
                <c:pt idx="862">
                  <c:v>2019</c:v>
                </c:pt>
                <c:pt idx="863">
                  <c:v>2019</c:v>
                </c:pt>
                <c:pt idx="864">
                  <c:v>2019</c:v>
                </c:pt>
                <c:pt idx="865">
                  <c:v>2019</c:v>
                </c:pt>
                <c:pt idx="866">
                  <c:v>2019</c:v>
                </c:pt>
                <c:pt idx="867">
                  <c:v>2019</c:v>
                </c:pt>
                <c:pt idx="868">
                  <c:v>2019</c:v>
                </c:pt>
                <c:pt idx="869">
                  <c:v>2019</c:v>
                </c:pt>
                <c:pt idx="870">
                  <c:v>2019</c:v>
                </c:pt>
                <c:pt idx="871">
                  <c:v>2019</c:v>
                </c:pt>
                <c:pt idx="872">
                  <c:v>2019</c:v>
                </c:pt>
                <c:pt idx="873">
                  <c:v>2019</c:v>
                </c:pt>
                <c:pt idx="874">
                  <c:v>2019</c:v>
                </c:pt>
                <c:pt idx="875">
                  <c:v>2019</c:v>
                </c:pt>
                <c:pt idx="876">
                  <c:v>2019</c:v>
                </c:pt>
                <c:pt idx="877">
                  <c:v>2019</c:v>
                </c:pt>
                <c:pt idx="878">
                  <c:v>2019</c:v>
                </c:pt>
                <c:pt idx="879">
                  <c:v>2019</c:v>
                </c:pt>
                <c:pt idx="880">
                  <c:v>2019</c:v>
                </c:pt>
                <c:pt idx="881">
                  <c:v>2019</c:v>
                </c:pt>
                <c:pt idx="882">
                  <c:v>2019</c:v>
                </c:pt>
                <c:pt idx="883">
                  <c:v>2019</c:v>
                </c:pt>
                <c:pt idx="884">
                  <c:v>2019</c:v>
                </c:pt>
                <c:pt idx="885">
                  <c:v>2019</c:v>
                </c:pt>
                <c:pt idx="886">
                  <c:v>2019</c:v>
                </c:pt>
                <c:pt idx="887">
                  <c:v>2019</c:v>
                </c:pt>
                <c:pt idx="888">
                  <c:v>2019</c:v>
                </c:pt>
                <c:pt idx="889">
                  <c:v>2019</c:v>
                </c:pt>
                <c:pt idx="890">
                  <c:v>2019</c:v>
                </c:pt>
                <c:pt idx="891">
                  <c:v>2019</c:v>
                </c:pt>
                <c:pt idx="892">
                  <c:v>2019</c:v>
                </c:pt>
                <c:pt idx="893">
                  <c:v>2019</c:v>
                </c:pt>
                <c:pt idx="894">
                  <c:v>2019</c:v>
                </c:pt>
                <c:pt idx="895">
                  <c:v>2019</c:v>
                </c:pt>
                <c:pt idx="896">
                  <c:v>2019</c:v>
                </c:pt>
                <c:pt idx="897">
                  <c:v>2019</c:v>
                </c:pt>
                <c:pt idx="898">
                  <c:v>2019</c:v>
                </c:pt>
                <c:pt idx="899">
                  <c:v>2019</c:v>
                </c:pt>
                <c:pt idx="900">
                  <c:v>2019</c:v>
                </c:pt>
                <c:pt idx="901">
                  <c:v>2019</c:v>
                </c:pt>
                <c:pt idx="902">
                  <c:v>2019</c:v>
                </c:pt>
                <c:pt idx="903">
                  <c:v>2019</c:v>
                </c:pt>
                <c:pt idx="904">
                  <c:v>2019</c:v>
                </c:pt>
                <c:pt idx="905">
                  <c:v>2019</c:v>
                </c:pt>
                <c:pt idx="906">
                  <c:v>2019</c:v>
                </c:pt>
                <c:pt idx="907">
                  <c:v>2019</c:v>
                </c:pt>
                <c:pt idx="908">
                  <c:v>2019</c:v>
                </c:pt>
                <c:pt idx="909">
                  <c:v>2019</c:v>
                </c:pt>
                <c:pt idx="910">
                  <c:v>2019</c:v>
                </c:pt>
                <c:pt idx="911">
                  <c:v>2019</c:v>
                </c:pt>
                <c:pt idx="912">
                  <c:v>2019</c:v>
                </c:pt>
                <c:pt idx="913">
                  <c:v>2019</c:v>
                </c:pt>
                <c:pt idx="914">
                  <c:v>2019</c:v>
                </c:pt>
                <c:pt idx="915">
                  <c:v>2019</c:v>
                </c:pt>
                <c:pt idx="916">
                  <c:v>2019</c:v>
                </c:pt>
                <c:pt idx="917">
                  <c:v>2019</c:v>
                </c:pt>
                <c:pt idx="918">
                  <c:v>2019</c:v>
                </c:pt>
                <c:pt idx="919">
                  <c:v>2019</c:v>
                </c:pt>
                <c:pt idx="920">
                  <c:v>2019</c:v>
                </c:pt>
                <c:pt idx="921">
                  <c:v>2019</c:v>
                </c:pt>
                <c:pt idx="922">
                  <c:v>2019</c:v>
                </c:pt>
                <c:pt idx="923">
                  <c:v>2019</c:v>
                </c:pt>
                <c:pt idx="924">
                  <c:v>2019</c:v>
                </c:pt>
                <c:pt idx="925">
                  <c:v>2019</c:v>
                </c:pt>
                <c:pt idx="926">
                  <c:v>2019</c:v>
                </c:pt>
                <c:pt idx="927">
                  <c:v>2019</c:v>
                </c:pt>
                <c:pt idx="928">
                  <c:v>2019</c:v>
                </c:pt>
                <c:pt idx="929">
                  <c:v>2019</c:v>
                </c:pt>
                <c:pt idx="930">
                  <c:v>2019</c:v>
                </c:pt>
                <c:pt idx="931">
                  <c:v>2019</c:v>
                </c:pt>
                <c:pt idx="932">
                  <c:v>2019</c:v>
                </c:pt>
                <c:pt idx="933">
                  <c:v>2019</c:v>
                </c:pt>
                <c:pt idx="934">
                  <c:v>2019</c:v>
                </c:pt>
                <c:pt idx="935">
                  <c:v>2019</c:v>
                </c:pt>
                <c:pt idx="936">
                  <c:v>2019</c:v>
                </c:pt>
                <c:pt idx="937">
                  <c:v>2019</c:v>
                </c:pt>
                <c:pt idx="938">
                  <c:v>2019</c:v>
                </c:pt>
                <c:pt idx="939">
                  <c:v>2019</c:v>
                </c:pt>
                <c:pt idx="940">
                  <c:v>2019</c:v>
                </c:pt>
                <c:pt idx="941">
                  <c:v>2019</c:v>
                </c:pt>
                <c:pt idx="942">
                  <c:v>2019</c:v>
                </c:pt>
                <c:pt idx="943">
                  <c:v>2019</c:v>
                </c:pt>
                <c:pt idx="944">
                  <c:v>2019</c:v>
                </c:pt>
                <c:pt idx="945">
                  <c:v>2019</c:v>
                </c:pt>
                <c:pt idx="946">
                  <c:v>2019</c:v>
                </c:pt>
                <c:pt idx="947">
                  <c:v>2019</c:v>
                </c:pt>
                <c:pt idx="948">
                  <c:v>2019</c:v>
                </c:pt>
                <c:pt idx="949">
                  <c:v>2019</c:v>
                </c:pt>
                <c:pt idx="950">
                  <c:v>2019</c:v>
                </c:pt>
                <c:pt idx="951">
                  <c:v>2019</c:v>
                </c:pt>
                <c:pt idx="952">
                  <c:v>2019</c:v>
                </c:pt>
                <c:pt idx="953">
                  <c:v>2019</c:v>
                </c:pt>
                <c:pt idx="954">
                  <c:v>2019</c:v>
                </c:pt>
                <c:pt idx="955">
                  <c:v>2019</c:v>
                </c:pt>
                <c:pt idx="956">
                  <c:v>2019</c:v>
                </c:pt>
                <c:pt idx="957">
                  <c:v>2019</c:v>
                </c:pt>
                <c:pt idx="958">
                  <c:v>2019</c:v>
                </c:pt>
                <c:pt idx="959">
                  <c:v>2019</c:v>
                </c:pt>
                <c:pt idx="960">
                  <c:v>2019</c:v>
                </c:pt>
                <c:pt idx="961">
                  <c:v>2019</c:v>
                </c:pt>
                <c:pt idx="962">
                  <c:v>2019</c:v>
                </c:pt>
                <c:pt idx="963">
                  <c:v>2019</c:v>
                </c:pt>
                <c:pt idx="964">
                  <c:v>2019</c:v>
                </c:pt>
                <c:pt idx="965">
                  <c:v>2019</c:v>
                </c:pt>
                <c:pt idx="966">
                  <c:v>2019</c:v>
                </c:pt>
                <c:pt idx="967">
                  <c:v>2019</c:v>
                </c:pt>
                <c:pt idx="968">
                  <c:v>2019</c:v>
                </c:pt>
                <c:pt idx="969">
                  <c:v>2019</c:v>
                </c:pt>
                <c:pt idx="970">
                  <c:v>2019</c:v>
                </c:pt>
                <c:pt idx="971">
                  <c:v>2019</c:v>
                </c:pt>
                <c:pt idx="972">
                  <c:v>2019</c:v>
                </c:pt>
                <c:pt idx="973">
                  <c:v>2019</c:v>
                </c:pt>
                <c:pt idx="974">
                  <c:v>2019</c:v>
                </c:pt>
                <c:pt idx="975">
                  <c:v>2019</c:v>
                </c:pt>
                <c:pt idx="976">
                  <c:v>2019</c:v>
                </c:pt>
                <c:pt idx="977">
                  <c:v>2019</c:v>
                </c:pt>
                <c:pt idx="978">
                  <c:v>2019</c:v>
                </c:pt>
                <c:pt idx="979">
                  <c:v>2019</c:v>
                </c:pt>
                <c:pt idx="980">
                  <c:v>2019</c:v>
                </c:pt>
                <c:pt idx="981">
                  <c:v>2019</c:v>
                </c:pt>
                <c:pt idx="982">
                  <c:v>2019</c:v>
                </c:pt>
                <c:pt idx="983">
                  <c:v>2019</c:v>
                </c:pt>
                <c:pt idx="984">
                  <c:v>2019</c:v>
                </c:pt>
                <c:pt idx="985">
                  <c:v>2019</c:v>
                </c:pt>
                <c:pt idx="986">
                  <c:v>2019</c:v>
                </c:pt>
                <c:pt idx="987">
                  <c:v>2019</c:v>
                </c:pt>
                <c:pt idx="988">
                  <c:v>2019</c:v>
                </c:pt>
                <c:pt idx="989">
                  <c:v>2019</c:v>
                </c:pt>
                <c:pt idx="990">
                  <c:v>2019</c:v>
                </c:pt>
                <c:pt idx="991">
                  <c:v>2019</c:v>
                </c:pt>
                <c:pt idx="992">
                  <c:v>2019</c:v>
                </c:pt>
                <c:pt idx="993">
                  <c:v>2019</c:v>
                </c:pt>
                <c:pt idx="994">
                  <c:v>2019</c:v>
                </c:pt>
                <c:pt idx="995">
                  <c:v>2019</c:v>
                </c:pt>
                <c:pt idx="996">
                  <c:v>2019</c:v>
                </c:pt>
                <c:pt idx="997">
                  <c:v>2020</c:v>
                </c:pt>
                <c:pt idx="998">
                  <c:v>2020</c:v>
                </c:pt>
                <c:pt idx="999">
                  <c:v>2020</c:v>
                </c:pt>
                <c:pt idx="1000">
                  <c:v>2020</c:v>
                </c:pt>
                <c:pt idx="1001">
                  <c:v>2020</c:v>
                </c:pt>
                <c:pt idx="1002">
                  <c:v>2020</c:v>
                </c:pt>
                <c:pt idx="1003">
                  <c:v>2020</c:v>
                </c:pt>
                <c:pt idx="1004">
                  <c:v>2020</c:v>
                </c:pt>
                <c:pt idx="1005">
                  <c:v>2020</c:v>
                </c:pt>
                <c:pt idx="1006">
                  <c:v>2020</c:v>
                </c:pt>
                <c:pt idx="1007">
                  <c:v>2020</c:v>
                </c:pt>
                <c:pt idx="1008">
                  <c:v>2020</c:v>
                </c:pt>
                <c:pt idx="1009">
                  <c:v>2020</c:v>
                </c:pt>
                <c:pt idx="1010">
                  <c:v>2020</c:v>
                </c:pt>
                <c:pt idx="1011">
                  <c:v>2020</c:v>
                </c:pt>
                <c:pt idx="1012">
                  <c:v>2020</c:v>
                </c:pt>
                <c:pt idx="1013">
                  <c:v>2020</c:v>
                </c:pt>
                <c:pt idx="1014">
                  <c:v>2020</c:v>
                </c:pt>
                <c:pt idx="1015">
                  <c:v>2020</c:v>
                </c:pt>
                <c:pt idx="1016">
                  <c:v>2020</c:v>
                </c:pt>
                <c:pt idx="1017">
                  <c:v>2020</c:v>
                </c:pt>
                <c:pt idx="1018">
                  <c:v>2020</c:v>
                </c:pt>
                <c:pt idx="1019">
                  <c:v>2020</c:v>
                </c:pt>
                <c:pt idx="1020">
                  <c:v>2020</c:v>
                </c:pt>
                <c:pt idx="1021">
                  <c:v>2020</c:v>
                </c:pt>
                <c:pt idx="1022">
                  <c:v>2020</c:v>
                </c:pt>
                <c:pt idx="1023">
                  <c:v>2020</c:v>
                </c:pt>
                <c:pt idx="1024">
                  <c:v>2020</c:v>
                </c:pt>
                <c:pt idx="1025">
                  <c:v>2020</c:v>
                </c:pt>
                <c:pt idx="1026">
                  <c:v>2020</c:v>
                </c:pt>
                <c:pt idx="1027">
                  <c:v>2020</c:v>
                </c:pt>
                <c:pt idx="1028">
                  <c:v>2020</c:v>
                </c:pt>
                <c:pt idx="1029">
                  <c:v>2020</c:v>
                </c:pt>
                <c:pt idx="1030">
                  <c:v>2020</c:v>
                </c:pt>
                <c:pt idx="1031">
                  <c:v>2020</c:v>
                </c:pt>
                <c:pt idx="1032">
                  <c:v>2020</c:v>
                </c:pt>
                <c:pt idx="1033">
                  <c:v>2020</c:v>
                </c:pt>
                <c:pt idx="1034">
                  <c:v>2020</c:v>
                </c:pt>
                <c:pt idx="1035">
                  <c:v>2020</c:v>
                </c:pt>
                <c:pt idx="1036">
                  <c:v>2020</c:v>
                </c:pt>
                <c:pt idx="1037">
                  <c:v>2020</c:v>
                </c:pt>
                <c:pt idx="1038">
                  <c:v>2020</c:v>
                </c:pt>
                <c:pt idx="1039">
                  <c:v>2020</c:v>
                </c:pt>
                <c:pt idx="1040">
                  <c:v>2020</c:v>
                </c:pt>
                <c:pt idx="1041">
                  <c:v>2020</c:v>
                </c:pt>
                <c:pt idx="1042">
                  <c:v>2020</c:v>
                </c:pt>
                <c:pt idx="1043">
                  <c:v>2020</c:v>
                </c:pt>
                <c:pt idx="1044">
                  <c:v>2020</c:v>
                </c:pt>
                <c:pt idx="1045">
                  <c:v>2020</c:v>
                </c:pt>
                <c:pt idx="1046">
                  <c:v>2020</c:v>
                </c:pt>
                <c:pt idx="1047">
                  <c:v>2020</c:v>
                </c:pt>
                <c:pt idx="1048">
                  <c:v>2020</c:v>
                </c:pt>
                <c:pt idx="1049">
                  <c:v>2020</c:v>
                </c:pt>
                <c:pt idx="1050">
                  <c:v>2020</c:v>
                </c:pt>
                <c:pt idx="1051">
                  <c:v>2020</c:v>
                </c:pt>
                <c:pt idx="1052">
                  <c:v>2020</c:v>
                </c:pt>
                <c:pt idx="1053">
                  <c:v>2020</c:v>
                </c:pt>
                <c:pt idx="1054">
                  <c:v>2020</c:v>
                </c:pt>
                <c:pt idx="1055">
                  <c:v>2020</c:v>
                </c:pt>
                <c:pt idx="1056">
                  <c:v>2020</c:v>
                </c:pt>
                <c:pt idx="1057">
                  <c:v>2020</c:v>
                </c:pt>
                <c:pt idx="1058">
                  <c:v>2020</c:v>
                </c:pt>
                <c:pt idx="1059">
                  <c:v>2020</c:v>
                </c:pt>
                <c:pt idx="1060">
                  <c:v>2020</c:v>
                </c:pt>
                <c:pt idx="1061">
                  <c:v>2020</c:v>
                </c:pt>
                <c:pt idx="1062">
                  <c:v>2020</c:v>
                </c:pt>
                <c:pt idx="1063">
                  <c:v>2020</c:v>
                </c:pt>
                <c:pt idx="1064">
                  <c:v>2020</c:v>
                </c:pt>
                <c:pt idx="1065">
                  <c:v>2020</c:v>
                </c:pt>
                <c:pt idx="1066">
                  <c:v>2020</c:v>
                </c:pt>
                <c:pt idx="1067">
                  <c:v>2020</c:v>
                </c:pt>
                <c:pt idx="1068">
                  <c:v>2020</c:v>
                </c:pt>
                <c:pt idx="1069">
                  <c:v>2020</c:v>
                </c:pt>
                <c:pt idx="1070">
                  <c:v>2020</c:v>
                </c:pt>
                <c:pt idx="1071">
                  <c:v>2020</c:v>
                </c:pt>
                <c:pt idx="1072">
                  <c:v>2020</c:v>
                </c:pt>
                <c:pt idx="1073">
                  <c:v>2020</c:v>
                </c:pt>
                <c:pt idx="1074">
                  <c:v>2020</c:v>
                </c:pt>
                <c:pt idx="1075">
                  <c:v>2020</c:v>
                </c:pt>
                <c:pt idx="1076">
                  <c:v>2020</c:v>
                </c:pt>
                <c:pt idx="1077">
                  <c:v>2020</c:v>
                </c:pt>
                <c:pt idx="1078">
                  <c:v>2020</c:v>
                </c:pt>
                <c:pt idx="1079">
                  <c:v>2020</c:v>
                </c:pt>
                <c:pt idx="1080">
                  <c:v>2020</c:v>
                </c:pt>
                <c:pt idx="1081">
                  <c:v>2020</c:v>
                </c:pt>
                <c:pt idx="1082">
                  <c:v>2020</c:v>
                </c:pt>
                <c:pt idx="1083">
                  <c:v>2020</c:v>
                </c:pt>
                <c:pt idx="1084">
                  <c:v>2020</c:v>
                </c:pt>
                <c:pt idx="1085">
                  <c:v>2020</c:v>
                </c:pt>
                <c:pt idx="1086">
                  <c:v>2020</c:v>
                </c:pt>
                <c:pt idx="1087">
                  <c:v>2020</c:v>
                </c:pt>
                <c:pt idx="1088">
                  <c:v>2020</c:v>
                </c:pt>
                <c:pt idx="1089">
                  <c:v>2020</c:v>
                </c:pt>
                <c:pt idx="1090">
                  <c:v>2020</c:v>
                </c:pt>
                <c:pt idx="1091">
                  <c:v>2020</c:v>
                </c:pt>
                <c:pt idx="1092">
                  <c:v>2020</c:v>
                </c:pt>
                <c:pt idx="1093">
                  <c:v>2020</c:v>
                </c:pt>
                <c:pt idx="1094">
                  <c:v>2020</c:v>
                </c:pt>
                <c:pt idx="1095">
                  <c:v>2020</c:v>
                </c:pt>
                <c:pt idx="1096">
                  <c:v>2020</c:v>
                </c:pt>
                <c:pt idx="1097">
                  <c:v>2020</c:v>
                </c:pt>
                <c:pt idx="1098">
                  <c:v>2020</c:v>
                </c:pt>
                <c:pt idx="1099">
                  <c:v>2020</c:v>
                </c:pt>
                <c:pt idx="1100">
                  <c:v>2020</c:v>
                </c:pt>
                <c:pt idx="1101">
                  <c:v>2020</c:v>
                </c:pt>
                <c:pt idx="1102">
                  <c:v>2020</c:v>
                </c:pt>
                <c:pt idx="1103">
                  <c:v>2020</c:v>
                </c:pt>
                <c:pt idx="1104">
                  <c:v>2020</c:v>
                </c:pt>
                <c:pt idx="1105">
                  <c:v>2020</c:v>
                </c:pt>
                <c:pt idx="1106">
                  <c:v>2020</c:v>
                </c:pt>
                <c:pt idx="1107">
                  <c:v>2020</c:v>
                </c:pt>
                <c:pt idx="1108">
                  <c:v>2020</c:v>
                </c:pt>
                <c:pt idx="1109">
                  <c:v>2020</c:v>
                </c:pt>
                <c:pt idx="1110">
                  <c:v>2020</c:v>
                </c:pt>
                <c:pt idx="1111">
                  <c:v>2020</c:v>
                </c:pt>
                <c:pt idx="1112">
                  <c:v>2020</c:v>
                </c:pt>
                <c:pt idx="1113">
                  <c:v>2020</c:v>
                </c:pt>
                <c:pt idx="1114">
                  <c:v>2020</c:v>
                </c:pt>
                <c:pt idx="1115">
                  <c:v>2020</c:v>
                </c:pt>
                <c:pt idx="1116">
                  <c:v>2020</c:v>
                </c:pt>
                <c:pt idx="1117">
                  <c:v>2020</c:v>
                </c:pt>
                <c:pt idx="1118">
                  <c:v>2020</c:v>
                </c:pt>
                <c:pt idx="1119">
                  <c:v>2020</c:v>
                </c:pt>
                <c:pt idx="1120">
                  <c:v>2020</c:v>
                </c:pt>
                <c:pt idx="1121">
                  <c:v>2020</c:v>
                </c:pt>
                <c:pt idx="1122">
                  <c:v>2020</c:v>
                </c:pt>
                <c:pt idx="1123">
                  <c:v>2020</c:v>
                </c:pt>
                <c:pt idx="1124">
                  <c:v>2020</c:v>
                </c:pt>
                <c:pt idx="1125">
                  <c:v>2020</c:v>
                </c:pt>
                <c:pt idx="1126">
                  <c:v>2020</c:v>
                </c:pt>
                <c:pt idx="1127">
                  <c:v>2020</c:v>
                </c:pt>
                <c:pt idx="1128">
                  <c:v>2020</c:v>
                </c:pt>
                <c:pt idx="1129">
                  <c:v>2020</c:v>
                </c:pt>
                <c:pt idx="1130">
                  <c:v>2020</c:v>
                </c:pt>
                <c:pt idx="1131">
                  <c:v>2020</c:v>
                </c:pt>
                <c:pt idx="1132">
                  <c:v>2020</c:v>
                </c:pt>
                <c:pt idx="1133">
                  <c:v>2020</c:v>
                </c:pt>
                <c:pt idx="1134">
                  <c:v>2020</c:v>
                </c:pt>
                <c:pt idx="1135">
                  <c:v>2020</c:v>
                </c:pt>
                <c:pt idx="1136">
                  <c:v>2020</c:v>
                </c:pt>
                <c:pt idx="1137">
                  <c:v>2020</c:v>
                </c:pt>
                <c:pt idx="1138">
                  <c:v>2020</c:v>
                </c:pt>
                <c:pt idx="1139">
                  <c:v>2020</c:v>
                </c:pt>
                <c:pt idx="1140">
                  <c:v>2020</c:v>
                </c:pt>
                <c:pt idx="1141">
                  <c:v>2020</c:v>
                </c:pt>
                <c:pt idx="1142">
                  <c:v>2020</c:v>
                </c:pt>
                <c:pt idx="1143">
                  <c:v>2020</c:v>
                </c:pt>
                <c:pt idx="1144">
                  <c:v>2020</c:v>
                </c:pt>
                <c:pt idx="1145">
                  <c:v>2020</c:v>
                </c:pt>
                <c:pt idx="1146">
                  <c:v>2020</c:v>
                </c:pt>
                <c:pt idx="1147">
                  <c:v>2020</c:v>
                </c:pt>
                <c:pt idx="1148">
                  <c:v>2020</c:v>
                </c:pt>
                <c:pt idx="1149">
                  <c:v>2020</c:v>
                </c:pt>
                <c:pt idx="1150">
                  <c:v>2020</c:v>
                </c:pt>
                <c:pt idx="1151">
                  <c:v>2020</c:v>
                </c:pt>
                <c:pt idx="1152">
                  <c:v>2020</c:v>
                </c:pt>
                <c:pt idx="1153">
                  <c:v>2020</c:v>
                </c:pt>
                <c:pt idx="1154">
                  <c:v>2020</c:v>
                </c:pt>
                <c:pt idx="1155">
                  <c:v>2020</c:v>
                </c:pt>
                <c:pt idx="1156">
                  <c:v>2020</c:v>
                </c:pt>
                <c:pt idx="1157">
                  <c:v>2020</c:v>
                </c:pt>
                <c:pt idx="1158">
                  <c:v>2020</c:v>
                </c:pt>
                <c:pt idx="1159">
                  <c:v>2020</c:v>
                </c:pt>
                <c:pt idx="1160">
                  <c:v>2020</c:v>
                </c:pt>
                <c:pt idx="1161">
                  <c:v>2020</c:v>
                </c:pt>
                <c:pt idx="1162">
                  <c:v>2020</c:v>
                </c:pt>
                <c:pt idx="1163">
                  <c:v>2020</c:v>
                </c:pt>
                <c:pt idx="1164">
                  <c:v>2020</c:v>
                </c:pt>
                <c:pt idx="1165">
                  <c:v>2020</c:v>
                </c:pt>
                <c:pt idx="1166">
                  <c:v>2020</c:v>
                </c:pt>
                <c:pt idx="1167">
                  <c:v>2020</c:v>
                </c:pt>
                <c:pt idx="1168">
                  <c:v>2020</c:v>
                </c:pt>
                <c:pt idx="1169">
                  <c:v>2020</c:v>
                </c:pt>
                <c:pt idx="1170">
                  <c:v>2020</c:v>
                </c:pt>
                <c:pt idx="1171">
                  <c:v>2020</c:v>
                </c:pt>
                <c:pt idx="1172">
                  <c:v>2020</c:v>
                </c:pt>
                <c:pt idx="1173">
                  <c:v>2020</c:v>
                </c:pt>
                <c:pt idx="1174">
                  <c:v>2020</c:v>
                </c:pt>
                <c:pt idx="1175">
                  <c:v>2020</c:v>
                </c:pt>
                <c:pt idx="1176">
                  <c:v>2020</c:v>
                </c:pt>
                <c:pt idx="1177">
                  <c:v>2020</c:v>
                </c:pt>
                <c:pt idx="1178">
                  <c:v>2020</c:v>
                </c:pt>
                <c:pt idx="1179">
                  <c:v>2020</c:v>
                </c:pt>
                <c:pt idx="1180">
                  <c:v>2020</c:v>
                </c:pt>
                <c:pt idx="1181">
                  <c:v>2020</c:v>
                </c:pt>
                <c:pt idx="1182">
                  <c:v>2020</c:v>
                </c:pt>
                <c:pt idx="1183">
                  <c:v>2020</c:v>
                </c:pt>
                <c:pt idx="1184">
                  <c:v>2020</c:v>
                </c:pt>
                <c:pt idx="1185">
                  <c:v>2020</c:v>
                </c:pt>
                <c:pt idx="1186">
                  <c:v>2020</c:v>
                </c:pt>
                <c:pt idx="1187">
                  <c:v>2020</c:v>
                </c:pt>
                <c:pt idx="1188">
                  <c:v>2020</c:v>
                </c:pt>
                <c:pt idx="1189">
                  <c:v>2020</c:v>
                </c:pt>
                <c:pt idx="1190">
                  <c:v>2020</c:v>
                </c:pt>
                <c:pt idx="1191">
                  <c:v>2020</c:v>
                </c:pt>
                <c:pt idx="1192">
                  <c:v>2020</c:v>
                </c:pt>
                <c:pt idx="1193">
                  <c:v>2020</c:v>
                </c:pt>
                <c:pt idx="1194">
                  <c:v>2020</c:v>
                </c:pt>
                <c:pt idx="1195">
                  <c:v>2020</c:v>
                </c:pt>
                <c:pt idx="1196">
                  <c:v>2020</c:v>
                </c:pt>
                <c:pt idx="1197">
                  <c:v>2020</c:v>
                </c:pt>
                <c:pt idx="1198">
                  <c:v>2020</c:v>
                </c:pt>
                <c:pt idx="1199">
                  <c:v>2020</c:v>
                </c:pt>
                <c:pt idx="1200">
                  <c:v>2020</c:v>
                </c:pt>
                <c:pt idx="1201">
                  <c:v>2020</c:v>
                </c:pt>
                <c:pt idx="1202">
                  <c:v>2020</c:v>
                </c:pt>
                <c:pt idx="1203">
                  <c:v>2020</c:v>
                </c:pt>
                <c:pt idx="1204">
                  <c:v>2020</c:v>
                </c:pt>
                <c:pt idx="1205">
                  <c:v>2020</c:v>
                </c:pt>
                <c:pt idx="1206">
                  <c:v>2020</c:v>
                </c:pt>
                <c:pt idx="1207">
                  <c:v>2020</c:v>
                </c:pt>
                <c:pt idx="1208">
                  <c:v>2020</c:v>
                </c:pt>
                <c:pt idx="1209">
                  <c:v>2020</c:v>
                </c:pt>
                <c:pt idx="1210">
                  <c:v>2020</c:v>
                </c:pt>
                <c:pt idx="1211">
                  <c:v>2020</c:v>
                </c:pt>
                <c:pt idx="1212">
                  <c:v>2020</c:v>
                </c:pt>
                <c:pt idx="1213">
                  <c:v>2020</c:v>
                </c:pt>
                <c:pt idx="1214">
                  <c:v>2020</c:v>
                </c:pt>
                <c:pt idx="1215">
                  <c:v>2020</c:v>
                </c:pt>
                <c:pt idx="1216">
                  <c:v>2020</c:v>
                </c:pt>
                <c:pt idx="1217">
                  <c:v>2020</c:v>
                </c:pt>
                <c:pt idx="1218">
                  <c:v>2020</c:v>
                </c:pt>
                <c:pt idx="1219">
                  <c:v>2020</c:v>
                </c:pt>
                <c:pt idx="1220">
                  <c:v>2020</c:v>
                </c:pt>
                <c:pt idx="1221">
                  <c:v>2020</c:v>
                </c:pt>
                <c:pt idx="1222">
                  <c:v>2020</c:v>
                </c:pt>
                <c:pt idx="1223">
                  <c:v>2020</c:v>
                </c:pt>
                <c:pt idx="1224">
                  <c:v>2020</c:v>
                </c:pt>
                <c:pt idx="1225">
                  <c:v>2020</c:v>
                </c:pt>
                <c:pt idx="1226">
                  <c:v>2020</c:v>
                </c:pt>
                <c:pt idx="1227">
                  <c:v>2020</c:v>
                </c:pt>
                <c:pt idx="1228">
                  <c:v>2020</c:v>
                </c:pt>
                <c:pt idx="1229">
                  <c:v>2020</c:v>
                </c:pt>
                <c:pt idx="1230">
                  <c:v>2020</c:v>
                </c:pt>
                <c:pt idx="1231">
                  <c:v>2020</c:v>
                </c:pt>
                <c:pt idx="1232">
                  <c:v>2020</c:v>
                </c:pt>
                <c:pt idx="1233">
                  <c:v>2020</c:v>
                </c:pt>
                <c:pt idx="1234">
                  <c:v>2020</c:v>
                </c:pt>
                <c:pt idx="1235">
                  <c:v>2020</c:v>
                </c:pt>
                <c:pt idx="1236">
                  <c:v>2020</c:v>
                </c:pt>
                <c:pt idx="1237">
                  <c:v>2020</c:v>
                </c:pt>
                <c:pt idx="1238">
                  <c:v>2020</c:v>
                </c:pt>
                <c:pt idx="1239">
                  <c:v>2020</c:v>
                </c:pt>
                <c:pt idx="1240">
                  <c:v>2020</c:v>
                </c:pt>
                <c:pt idx="1241">
                  <c:v>2020</c:v>
                </c:pt>
                <c:pt idx="1242">
                  <c:v>2020</c:v>
                </c:pt>
                <c:pt idx="1243">
                  <c:v>2020</c:v>
                </c:pt>
                <c:pt idx="1244">
                  <c:v>2020</c:v>
                </c:pt>
                <c:pt idx="1245">
                  <c:v>2020</c:v>
                </c:pt>
                <c:pt idx="1246">
                  <c:v>2020</c:v>
                </c:pt>
                <c:pt idx="1247">
                  <c:v>2020</c:v>
                </c:pt>
                <c:pt idx="1248">
                  <c:v>2020</c:v>
                </c:pt>
                <c:pt idx="1249">
                  <c:v>2021</c:v>
                </c:pt>
                <c:pt idx="1250">
                  <c:v>2021</c:v>
                </c:pt>
                <c:pt idx="1251">
                  <c:v>2021</c:v>
                </c:pt>
                <c:pt idx="1252">
                  <c:v>2021</c:v>
                </c:pt>
                <c:pt idx="1253">
                  <c:v>2021</c:v>
                </c:pt>
                <c:pt idx="1254">
                  <c:v>2021</c:v>
                </c:pt>
                <c:pt idx="1255">
                  <c:v>2021</c:v>
                </c:pt>
                <c:pt idx="1256">
                  <c:v>2021</c:v>
                </c:pt>
                <c:pt idx="1257">
                  <c:v>2021</c:v>
                </c:pt>
                <c:pt idx="1258">
                  <c:v>2021</c:v>
                </c:pt>
                <c:pt idx="1259">
                  <c:v>2021</c:v>
                </c:pt>
                <c:pt idx="1260">
                  <c:v>2021</c:v>
                </c:pt>
                <c:pt idx="1261">
                  <c:v>2021</c:v>
                </c:pt>
                <c:pt idx="1262">
                  <c:v>2021</c:v>
                </c:pt>
                <c:pt idx="1263">
                  <c:v>2021</c:v>
                </c:pt>
                <c:pt idx="1264">
                  <c:v>2021</c:v>
                </c:pt>
                <c:pt idx="1265">
                  <c:v>2021</c:v>
                </c:pt>
                <c:pt idx="1266">
                  <c:v>2021</c:v>
                </c:pt>
                <c:pt idx="1267">
                  <c:v>2021</c:v>
                </c:pt>
                <c:pt idx="1268">
                  <c:v>2021</c:v>
                </c:pt>
                <c:pt idx="1269">
                  <c:v>2021</c:v>
                </c:pt>
                <c:pt idx="1270">
                  <c:v>2021</c:v>
                </c:pt>
                <c:pt idx="1271">
                  <c:v>2021</c:v>
                </c:pt>
                <c:pt idx="1272">
                  <c:v>2021</c:v>
                </c:pt>
                <c:pt idx="1273">
                  <c:v>2021</c:v>
                </c:pt>
                <c:pt idx="1274">
                  <c:v>2021</c:v>
                </c:pt>
                <c:pt idx="1275">
                  <c:v>2021</c:v>
                </c:pt>
                <c:pt idx="1276">
                  <c:v>2021</c:v>
                </c:pt>
                <c:pt idx="1277">
                  <c:v>2021</c:v>
                </c:pt>
                <c:pt idx="1278">
                  <c:v>2021</c:v>
                </c:pt>
                <c:pt idx="1279">
                  <c:v>2021</c:v>
                </c:pt>
                <c:pt idx="1280">
                  <c:v>2021</c:v>
                </c:pt>
                <c:pt idx="1281">
                  <c:v>2021</c:v>
                </c:pt>
                <c:pt idx="1282">
                  <c:v>2021</c:v>
                </c:pt>
                <c:pt idx="1283">
                  <c:v>2021</c:v>
                </c:pt>
                <c:pt idx="1284">
                  <c:v>2021</c:v>
                </c:pt>
                <c:pt idx="1285">
                  <c:v>2021</c:v>
                </c:pt>
                <c:pt idx="1286">
                  <c:v>2021</c:v>
                </c:pt>
                <c:pt idx="1287">
                  <c:v>2021</c:v>
                </c:pt>
                <c:pt idx="1288">
                  <c:v>2021</c:v>
                </c:pt>
                <c:pt idx="1289">
                  <c:v>2021</c:v>
                </c:pt>
                <c:pt idx="1290">
                  <c:v>2021</c:v>
                </c:pt>
                <c:pt idx="1291">
                  <c:v>2021</c:v>
                </c:pt>
                <c:pt idx="1292">
                  <c:v>2021</c:v>
                </c:pt>
                <c:pt idx="1293">
                  <c:v>2021</c:v>
                </c:pt>
                <c:pt idx="1294">
                  <c:v>2021</c:v>
                </c:pt>
                <c:pt idx="1295">
                  <c:v>2021</c:v>
                </c:pt>
                <c:pt idx="1296">
                  <c:v>2021</c:v>
                </c:pt>
                <c:pt idx="1297">
                  <c:v>2021</c:v>
                </c:pt>
                <c:pt idx="1298">
                  <c:v>2021</c:v>
                </c:pt>
                <c:pt idx="1299">
                  <c:v>2021</c:v>
                </c:pt>
                <c:pt idx="1300">
                  <c:v>2021</c:v>
                </c:pt>
                <c:pt idx="1301">
                  <c:v>2021</c:v>
                </c:pt>
                <c:pt idx="1302">
                  <c:v>2021</c:v>
                </c:pt>
                <c:pt idx="1303">
                  <c:v>2021</c:v>
                </c:pt>
                <c:pt idx="1304">
                  <c:v>2021</c:v>
                </c:pt>
                <c:pt idx="1305">
                  <c:v>2021</c:v>
                </c:pt>
                <c:pt idx="1306">
                  <c:v>2021</c:v>
                </c:pt>
                <c:pt idx="1307">
                  <c:v>2021</c:v>
                </c:pt>
                <c:pt idx="1308">
                  <c:v>2021</c:v>
                </c:pt>
                <c:pt idx="1309">
                  <c:v>2021</c:v>
                </c:pt>
                <c:pt idx="1310">
                  <c:v>2021</c:v>
                </c:pt>
                <c:pt idx="1311">
                  <c:v>2021</c:v>
                </c:pt>
                <c:pt idx="1312">
                  <c:v>2021</c:v>
                </c:pt>
                <c:pt idx="1313">
                  <c:v>2021</c:v>
                </c:pt>
                <c:pt idx="1314">
                  <c:v>2021</c:v>
                </c:pt>
                <c:pt idx="1315">
                  <c:v>2021</c:v>
                </c:pt>
                <c:pt idx="1316">
                  <c:v>2021</c:v>
                </c:pt>
                <c:pt idx="1317">
                  <c:v>2021</c:v>
                </c:pt>
                <c:pt idx="1318">
                  <c:v>2021</c:v>
                </c:pt>
                <c:pt idx="1319">
                  <c:v>2021</c:v>
                </c:pt>
                <c:pt idx="1320">
                  <c:v>2021</c:v>
                </c:pt>
                <c:pt idx="1321">
                  <c:v>2021</c:v>
                </c:pt>
                <c:pt idx="1322">
                  <c:v>2021</c:v>
                </c:pt>
                <c:pt idx="1323">
                  <c:v>2021</c:v>
                </c:pt>
                <c:pt idx="1324">
                  <c:v>2021</c:v>
                </c:pt>
                <c:pt idx="1325">
                  <c:v>2021</c:v>
                </c:pt>
                <c:pt idx="1326">
                  <c:v>2021</c:v>
                </c:pt>
                <c:pt idx="1327">
                  <c:v>2021</c:v>
                </c:pt>
                <c:pt idx="1328">
                  <c:v>2021</c:v>
                </c:pt>
                <c:pt idx="1329">
                  <c:v>2021</c:v>
                </c:pt>
                <c:pt idx="1330">
                  <c:v>2021</c:v>
                </c:pt>
                <c:pt idx="1331">
                  <c:v>2021</c:v>
                </c:pt>
                <c:pt idx="1332">
                  <c:v>2021</c:v>
                </c:pt>
                <c:pt idx="1333">
                  <c:v>2021</c:v>
                </c:pt>
                <c:pt idx="1334">
                  <c:v>2021</c:v>
                </c:pt>
                <c:pt idx="1335">
                  <c:v>2021</c:v>
                </c:pt>
                <c:pt idx="1336">
                  <c:v>2021</c:v>
                </c:pt>
                <c:pt idx="1337">
                  <c:v>2021</c:v>
                </c:pt>
                <c:pt idx="1338">
                  <c:v>2021</c:v>
                </c:pt>
                <c:pt idx="1339">
                  <c:v>2021</c:v>
                </c:pt>
                <c:pt idx="1340">
                  <c:v>2021</c:v>
                </c:pt>
                <c:pt idx="1341">
                  <c:v>2021</c:v>
                </c:pt>
                <c:pt idx="1342">
                  <c:v>2021</c:v>
                </c:pt>
                <c:pt idx="1343">
                  <c:v>2021</c:v>
                </c:pt>
                <c:pt idx="1344">
                  <c:v>2021</c:v>
                </c:pt>
                <c:pt idx="1345">
                  <c:v>2021</c:v>
                </c:pt>
                <c:pt idx="1346">
                  <c:v>2021</c:v>
                </c:pt>
                <c:pt idx="1347">
                  <c:v>2021</c:v>
                </c:pt>
                <c:pt idx="1348">
                  <c:v>2021</c:v>
                </c:pt>
                <c:pt idx="1349">
                  <c:v>2021</c:v>
                </c:pt>
                <c:pt idx="1350">
                  <c:v>2021</c:v>
                </c:pt>
                <c:pt idx="1351">
                  <c:v>2021</c:v>
                </c:pt>
                <c:pt idx="1352">
                  <c:v>2021</c:v>
                </c:pt>
                <c:pt idx="1353">
                  <c:v>2021</c:v>
                </c:pt>
                <c:pt idx="1354">
                  <c:v>2021</c:v>
                </c:pt>
                <c:pt idx="1355">
                  <c:v>2021</c:v>
                </c:pt>
                <c:pt idx="1356">
                  <c:v>2021</c:v>
                </c:pt>
                <c:pt idx="1357">
                  <c:v>2021</c:v>
                </c:pt>
                <c:pt idx="1358">
                  <c:v>2021</c:v>
                </c:pt>
                <c:pt idx="1359">
                  <c:v>2021</c:v>
                </c:pt>
                <c:pt idx="1360">
                  <c:v>2021</c:v>
                </c:pt>
                <c:pt idx="1361">
                  <c:v>2021</c:v>
                </c:pt>
                <c:pt idx="1362">
                  <c:v>2021</c:v>
                </c:pt>
                <c:pt idx="1363">
                  <c:v>2021</c:v>
                </c:pt>
                <c:pt idx="1364">
                  <c:v>2021</c:v>
                </c:pt>
                <c:pt idx="1365">
                  <c:v>2021</c:v>
                </c:pt>
                <c:pt idx="1366">
                  <c:v>2021</c:v>
                </c:pt>
                <c:pt idx="1367">
                  <c:v>2021</c:v>
                </c:pt>
                <c:pt idx="1368">
                  <c:v>2021</c:v>
                </c:pt>
                <c:pt idx="1369">
                  <c:v>2021</c:v>
                </c:pt>
                <c:pt idx="1370">
                  <c:v>2021</c:v>
                </c:pt>
                <c:pt idx="1371">
                  <c:v>2021</c:v>
                </c:pt>
                <c:pt idx="1372">
                  <c:v>2021</c:v>
                </c:pt>
                <c:pt idx="1373">
                  <c:v>2021</c:v>
                </c:pt>
                <c:pt idx="1374">
                  <c:v>2021</c:v>
                </c:pt>
                <c:pt idx="1375">
                  <c:v>2021</c:v>
                </c:pt>
                <c:pt idx="1376">
                  <c:v>2021</c:v>
                </c:pt>
                <c:pt idx="1377">
                  <c:v>2021</c:v>
                </c:pt>
                <c:pt idx="1378">
                  <c:v>2021</c:v>
                </c:pt>
                <c:pt idx="1379">
                  <c:v>2021</c:v>
                </c:pt>
                <c:pt idx="1380">
                  <c:v>2021</c:v>
                </c:pt>
                <c:pt idx="1381">
                  <c:v>2021</c:v>
                </c:pt>
                <c:pt idx="1382">
                  <c:v>2021</c:v>
                </c:pt>
                <c:pt idx="1383">
                  <c:v>2021</c:v>
                </c:pt>
                <c:pt idx="1384">
                  <c:v>2021</c:v>
                </c:pt>
                <c:pt idx="1385">
                  <c:v>2021</c:v>
                </c:pt>
                <c:pt idx="1386">
                  <c:v>2021</c:v>
                </c:pt>
                <c:pt idx="1387">
                  <c:v>2021</c:v>
                </c:pt>
                <c:pt idx="1388">
                  <c:v>2021</c:v>
                </c:pt>
                <c:pt idx="1389">
                  <c:v>2021</c:v>
                </c:pt>
                <c:pt idx="1390">
                  <c:v>2021</c:v>
                </c:pt>
                <c:pt idx="1391">
                  <c:v>2021</c:v>
                </c:pt>
                <c:pt idx="1392">
                  <c:v>2021</c:v>
                </c:pt>
                <c:pt idx="1393">
                  <c:v>2021</c:v>
                </c:pt>
                <c:pt idx="1394">
                  <c:v>2021</c:v>
                </c:pt>
                <c:pt idx="1395">
                  <c:v>2021</c:v>
                </c:pt>
                <c:pt idx="1396">
                  <c:v>2021</c:v>
                </c:pt>
                <c:pt idx="1397">
                  <c:v>2021</c:v>
                </c:pt>
                <c:pt idx="1398">
                  <c:v>2021</c:v>
                </c:pt>
                <c:pt idx="1399">
                  <c:v>2021</c:v>
                </c:pt>
                <c:pt idx="1400">
                  <c:v>2021</c:v>
                </c:pt>
                <c:pt idx="1401">
                  <c:v>2021</c:v>
                </c:pt>
                <c:pt idx="1402">
                  <c:v>2021</c:v>
                </c:pt>
                <c:pt idx="1403">
                  <c:v>2021</c:v>
                </c:pt>
                <c:pt idx="1404">
                  <c:v>2021</c:v>
                </c:pt>
                <c:pt idx="1405">
                  <c:v>2021</c:v>
                </c:pt>
                <c:pt idx="1406">
                  <c:v>2021</c:v>
                </c:pt>
                <c:pt idx="1407">
                  <c:v>2021</c:v>
                </c:pt>
                <c:pt idx="1408">
                  <c:v>2021</c:v>
                </c:pt>
                <c:pt idx="1409">
                  <c:v>2021</c:v>
                </c:pt>
                <c:pt idx="1410">
                  <c:v>2021</c:v>
                </c:pt>
                <c:pt idx="1411">
                  <c:v>2021</c:v>
                </c:pt>
                <c:pt idx="1412">
                  <c:v>2021</c:v>
                </c:pt>
                <c:pt idx="1413">
                  <c:v>2021</c:v>
                </c:pt>
                <c:pt idx="1414">
                  <c:v>2021</c:v>
                </c:pt>
                <c:pt idx="1415">
                  <c:v>2021</c:v>
                </c:pt>
                <c:pt idx="1416">
                  <c:v>2021</c:v>
                </c:pt>
                <c:pt idx="1417">
                  <c:v>2021</c:v>
                </c:pt>
                <c:pt idx="1418">
                  <c:v>2021</c:v>
                </c:pt>
                <c:pt idx="1419">
                  <c:v>2021</c:v>
                </c:pt>
                <c:pt idx="1420">
                  <c:v>2021</c:v>
                </c:pt>
                <c:pt idx="1421">
                  <c:v>2021</c:v>
                </c:pt>
                <c:pt idx="1422">
                  <c:v>2021</c:v>
                </c:pt>
                <c:pt idx="1423">
                  <c:v>2021</c:v>
                </c:pt>
                <c:pt idx="1424">
                  <c:v>2021</c:v>
                </c:pt>
                <c:pt idx="1425">
                  <c:v>2021</c:v>
                </c:pt>
                <c:pt idx="1426">
                  <c:v>2021</c:v>
                </c:pt>
                <c:pt idx="1427">
                  <c:v>2021</c:v>
                </c:pt>
                <c:pt idx="1428">
                  <c:v>2021</c:v>
                </c:pt>
                <c:pt idx="1429">
                  <c:v>2021</c:v>
                </c:pt>
                <c:pt idx="1430">
                  <c:v>2021</c:v>
                </c:pt>
                <c:pt idx="1431">
                  <c:v>2021</c:v>
                </c:pt>
                <c:pt idx="1432">
                  <c:v>2021</c:v>
                </c:pt>
                <c:pt idx="1433">
                  <c:v>2021</c:v>
                </c:pt>
                <c:pt idx="1434">
                  <c:v>2021</c:v>
                </c:pt>
                <c:pt idx="1435">
                  <c:v>2021</c:v>
                </c:pt>
                <c:pt idx="1436">
                  <c:v>2021</c:v>
                </c:pt>
                <c:pt idx="1437">
                  <c:v>2021</c:v>
                </c:pt>
                <c:pt idx="1438">
                  <c:v>2021</c:v>
                </c:pt>
                <c:pt idx="1439">
                  <c:v>2021</c:v>
                </c:pt>
                <c:pt idx="1440">
                  <c:v>2021</c:v>
                </c:pt>
                <c:pt idx="1441">
                  <c:v>2021</c:v>
                </c:pt>
                <c:pt idx="1442">
                  <c:v>2021</c:v>
                </c:pt>
                <c:pt idx="1443">
                  <c:v>2021</c:v>
                </c:pt>
                <c:pt idx="1444">
                  <c:v>2021</c:v>
                </c:pt>
                <c:pt idx="1445">
                  <c:v>2021</c:v>
                </c:pt>
                <c:pt idx="1446">
                  <c:v>2021</c:v>
                </c:pt>
                <c:pt idx="1447">
                  <c:v>2021</c:v>
                </c:pt>
                <c:pt idx="1448">
                  <c:v>2021</c:v>
                </c:pt>
                <c:pt idx="1449">
                  <c:v>2021</c:v>
                </c:pt>
                <c:pt idx="1450">
                  <c:v>2021</c:v>
                </c:pt>
                <c:pt idx="1451">
                  <c:v>2021</c:v>
                </c:pt>
                <c:pt idx="1452">
                  <c:v>2021</c:v>
                </c:pt>
                <c:pt idx="1453">
                  <c:v>2021</c:v>
                </c:pt>
                <c:pt idx="1454">
                  <c:v>2021</c:v>
                </c:pt>
                <c:pt idx="1455">
                  <c:v>2021</c:v>
                </c:pt>
                <c:pt idx="1456">
                  <c:v>2021</c:v>
                </c:pt>
                <c:pt idx="1457">
                  <c:v>2021</c:v>
                </c:pt>
                <c:pt idx="1458">
                  <c:v>2021</c:v>
                </c:pt>
                <c:pt idx="1459">
                  <c:v>2021</c:v>
                </c:pt>
                <c:pt idx="1460">
                  <c:v>2021</c:v>
                </c:pt>
                <c:pt idx="1461">
                  <c:v>2021</c:v>
                </c:pt>
                <c:pt idx="1462">
                  <c:v>2021</c:v>
                </c:pt>
                <c:pt idx="1463">
                  <c:v>2021</c:v>
                </c:pt>
                <c:pt idx="1464">
                  <c:v>2021</c:v>
                </c:pt>
                <c:pt idx="1465">
                  <c:v>2021</c:v>
                </c:pt>
                <c:pt idx="1466">
                  <c:v>2021</c:v>
                </c:pt>
                <c:pt idx="1467">
                  <c:v>2021</c:v>
                </c:pt>
                <c:pt idx="1468">
                  <c:v>2021</c:v>
                </c:pt>
                <c:pt idx="1469">
                  <c:v>2021</c:v>
                </c:pt>
                <c:pt idx="1470">
                  <c:v>2021</c:v>
                </c:pt>
                <c:pt idx="1471">
                  <c:v>2021</c:v>
                </c:pt>
                <c:pt idx="1472">
                  <c:v>2021</c:v>
                </c:pt>
                <c:pt idx="1473">
                  <c:v>2021</c:v>
                </c:pt>
                <c:pt idx="1474">
                  <c:v>2021</c:v>
                </c:pt>
                <c:pt idx="1475">
                  <c:v>2021</c:v>
                </c:pt>
                <c:pt idx="1476">
                  <c:v>2021</c:v>
                </c:pt>
                <c:pt idx="1477">
                  <c:v>2021</c:v>
                </c:pt>
                <c:pt idx="1478">
                  <c:v>2021</c:v>
                </c:pt>
                <c:pt idx="1479">
                  <c:v>2021</c:v>
                </c:pt>
                <c:pt idx="1480">
                  <c:v>2021</c:v>
                </c:pt>
                <c:pt idx="1481">
                  <c:v>2021</c:v>
                </c:pt>
                <c:pt idx="1482">
                  <c:v>2021</c:v>
                </c:pt>
                <c:pt idx="1483">
                  <c:v>2021</c:v>
                </c:pt>
                <c:pt idx="1484">
                  <c:v>2021</c:v>
                </c:pt>
                <c:pt idx="1485">
                  <c:v>2021</c:v>
                </c:pt>
                <c:pt idx="1486">
                  <c:v>2021</c:v>
                </c:pt>
                <c:pt idx="1487">
                  <c:v>2021</c:v>
                </c:pt>
                <c:pt idx="1488">
                  <c:v>2021</c:v>
                </c:pt>
                <c:pt idx="1489">
                  <c:v>2021</c:v>
                </c:pt>
                <c:pt idx="1490">
                  <c:v>2021</c:v>
                </c:pt>
                <c:pt idx="1491">
                  <c:v>2021</c:v>
                </c:pt>
                <c:pt idx="1492">
                  <c:v>2021</c:v>
                </c:pt>
                <c:pt idx="1493">
                  <c:v>2021</c:v>
                </c:pt>
                <c:pt idx="1494">
                  <c:v>2021</c:v>
                </c:pt>
                <c:pt idx="1495">
                  <c:v>2021</c:v>
                </c:pt>
                <c:pt idx="1496">
                  <c:v>2021</c:v>
                </c:pt>
                <c:pt idx="1497">
                  <c:v>2021</c:v>
                </c:pt>
                <c:pt idx="1498">
                  <c:v>2021</c:v>
                </c:pt>
                <c:pt idx="1499">
                  <c:v>2022</c:v>
                </c:pt>
                <c:pt idx="1500">
                  <c:v>2022</c:v>
                </c:pt>
                <c:pt idx="1501">
                  <c:v>2022</c:v>
                </c:pt>
                <c:pt idx="1502">
                  <c:v>2022</c:v>
                </c:pt>
                <c:pt idx="1503">
                  <c:v>2022</c:v>
                </c:pt>
                <c:pt idx="1504">
                  <c:v>2022</c:v>
                </c:pt>
                <c:pt idx="1505">
                  <c:v>2022</c:v>
                </c:pt>
                <c:pt idx="1506">
                  <c:v>2022</c:v>
                </c:pt>
                <c:pt idx="1507">
                  <c:v>2022</c:v>
                </c:pt>
                <c:pt idx="1508">
                  <c:v>2022</c:v>
                </c:pt>
                <c:pt idx="1509">
                  <c:v>2022</c:v>
                </c:pt>
                <c:pt idx="1510">
                  <c:v>2022</c:v>
                </c:pt>
                <c:pt idx="1511">
                  <c:v>2022</c:v>
                </c:pt>
                <c:pt idx="1512">
                  <c:v>2022</c:v>
                </c:pt>
                <c:pt idx="1513">
                  <c:v>2022</c:v>
                </c:pt>
                <c:pt idx="1514">
                  <c:v>2022</c:v>
                </c:pt>
                <c:pt idx="1515">
                  <c:v>2022</c:v>
                </c:pt>
                <c:pt idx="1516">
                  <c:v>2022</c:v>
                </c:pt>
                <c:pt idx="1517">
                  <c:v>2022</c:v>
                </c:pt>
                <c:pt idx="1518">
                  <c:v>2022</c:v>
                </c:pt>
                <c:pt idx="1519">
                  <c:v>2022</c:v>
                </c:pt>
                <c:pt idx="1520">
                  <c:v>2022</c:v>
                </c:pt>
                <c:pt idx="1521">
                  <c:v>2022</c:v>
                </c:pt>
                <c:pt idx="1522">
                  <c:v>2022</c:v>
                </c:pt>
                <c:pt idx="1523">
                  <c:v>2022</c:v>
                </c:pt>
                <c:pt idx="1524">
                  <c:v>2022</c:v>
                </c:pt>
                <c:pt idx="1525">
                  <c:v>2022</c:v>
                </c:pt>
                <c:pt idx="1526">
                  <c:v>2022</c:v>
                </c:pt>
                <c:pt idx="1527">
                  <c:v>2022</c:v>
                </c:pt>
                <c:pt idx="1528">
                  <c:v>2022</c:v>
                </c:pt>
                <c:pt idx="1529">
                  <c:v>2022</c:v>
                </c:pt>
                <c:pt idx="1530">
                  <c:v>2022</c:v>
                </c:pt>
                <c:pt idx="1531">
                  <c:v>2022</c:v>
                </c:pt>
                <c:pt idx="1532">
                  <c:v>2022</c:v>
                </c:pt>
                <c:pt idx="1533">
                  <c:v>2022</c:v>
                </c:pt>
                <c:pt idx="1534">
                  <c:v>2022</c:v>
                </c:pt>
                <c:pt idx="1535">
                  <c:v>2022</c:v>
                </c:pt>
                <c:pt idx="1536">
                  <c:v>2022</c:v>
                </c:pt>
                <c:pt idx="1537">
                  <c:v>2022</c:v>
                </c:pt>
                <c:pt idx="1538">
                  <c:v>2022</c:v>
                </c:pt>
                <c:pt idx="1539">
                  <c:v>2022</c:v>
                </c:pt>
                <c:pt idx="1540">
                  <c:v>2022</c:v>
                </c:pt>
                <c:pt idx="1541">
                  <c:v>2022</c:v>
                </c:pt>
                <c:pt idx="1542">
                  <c:v>2022</c:v>
                </c:pt>
                <c:pt idx="1543">
                  <c:v>2022</c:v>
                </c:pt>
                <c:pt idx="1544">
                  <c:v>2022</c:v>
                </c:pt>
                <c:pt idx="1545">
                  <c:v>2022</c:v>
                </c:pt>
                <c:pt idx="1546">
                  <c:v>2022</c:v>
                </c:pt>
                <c:pt idx="1547">
                  <c:v>2022</c:v>
                </c:pt>
                <c:pt idx="1548">
                  <c:v>2022</c:v>
                </c:pt>
                <c:pt idx="1549">
                  <c:v>2022</c:v>
                </c:pt>
                <c:pt idx="1550">
                  <c:v>2022</c:v>
                </c:pt>
                <c:pt idx="1551">
                  <c:v>2022</c:v>
                </c:pt>
                <c:pt idx="1552">
                  <c:v>2022</c:v>
                </c:pt>
                <c:pt idx="1553">
                  <c:v>2022</c:v>
                </c:pt>
                <c:pt idx="1554">
                  <c:v>2022</c:v>
                </c:pt>
                <c:pt idx="1555">
                  <c:v>2022</c:v>
                </c:pt>
                <c:pt idx="1556">
                  <c:v>2022</c:v>
                </c:pt>
                <c:pt idx="1557">
                  <c:v>2022</c:v>
                </c:pt>
                <c:pt idx="1558">
                  <c:v>2022</c:v>
                </c:pt>
                <c:pt idx="1559">
                  <c:v>2022</c:v>
                </c:pt>
                <c:pt idx="1560">
                  <c:v>2022</c:v>
                </c:pt>
                <c:pt idx="1561">
                  <c:v>2022</c:v>
                </c:pt>
                <c:pt idx="1562">
                  <c:v>2022</c:v>
                </c:pt>
                <c:pt idx="1563">
                  <c:v>2022</c:v>
                </c:pt>
                <c:pt idx="1564">
                  <c:v>2022</c:v>
                </c:pt>
                <c:pt idx="1565">
                  <c:v>2022</c:v>
                </c:pt>
                <c:pt idx="1566">
                  <c:v>2022</c:v>
                </c:pt>
                <c:pt idx="1567">
                  <c:v>2022</c:v>
                </c:pt>
                <c:pt idx="1568">
                  <c:v>2022</c:v>
                </c:pt>
                <c:pt idx="1569">
                  <c:v>2022</c:v>
                </c:pt>
                <c:pt idx="1570">
                  <c:v>2022</c:v>
                </c:pt>
                <c:pt idx="1571">
                  <c:v>2022</c:v>
                </c:pt>
                <c:pt idx="1572">
                  <c:v>2022</c:v>
                </c:pt>
                <c:pt idx="1573">
                  <c:v>2022</c:v>
                </c:pt>
                <c:pt idx="1574">
                  <c:v>2022</c:v>
                </c:pt>
                <c:pt idx="1575">
                  <c:v>2022</c:v>
                </c:pt>
                <c:pt idx="1576">
                  <c:v>2022</c:v>
                </c:pt>
                <c:pt idx="1577">
                  <c:v>2022</c:v>
                </c:pt>
                <c:pt idx="1578">
                  <c:v>2022</c:v>
                </c:pt>
                <c:pt idx="1579">
                  <c:v>2022</c:v>
                </c:pt>
                <c:pt idx="1580">
                  <c:v>2022</c:v>
                </c:pt>
                <c:pt idx="1581">
                  <c:v>2022</c:v>
                </c:pt>
                <c:pt idx="1582">
                  <c:v>2022</c:v>
                </c:pt>
                <c:pt idx="1583">
                  <c:v>2022</c:v>
                </c:pt>
                <c:pt idx="1584">
                  <c:v>2022</c:v>
                </c:pt>
                <c:pt idx="1585">
                  <c:v>2022</c:v>
                </c:pt>
                <c:pt idx="1586">
                  <c:v>2022</c:v>
                </c:pt>
                <c:pt idx="1587">
                  <c:v>2022</c:v>
                </c:pt>
                <c:pt idx="1588">
                  <c:v>2022</c:v>
                </c:pt>
                <c:pt idx="1589">
                  <c:v>2022</c:v>
                </c:pt>
                <c:pt idx="1590">
                  <c:v>2022</c:v>
                </c:pt>
                <c:pt idx="1591">
                  <c:v>2022</c:v>
                </c:pt>
                <c:pt idx="1592">
                  <c:v>2022</c:v>
                </c:pt>
                <c:pt idx="1593">
                  <c:v>2022</c:v>
                </c:pt>
                <c:pt idx="1594">
                  <c:v>2022</c:v>
                </c:pt>
                <c:pt idx="1595">
                  <c:v>2022</c:v>
                </c:pt>
                <c:pt idx="1596">
                  <c:v>2022</c:v>
                </c:pt>
                <c:pt idx="1597">
                  <c:v>2022</c:v>
                </c:pt>
                <c:pt idx="1598">
                  <c:v>2022</c:v>
                </c:pt>
                <c:pt idx="1599">
                  <c:v>2022</c:v>
                </c:pt>
                <c:pt idx="1600">
                  <c:v>2022</c:v>
                </c:pt>
                <c:pt idx="1601">
                  <c:v>2022</c:v>
                </c:pt>
                <c:pt idx="1602">
                  <c:v>2022</c:v>
                </c:pt>
                <c:pt idx="1603">
                  <c:v>2022</c:v>
                </c:pt>
                <c:pt idx="1604">
                  <c:v>2022</c:v>
                </c:pt>
                <c:pt idx="1605">
                  <c:v>2022</c:v>
                </c:pt>
                <c:pt idx="1606">
                  <c:v>2022</c:v>
                </c:pt>
                <c:pt idx="1607">
                  <c:v>2022</c:v>
                </c:pt>
                <c:pt idx="1608">
                  <c:v>2022</c:v>
                </c:pt>
                <c:pt idx="1609">
                  <c:v>2022</c:v>
                </c:pt>
                <c:pt idx="1610">
                  <c:v>2022</c:v>
                </c:pt>
                <c:pt idx="1611">
                  <c:v>2022</c:v>
                </c:pt>
                <c:pt idx="1612">
                  <c:v>2022</c:v>
                </c:pt>
                <c:pt idx="1613">
                  <c:v>2022</c:v>
                </c:pt>
                <c:pt idx="1614">
                  <c:v>2022</c:v>
                </c:pt>
                <c:pt idx="1615">
                  <c:v>2022</c:v>
                </c:pt>
                <c:pt idx="1616">
                  <c:v>2022</c:v>
                </c:pt>
                <c:pt idx="1617">
                  <c:v>2022</c:v>
                </c:pt>
                <c:pt idx="1618">
                  <c:v>2022</c:v>
                </c:pt>
                <c:pt idx="1619">
                  <c:v>2022</c:v>
                </c:pt>
                <c:pt idx="1620">
                  <c:v>2022</c:v>
                </c:pt>
                <c:pt idx="1621">
                  <c:v>2022</c:v>
                </c:pt>
                <c:pt idx="1622">
                  <c:v>2022</c:v>
                </c:pt>
                <c:pt idx="1623">
                  <c:v>2022</c:v>
                </c:pt>
                <c:pt idx="1624">
                  <c:v>2022</c:v>
                </c:pt>
                <c:pt idx="1625">
                  <c:v>2022</c:v>
                </c:pt>
                <c:pt idx="1626">
                  <c:v>2022</c:v>
                </c:pt>
                <c:pt idx="1627">
                  <c:v>2022</c:v>
                </c:pt>
                <c:pt idx="1628">
                  <c:v>2022</c:v>
                </c:pt>
                <c:pt idx="1629">
                  <c:v>2022</c:v>
                </c:pt>
                <c:pt idx="1630">
                  <c:v>2022</c:v>
                </c:pt>
                <c:pt idx="1631">
                  <c:v>2022</c:v>
                </c:pt>
                <c:pt idx="1632">
                  <c:v>2022</c:v>
                </c:pt>
                <c:pt idx="1633">
                  <c:v>2022</c:v>
                </c:pt>
                <c:pt idx="1634">
                  <c:v>2022</c:v>
                </c:pt>
                <c:pt idx="1635">
                  <c:v>2022</c:v>
                </c:pt>
                <c:pt idx="1636">
                  <c:v>2022</c:v>
                </c:pt>
                <c:pt idx="1637">
                  <c:v>2022</c:v>
                </c:pt>
                <c:pt idx="1638">
                  <c:v>2022</c:v>
                </c:pt>
                <c:pt idx="1639">
                  <c:v>2022</c:v>
                </c:pt>
                <c:pt idx="1640">
                  <c:v>2022</c:v>
                </c:pt>
                <c:pt idx="1641">
                  <c:v>2022</c:v>
                </c:pt>
                <c:pt idx="1642">
                  <c:v>2022</c:v>
                </c:pt>
                <c:pt idx="1643">
                  <c:v>2022</c:v>
                </c:pt>
                <c:pt idx="1644">
                  <c:v>2022</c:v>
                </c:pt>
                <c:pt idx="1645">
                  <c:v>2022</c:v>
                </c:pt>
                <c:pt idx="1646">
                  <c:v>2022</c:v>
                </c:pt>
                <c:pt idx="1647">
                  <c:v>2022</c:v>
                </c:pt>
                <c:pt idx="1648">
                  <c:v>2022</c:v>
                </c:pt>
                <c:pt idx="1649">
                  <c:v>2022</c:v>
                </c:pt>
                <c:pt idx="1650">
                  <c:v>2022</c:v>
                </c:pt>
                <c:pt idx="1651">
                  <c:v>2022</c:v>
                </c:pt>
                <c:pt idx="1652">
                  <c:v>2022</c:v>
                </c:pt>
                <c:pt idx="1653">
                  <c:v>2022</c:v>
                </c:pt>
                <c:pt idx="1654">
                  <c:v>2022</c:v>
                </c:pt>
                <c:pt idx="1655">
                  <c:v>2022</c:v>
                </c:pt>
                <c:pt idx="1656">
                  <c:v>2022</c:v>
                </c:pt>
                <c:pt idx="1657">
                  <c:v>2022</c:v>
                </c:pt>
                <c:pt idx="1658">
                  <c:v>2022</c:v>
                </c:pt>
                <c:pt idx="1659">
                  <c:v>2022</c:v>
                </c:pt>
                <c:pt idx="1660">
                  <c:v>2022</c:v>
                </c:pt>
                <c:pt idx="1661">
                  <c:v>2022</c:v>
                </c:pt>
                <c:pt idx="1662">
                  <c:v>2022</c:v>
                </c:pt>
                <c:pt idx="1663">
                  <c:v>2022</c:v>
                </c:pt>
                <c:pt idx="1664">
                  <c:v>2022</c:v>
                </c:pt>
                <c:pt idx="1665">
                  <c:v>2022</c:v>
                </c:pt>
                <c:pt idx="1666">
                  <c:v>2022</c:v>
                </c:pt>
                <c:pt idx="1667">
                  <c:v>2022</c:v>
                </c:pt>
                <c:pt idx="1668">
                  <c:v>2022</c:v>
                </c:pt>
                <c:pt idx="1669">
                  <c:v>2022</c:v>
                </c:pt>
                <c:pt idx="1670">
                  <c:v>2022</c:v>
                </c:pt>
                <c:pt idx="1671">
                  <c:v>2022</c:v>
                </c:pt>
                <c:pt idx="1672">
                  <c:v>2022</c:v>
                </c:pt>
                <c:pt idx="1673">
                  <c:v>2022</c:v>
                </c:pt>
                <c:pt idx="1674">
                  <c:v>2022</c:v>
                </c:pt>
                <c:pt idx="1675">
                  <c:v>2022</c:v>
                </c:pt>
                <c:pt idx="1676">
                  <c:v>2022</c:v>
                </c:pt>
                <c:pt idx="1677">
                  <c:v>2022</c:v>
                </c:pt>
                <c:pt idx="1678">
                  <c:v>2022</c:v>
                </c:pt>
                <c:pt idx="1679">
                  <c:v>2022</c:v>
                </c:pt>
                <c:pt idx="1680">
                  <c:v>2022</c:v>
                </c:pt>
                <c:pt idx="1681">
                  <c:v>2022</c:v>
                </c:pt>
                <c:pt idx="1682">
                  <c:v>2022</c:v>
                </c:pt>
                <c:pt idx="1683">
                  <c:v>2022</c:v>
                </c:pt>
                <c:pt idx="1684">
                  <c:v>2022</c:v>
                </c:pt>
                <c:pt idx="1685">
                  <c:v>2022</c:v>
                </c:pt>
                <c:pt idx="1686">
                  <c:v>2022</c:v>
                </c:pt>
                <c:pt idx="1687">
                  <c:v>2022</c:v>
                </c:pt>
                <c:pt idx="1688">
                  <c:v>2022</c:v>
                </c:pt>
                <c:pt idx="1689">
                  <c:v>2022</c:v>
                </c:pt>
                <c:pt idx="1690">
                  <c:v>2022</c:v>
                </c:pt>
                <c:pt idx="1691">
                  <c:v>2022</c:v>
                </c:pt>
                <c:pt idx="1692">
                  <c:v>2022</c:v>
                </c:pt>
                <c:pt idx="1693">
                  <c:v>2022</c:v>
                </c:pt>
                <c:pt idx="1694">
                  <c:v>2022</c:v>
                </c:pt>
                <c:pt idx="1695">
                  <c:v>2022</c:v>
                </c:pt>
                <c:pt idx="1696">
                  <c:v>2022</c:v>
                </c:pt>
                <c:pt idx="1697">
                  <c:v>2022</c:v>
                </c:pt>
                <c:pt idx="1698">
                  <c:v>2022</c:v>
                </c:pt>
                <c:pt idx="1699">
                  <c:v>2022</c:v>
                </c:pt>
                <c:pt idx="1700">
                  <c:v>2022</c:v>
                </c:pt>
                <c:pt idx="1701">
                  <c:v>2022</c:v>
                </c:pt>
                <c:pt idx="1702">
                  <c:v>2022</c:v>
                </c:pt>
                <c:pt idx="1703">
                  <c:v>2022</c:v>
                </c:pt>
                <c:pt idx="1704">
                  <c:v>2022</c:v>
                </c:pt>
                <c:pt idx="1705">
                  <c:v>2022</c:v>
                </c:pt>
                <c:pt idx="1706">
                  <c:v>2022</c:v>
                </c:pt>
                <c:pt idx="1707">
                  <c:v>2022</c:v>
                </c:pt>
                <c:pt idx="1708">
                  <c:v>2022</c:v>
                </c:pt>
                <c:pt idx="1709">
                  <c:v>2022</c:v>
                </c:pt>
                <c:pt idx="1710">
                  <c:v>2022</c:v>
                </c:pt>
                <c:pt idx="1711">
                  <c:v>2022</c:v>
                </c:pt>
                <c:pt idx="1712">
                  <c:v>2022</c:v>
                </c:pt>
                <c:pt idx="1713">
                  <c:v>2022</c:v>
                </c:pt>
                <c:pt idx="1714">
                  <c:v>2022</c:v>
                </c:pt>
                <c:pt idx="1715">
                  <c:v>2022</c:v>
                </c:pt>
                <c:pt idx="1716">
                  <c:v>2022</c:v>
                </c:pt>
                <c:pt idx="1717">
                  <c:v>2022</c:v>
                </c:pt>
                <c:pt idx="1718">
                  <c:v>2022</c:v>
                </c:pt>
                <c:pt idx="1719">
                  <c:v>2022</c:v>
                </c:pt>
                <c:pt idx="1720">
                  <c:v>2022</c:v>
                </c:pt>
                <c:pt idx="1721">
                  <c:v>2022</c:v>
                </c:pt>
                <c:pt idx="1722">
                  <c:v>2022</c:v>
                </c:pt>
                <c:pt idx="1723">
                  <c:v>2022</c:v>
                </c:pt>
                <c:pt idx="1724">
                  <c:v>2022</c:v>
                </c:pt>
                <c:pt idx="1725">
                  <c:v>2022</c:v>
                </c:pt>
                <c:pt idx="1726">
                  <c:v>2022</c:v>
                </c:pt>
                <c:pt idx="1727">
                  <c:v>2022</c:v>
                </c:pt>
                <c:pt idx="1728">
                  <c:v>2022</c:v>
                </c:pt>
                <c:pt idx="1729">
                  <c:v>2022</c:v>
                </c:pt>
                <c:pt idx="1730">
                  <c:v>2022</c:v>
                </c:pt>
                <c:pt idx="1731">
                  <c:v>2022</c:v>
                </c:pt>
                <c:pt idx="1732">
                  <c:v>2022</c:v>
                </c:pt>
                <c:pt idx="1733">
                  <c:v>2022</c:v>
                </c:pt>
                <c:pt idx="1734">
                  <c:v>2022</c:v>
                </c:pt>
                <c:pt idx="1735">
                  <c:v>2022</c:v>
                </c:pt>
                <c:pt idx="1736">
                  <c:v>2022</c:v>
                </c:pt>
                <c:pt idx="1737">
                  <c:v>2022</c:v>
                </c:pt>
                <c:pt idx="1738">
                  <c:v>2022</c:v>
                </c:pt>
                <c:pt idx="1739">
                  <c:v>2022</c:v>
                </c:pt>
                <c:pt idx="1740">
                  <c:v>2022</c:v>
                </c:pt>
                <c:pt idx="1741">
                  <c:v>2022</c:v>
                </c:pt>
                <c:pt idx="1742">
                  <c:v>2022</c:v>
                </c:pt>
                <c:pt idx="1743">
                  <c:v>2022</c:v>
                </c:pt>
                <c:pt idx="1744">
                  <c:v>2022</c:v>
                </c:pt>
                <c:pt idx="1745">
                  <c:v>2022</c:v>
                </c:pt>
                <c:pt idx="1746">
                  <c:v>2022</c:v>
                </c:pt>
                <c:pt idx="1747">
                  <c:v>2022</c:v>
                </c:pt>
                <c:pt idx="1748">
                  <c:v>2022</c:v>
                </c:pt>
                <c:pt idx="1749">
                  <c:v>2023</c:v>
                </c:pt>
                <c:pt idx="1750">
                  <c:v>2023</c:v>
                </c:pt>
                <c:pt idx="1751">
                  <c:v>2023</c:v>
                </c:pt>
                <c:pt idx="1752">
                  <c:v>2023</c:v>
                </c:pt>
                <c:pt idx="1753">
                  <c:v>2023</c:v>
                </c:pt>
                <c:pt idx="1754">
                  <c:v>2023</c:v>
                </c:pt>
                <c:pt idx="1755">
                  <c:v>2023</c:v>
                </c:pt>
                <c:pt idx="1756">
                  <c:v>2023</c:v>
                </c:pt>
                <c:pt idx="1757">
                  <c:v>2023</c:v>
                </c:pt>
                <c:pt idx="1758">
                  <c:v>2023</c:v>
                </c:pt>
                <c:pt idx="1759">
                  <c:v>2023</c:v>
                </c:pt>
                <c:pt idx="1760">
                  <c:v>2023</c:v>
                </c:pt>
                <c:pt idx="1761">
                  <c:v>2023</c:v>
                </c:pt>
                <c:pt idx="1762">
                  <c:v>2023</c:v>
                </c:pt>
                <c:pt idx="1763">
                  <c:v>2023</c:v>
                </c:pt>
                <c:pt idx="1764">
                  <c:v>2023</c:v>
                </c:pt>
                <c:pt idx="1765">
                  <c:v>2023</c:v>
                </c:pt>
                <c:pt idx="1766">
                  <c:v>2023</c:v>
                </c:pt>
                <c:pt idx="1767">
                  <c:v>2023</c:v>
                </c:pt>
                <c:pt idx="1768">
                  <c:v>2023</c:v>
                </c:pt>
                <c:pt idx="1769">
                  <c:v>2023</c:v>
                </c:pt>
                <c:pt idx="1770">
                  <c:v>2023</c:v>
                </c:pt>
                <c:pt idx="1771">
                  <c:v>2023</c:v>
                </c:pt>
                <c:pt idx="1772">
                  <c:v>2023</c:v>
                </c:pt>
                <c:pt idx="1773">
                  <c:v>2023</c:v>
                </c:pt>
                <c:pt idx="1774">
                  <c:v>2023</c:v>
                </c:pt>
                <c:pt idx="1775">
                  <c:v>2023</c:v>
                </c:pt>
                <c:pt idx="1776">
                  <c:v>2023</c:v>
                </c:pt>
                <c:pt idx="1777">
                  <c:v>2023</c:v>
                </c:pt>
                <c:pt idx="1778">
                  <c:v>2023</c:v>
                </c:pt>
                <c:pt idx="1779">
                  <c:v>2023</c:v>
                </c:pt>
                <c:pt idx="1780">
                  <c:v>2023</c:v>
                </c:pt>
                <c:pt idx="1781">
                  <c:v>2023</c:v>
                </c:pt>
                <c:pt idx="1782">
                  <c:v>2023</c:v>
                </c:pt>
                <c:pt idx="1783">
                  <c:v>2023</c:v>
                </c:pt>
                <c:pt idx="1784">
                  <c:v>2023</c:v>
                </c:pt>
                <c:pt idx="1785">
                  <c:v>2023</c:v>
                </c:pt>
                <c:pt idx="1786">
                  <c:v>2023</c:v>
                </c:pt>
                <c:pt idx="1787">
                  <c:v>2023</c:v>
                </c:pt>
                <c:pt idx="1788">
                  <c:v>2023</c:v>
                </c:pt>
                <c:pt idx="1789">
                  <c:v>2023</c:v>
                </c:pt>
                <c:pt idx="1790">
                  <c:v>2023</c:v>
                </c:pt>
                <c:pt idx="1791">
                  <c:v>2023</c:v>
                </c:pt>
                <c:pt idx="1792">
                  <c:v>2023</c:v>
                </c:pt>
                <c:pt idx="1793">
                  <c:v>2023</c:v>
                </c:pt>
                <c:pt idx="1794">
                  <c:v>2023</c:v>
                </c:pt>
                <c:pt idx="1795">
                  <c:v>2023</c:v>
                </c:pt>
                <c:pt idx="1796">
                  <c:v>2023</c:v>
                </c:pt>
                <c:pt idx="1797">
                  <c:v>2023</c:v>
                </c:pt>
                <c:pt idx="1798">
                  <c:v>2023</c:v>
                </c:pt>
                <c:pt idx="1799">
                  <c:v>2023</c:v>
                </c:pt>
                <c:pt idx="1800">
                  <c:v>2023</c:v>
                </c:pt>
                <c:pt idx="1801">
                  <c:v>2023</c:v>
                </c:pt>
                <c:pt idx="1802">
                  <c:v>2023</c:v>
                </c:pt>
                <c:pt idx="1803">
                  <c:v>2023</c:v>
                </c:pt>
                <c:pt idx="1804">
                  <c:v>2023</c:v>
                </c:pt>
                <c:pt idx="1805">
                  <c:v>2023</c:v>
                </c:pt>
                <c:pt idx="1806">
                  <c:v>2023</c:v>
                </c:pt>
                <c:pt idx="1807">
                  <c:v>2023</c:v>
                </c:pt>
                <c:pt idx="1808">
                  <c:v>2023</c:v>
                </c:pt>
                <c:pt idx="1809">
                  <c:v>2023</c:v>
                </c:pt>
                <c:pt idx="1810">
                  <c:v>2023</c:v>
                </c:pt>
                <c:pt idx="1811">
                  <c:v>2023</c:v>
                </c:pt>
                <c:pt idx="1812">
                  <c:v>2023</c:v>
                </c:pt>
                <c:pt idx="1813">
                  <c:v>2023</c:v>
                </c:pt>
                <c:pt idx="1814">
                  <c:v>2023</c:v>
                </c:pt>
                <c:pt idx="1815">
                  <c:v>2023</c:v>
                </c:pt>
                <c:pt idx="1816">
                  <c:v>2023</c:v>
                </c:pt>
                <c:pt idx="1817">
                  <c:v>2023</c:v>
                </c:pt>
                <c:pt idx="1818">
                  <c:v>2023</c:v>
                </c:pt>
                <c:pt idx="1819">
                  <c:v>2023</c:v>
                </c:pt>
                <c:pt idx="1820">
                  <c:v>2023</c:v>
                </c:pt>
                <c:pt idx="1821">
                  <c:v>2023</c:v>
                </c:pt>
                <c:pt idx="1822">
                  <c:v>2023</c:v>
                </c:pt>
                <c:pt idx="1823">
                  <c:v>2023</c:v>
                </c:pt>
                <c:pt idx="1824">
                  <c:v>2023</c:v>
                </c:pt>
                <c:pt idx="1825">
                  <c:v>2023</c:v>
                </c:pt>
                <c:pt idx="1826">
                  <c:v>2023</c:v>
                </c:pt>
                <c:pt idx="1827">
                  <c:v>2023</c:v>
                </c:pt>
                <c:pt idx="1828">
                  <c:v>2023</c:v>
                </c:pt>
                <c:pt idx="1829">
                  <c:v>2023</c:v>
                </c:pt>
                <c:pt idx="1830">
                  <c:v>2023</c:v>
                </c:pt>
                <c:pt idx="1831">
                  <c:v>2023</c:v>
                </c:pt>
                <c:pt idx="1832">
                  <c:v>2023</c:v>
                </c:pt>
                <c:pt idx="1833">
                  <c:v>2023</c:v>
                </c:pt>
                <c:pt idx="1834">
                  <c:v>2023</c:v>
                </c:pt>
                <c:pt idx="1835">
                  <c:v>2023</c:v>
                </c:pt>
                <c:pt idx="1836">
                  <c:v>2023</c:v>
                </c:pt>
                <c:pt idx="1837">
                  <c:v>2023</c:v>
                </c:pt>
                <c:pt idx="1838">
                  <c:v>2023</c:v>
                </c:pt>
                <c:pt idx="1839">
                  <c:v>2023</c:v>
                </c:pt>
                <c:pt idx="1840">
                  <c:v>2023</c:v>
                </c:pt>
                <c:pt idx="1841">
                  <c:v>2023</c:v>
                </c:pt>
                <c:pt idx="1842">
                  <c:v>2023</c:v>
                </c:pt>
                <c:pt idx="1843">
                  <c:v>2023</c:v>
                </c:pt>
                <c:pt idx="1844">
                  <c:v>2023</c:v>
                </c:pt>
                <c:pt idx="1845">
                  <c:v>2023</c:v>
                </c:pt>
                <c:pt idx="1846">
                  <c:v>2023</c:v>
                </c:pt>
                <c:pt idx="1847">
                  <c:v>2023</c:v>
                </c:pt>
                <c:pt idx="1848">
                  <c:v>2023</c:v>
                </c:pt>
                <c:pt idx="1849">
                  <c:v>2023</c:v>
                </c:pt>
                <c:pt idx="1850">
                  <c:v>2023</c:v>
                </c:pt>
                <c:pt idx="1851">
                  <c:v>2023</c:v>
                </c:pt>
                <c:pt idx="1852">
                  <c:v>2023</c:v>
                </c:pt>
                <c:pt idx="1853">
                  <c:v>2023</c:v>
                </c:pt>
                <c:pt idx="1854">
                  <c:v>2023</c:v>
                </c:pt>
                <c:pt idx="1855">
                  <c:v>2023</c:v>
                </c:pt>
                <c:pt idx="1856">
                  <c:v>2023</c:v>
                </c:pt>
                <c:pt idx="1857">
                  <c:v>2023</c:v>
                </c:pt>
                <c:pt idx="1858">
                  <c:v>2023</c:v>
                </c:pt>
                <c:pt idx="1859">
                  <c:v>2023</c:v>
                </c:pt>
                <c:pt idx="1860">
                  <c:v>2023</c:v>
                </c:pt>
                <c:pt idx="1861">
                  <c:v>2023</c:v>
                </c:pt>
                <c:pt idx="1862">
                  <c:v>2023</c:v>
                </c:pt>
                <c:pt idx="1863">
                  <c:v>2023</c:v>
                </c:pt>
                <c:pt idx="1864">
                  <c:v>2023</c:v>
                </c:pt>
                <c:pt idx="1865">
                  <c:v>2023</c:v>
                </c:pt>
                <c:pt idx="1866">
                  <c:v>2023</c:v>
                </c:pt>
                <c:pt idx="1867">
                  <c:v>2023</c:v>
                </c:pt>
                <c:pt idx="1868">
                  <c:v>2023</c:v>
                </c:pt>
                <c:pt idx="1869">
                  <c:v>2023</c:v>
                </c:pt>
                <c:pt idx="1870">
                  <c:v>2023</c:v>
                </c:pt>
                <c:pt idx="1871">
                  <c:v>2023</c:v>
                </c:pt>
                <c:pt idx="1872">
                  <c:v>2023</c:v>
                </c:pt>
                <c:pt idx="1873">
                  <c:v>2023</c:v>
                </c:pt>
                <c:pt idx="1874">
                  <c:v>2023</c:v>
                </c:pt>
                <c:pt idx="1875">
                  <c:v>2023</c:v>
                </c:pt>
                <c:pt idx="1876">
                  <c:v>2023</c:v>
                </c:pt>
                <c:pt idx="1877">
                  <c:v>2023</c:v>
                </c:pt>
                <c:pt idx="1878">
                  <c:v>2023</c:v>
                </c:pt>
                <c:pt idx="1879">
                  <c:v>2023</c:v>
                </c:pt>
                <c:pt idx="1880">
                  <c:v>2023</c:v>
                </c:pt>
                <c:pt idx="1881">
                  <c:v>2023</c:v>
                </c:pt>
                <c:pt idx="1882">
                  <c:v>2023</c:v>
                </c:pt>
                <c:pt idx="1883">
                  <c:v>2023</c:v>
                </c:pt>
                <c:pt idx="1884">
                  <c:v>2023</c:v>
                </c:pt>
                <c:pt idx="1885">
                  <c:v>2023</c:v>
                </c:pt>
                <c:pt idx="1886">
                  <c:v>2023</c:v>
                </c:pt>
                <c:pt idx="1887">
                  <c:v>2023</c:v>
                </c:pt>
                <c:pt idx="1888">
                  <c:v>2023</c:v>
                </c:pt>
                <c:pt idx="1889">
                  <c:v>2023</c:v>
                </c:pt>
                <c:pt idx="1890">
                  <c:v>2023</c:v>
                </c:pt>
                <c:pt idx="1891">
                  <c:v>2023</c:v>
                </c:pt>
                <c:pt idx="1892">
                  <c:v>2023</c:v>
                </c:pt>
                <c:pt idx="1893">
                  <c:v>2023</c:v>
                </c:pt>
                <c:pt idx="1894">
                  <c:v>2023</c:v>
                </c:pt>
                <c:pt idx="1895">
                  <c:v>2023</c:v>
                </c:pt>
                <c:pt idx="1896">
                  <c:v>2023</c:v>
                </c:pt>
                <c:pt idx="1897">
                  <c:v>2023</c:v>
                </c:pt>
                <c:pt idx="1898">
                  <c:v>2023</c:v>
                </c:pt>
                <c:pt idx="1899">
                  <c:v>2023</c:v>
                </c:pt>
                <c:pt idx="1900">
                  <c:v>2023</c:v>
                </c:pt>
                <c:pt idx="1901">
                  <c:v>2023</c:v>
                </c:pt>
                <c:pt idx="1902">
                  <c:v>2023</c:v>
                </c:pt>
                <c:pt idx="1903">
                  <c:v>2023</c:v>
                </c:pt>
                <c:pt idx="1904">
                  <c:v>2023</c:v>
                </c:pt>
                <c:pt idx="1905">
                  <c:v>2023</c:v>
                </c:pt>
                <c:pt idx="1906">
                  <c:v>2023</c:v>
                </c:pt>
                <c:pt idx="1907">
                  <c:v>2023</c:v>
                </c:pt>
                <c:pt idx="1908">
                  <c:v>2023</c:v>
                </c:pt>
                <c:pt idx="1909">
                  <c:v>2023</c:v>
                </c:pt>
                <c:pt idx="1910">
                  <c:v>2023</c:v>
                </c:pt>
                <c:pt idx="1911">
                  <c:v>2023</c:v>
                </c:pt>
                <c:pt idx="1912">
                  <c:v>2023</c:v>
                </c:pt>
                <c:pt idx="1913">
                  <c:v>2023</c:v>
                </c:pt>
                <c:pt idx="1914">
                  <c:v>2023</c:v>
                </c:pt>
                <c:pt idx="1915">
                  <c:v>2023</c:v>
                </c:pt>
                <c:pt idx="1916">
                  <c:v>2023</c:v>
                </c:pt>
                <c:pt idx="1917">
                  <c:v>2023</c:v>
                </c:pt>
                <c:pt idx="1918">
                  <c:v>2023</c:v>
                </c:pt>
                <c:pt idx="1919">
                  <c:v>2023</c:v>
                </c:pt>
                <c:pt idx="1920">
                  <c:v>2023</c:v>
                </c:pt>
                <c:pt idx="1921">
                  <c:v>2023</c:v>
                </c:pt>
                <c:pt idx="1922">
                  <c:v>2023</c:v>
                </c:pt>
                <c:pt idx="1923">
                  <c:v>2023</c:v>
                </c:pt>
                <c:pt idx="1924">
                  <c:v>2023</c:v>
                </c:pt>
                <c:pt idx="1925">
                  <c:v>2023</c:v>
                </c:pt>
                <c:pt idx="1926">
                  <c:v>2023</c:v>
                </c:pt>
                <c:pt idx="1927">
                  <c:v>2023</c:v>
                </c:pt>
                <c:pt idx="1928">
                  <c:v>2023</c:v>
                </c:pt>
                <c:pt idx="1929">
                  <c:v>2023</c:v>
                </c:pt>
                <c:pt idx="1930">
                  <c:v>2023</c:v>
                </c:pt>
                <c:pt idx="1931">
                  <c:v>2023</c:v>
                </c:pt>
                <c:pt idx="1932">
                  <c:v>2023</c:v>
                </c:pt>
                <c:pt idx="1933">
                  <c:v>2023</c:v>
                </c:pt>
                <c:pt idx="1934">
                  <c:v>2023</c:v>
                </c:pt>
                <c:pt idx="1935">
                  <c:v>2023</c:v>
                </c:pt>
                <c:pt idx="1936">
                  <c:v>2023</c:v>
                </c:pt>
                <c:pt idx="1937">
                  <c:v>2023</c:v>
                </c:pt>
                <c:pt idx="1938">
                  <c:v>2023</c:v>
                </c:pt>
                <c:pt idx="1939">
                  <c:v>2023</c:v>
                </c:pt>
                <c:pt idx="1940">
                  <c:v>2023</c:v>
                </c:pt>
                <c:pt idx="1941">
                  <c:v>2023</c:v>
                </c:pt>
                <c:pt idx="1942">
                  <c:v>2023</c:v>
                </c:pt>
                <c:pt idx="1943">
                  <c:v>2023</c:v>
                </c:pt>
                <c:pt idx="1944">
                  <c:v>2023</c:v>
                </c:pt>
                <c:pt idx="1945">
                  <c:v>2023</c:v>
                </c:pt>
                <c:pt idx="1946">
                  <c:v>2023</c:v>
                </c:pt>
                <c:pt idx="1947">
                  <c:v>2023</c:v>
                </c:pt>
                <c:pt idx="1948">
                  <c:v>2023</c:v>
                </c:pt>
                <c:pt idx="1949">
                  <c:v>2023</c:v>
                </c:pt>
                <c:pt idx="1950">
                  <c:v>2023</c:v>
                </c:pt>
                <c:pt idx="1951">
                  <c:v>2023</c:v>
                </c:pt>
                <c:pt idx="1952">
                  <c:v>2023</c:v>
                </c:pt>
                <c:pt idx="1953">
                  <c:v>2023</c:v>
                </c:pt>
                <c:pt idx="1954">
                  <c:v>2023</c:v>
                </c:pt>
                <c:pt idx="1955">
                  <c:v>2023</c:v>
                </c:pt>
                <c:pt idx="1956">
                  <c:v>2023</c:v>
                </c:pt>
                <c:pt idx="1957">
                  <c:v>2023</c:v>
                </c:pt>
                <c:pt idx="1958">
                  <c:v>2023</c:v>
                </c:pt>
                <c:pt idx="1959">
                  <c:v>2023</c:v>
                </c:pt>
                <c:pt idx="1960">
                  <c:v>2023</c:v>
                </c:pt>
                <c:pt idx="1961">
                  <c:v>2023</c:v>
                </c:pt>
                <c:pt idx="1962">
                  <c:v>2023</c:v>
                </c:pt>
                <c:pt idx="1963">
                  <c:v>2023</c:v>
                </c:pt>
                <c:pt idx="1964">
                  <c:v>2023</c:v>
                </c:pt>
                <c:pt idx="1965">
                  <c:v>2023</c:v>
                </c:pt>
                <c:pt idx="1966">
                  <c:v>2023</c:v>
                </c:pt>
                <c:pt idx="1967">
                  <c:v>2023</c:v>
                </c:pt>
                <c:pt idx="1968">
                  <c:v>2023</c:v>
                </c:pt>
                <c:pt idx="1969">
                  <c:v>2023</c:v>
                </c:pt>
                <c:pt idx="1970">
                  <c:v>2023</c:v>
                </c:pt>
                <c:pt idx="1971">
                  <c:v>2023</c:v>
                </c:pt>
                <c:pt idx="1972">
                  <c:v>2023</c:v>
                </c:pt>
                <c:pt idx="1973">
                  <c:v>2023</c:v>
                </c:pt>
                <c:pt idx="1974">
                  <c:v>2023</c:v>
                </c:pt>
                <c:pt idx="1975">
                  <c:v>2023</c:v>
                </c:pt>
                <c:pt idx="1976">
                  <c:v>2023</c:v>
                </c:pt>
                <c:pt idx="1977">
                  <c:v>2023</c:v>
                </c:pt>
                <c:pt idx="1978">
                  <c:v>2023</c:v>
                </c:pt>
                <c:pt idx="1979">
                  <c:v>2023</c:v>
                </c:pt>
                <c:pt idx="1980">
                  <c:v>2023</c:v>
                </c:pt>
                <c:pt idx="1981">
                  <c:v>2023</c:v>
                </c:pt>
                <c:pt idx="1982">
                  <c:v>2023</c:v>
                </c:pt>
                <c:pt idx="1983">
                  <c:v>2023</c:v>
                </c:pt>
                <c:pt idx="1984">
                  <c:v>2023</c:v>
                </c:pt>
                <c:pt idx="1985">
                  <c:v>2023</c:v>
                </c:pt>
                <c:pt idx="1986">
                  <c:v>2023</c:v>
                </c:pt>
                <c:pt idx="1987">
                  <c:v>2023</c:v>
                </c:pt>
                <c:pt idx="1988">
                  <c:v>2023</c:v>
                </c:pt>
                <c:pt idx="1989">
                  <c:v>2023</c:v>
                </c:pt>
                <c:pt idx="1990">
                  <c:v>2023</c:v>
                </c:pt>
                <c:pt idx="1991">
                  <c:v>2023</c:v>
                </c:pt>
                <c:pt idx="1992">
                  <c:v>2023</c:v>
                </c:pt>
                <c:pt idx="1993">
                  <c:v>2023</c:v>
                </c:pt>
                <c:pt idx="1994">
                  <c:v>2023</c:v>
                </c:pt>
                <c:pt idx="1995">
                  <c:v>2023</c:v>
                </c:pt>
                <c:pt idx="1996">
                  <c:v>2023</c:v>
                </c:pt>
                <c:pt idx="1997">
                  <c:v>2024</c:v>
                </c:pt>
                <c:pt idx="1998">
                  <c:v>2024</c:v>
                </c:pt>
                <c:pt idx="1999">
                  <c:v>2024</c:v>
                </c:pt>
                <c:pt idx="2000">
                  <c:v>2024</c:v>
                </c:pt>
                <c:pt idx="2001">
                  <c:v>2024</c:v>
                </c:pt>
                <c:pt idx="2002">
                  <c:v>2024</c:v>
                </c:pt>
                <c:pt idx="2003">
                  <c:v>2024</c:v>
                </c:pt>
                <c:pt idx="2004">
                  <c:v>2024</c:v>
                </c:pt>
                <c:pt idx="2005">
                  <c:v>2024</c:v>
                </c:pt>
                <c:pt idx="2006">
                  <c:v>2024</c:v>
                </c:pt>
                <c:pt idx="2007">
                  <c:v>2024</c:v>
                </c:pt>
                <c:pt idx="2008">
                  <c:v>2024</c:v>
                </c:pt>
                <c:pt idx="2009">
                  <c:v>2024</c:v>
                </c:pt>
                <c:pt idx="2010">
                  <c:v>2024</c:v>
                </c:pt>
                <c:pt idx="2011">
                  <c:v>2024</c:v>
                </c:pt>
                <c:pt idx="2012">
                  <c:v>2024</c:v>
                </c:pt>
                <c:pt idx="2013">
                  <c:v>2024</c:v>
                </c:pt>
                <c:pt idx="2014">
                  <c:v>2024</c:v>
                </c:pt>
                <c:pt idx="2015">
                  <c:v>2024</c:v>
                </c:pt>
                <c:pt idx="2016">
                  <c:v>2024</c:v>
                </c:pt>
                <c:pt idx="2017">
                  <c:v>2024</c:v>
                </c:pt>
                <c:pt idx="2018">
                  <c:v>2024</c:v>
                </c:pt>
                <c:pt idx="2019">
                  <c:v>2024</c:v>
                </c:pt>
                <c:pt idx="2020">
                  <c:v>2024</c:v>
                </c:pt>
                <c:pt idx="2021">
                  <c:v>2024</c:v>
                </c:pt>
                <c:pt idx="2022">
                  <c:v>2024</c:v>
                </c:pt>
                <c:pt idx="2023">
                  <c:v>2024</c:v>
                </c:pt>
                <c:pt idx="2024">
                  <c:v>2024</c:v>
                </c:pt>
                <c:pt idx="2025">
                  <c:v>2024</c:v>
                </c:pt>
                <c:pt idx="2026">
                  <c:v>2024</c:v>
                </c:pt>
                <c:pt idx="2027">
                  <c:v>2024</c:v>
                </c:pt>
                <c:pt idx="2028">
                  <c:v>2024</c:v>
                </c:pt>
                <c:pt idx="2029">
                  <c:v>2024</c:v>
                </c:pt>
                <c:pt idx="2030">
                  <c:v>2024</c:v>
                </c:pt>
                <c:pt idx="2031">
                  <c:v>2024</c:v>
                </c:pt>
                <c:pt idx="2032">
                  <c:v>2024</c:v>
                </c:pt>
                <c:pt idx="2033">
                  <c:v>2024</c:v>
                </c:pt>
                <c:pt idx="2034">
                  <c:v>2024</c:v>
                </c:pt>
                <c:pt idx="2035">
                  <c:v>2024</c:v>
                </c:pt>
                <c:pt idx="2036">
                  <c:v>2024</c:v>
                </c:pt>
                <c:pt idx="2037">
                  <c:v>2024</c:v>
                </c:pt>
                <c:pt idx="2038">
                  <c:v>2024</c:v>
                </c:pt>
                <c:pt idx="2039">
                  <c:v>2024</c:v>
                </c:pt>
                <c:pt idx="2040">
                  <c:v>2024</c:v>
                </c:pt>
                <c:pt idx="2041">
                  <c:v>2024</c:v>
                </c:pt>
                <c:pt idx="2042">
                  <c:v>2024</c:v>
                </c:pt>
                <c:pt idx="2043">
                  <c:v>2024</c:v>
                </c:pt>
                <c:pt idx="2044">
                  <c:v>2024</c:v>
                </c:pt>
                <c:pt idx="2045">
                  <c:v>2024</c:v>
                </c:pt>
                <c:pt idx="2046">
                  <c:v>2024</c:v>
                </c:pt>
                <c:pt idx="2047">
                  <c:v>2024</c:v>
                </c:pt>
                <c:pt idx="2048">
                  <c:v>2024</c:v>
                </c:pt>
                <c:pt idx="2049">
                  <c:v>2024</c:v>
                </c:pt>
                <c:pt idx="2050">
                  <c:v>2024</c:v>
                </c:pt>
                <c:pt idx="2051">
                  <c:v>2024</c:v>
                </c:pt>
                <c:pt idx="2052">
                  <c:v>2024</c:v>
                </c:pt>
                <c:pt idx="2053">
                  <c:v>2024</c:v>
                </c:pt>
                <c:pt idx="2054">
                  <c:v>2024</c:v>
                </c:pt>
                <c:pt idx="2055">
                  <c:v>2024</c:v>
                </c:pt>
                <c:pt idx="2056">
                  <c:v>2024</c:v>
                </c:pt>
                <c:pt idx="2057">
                  <c:v>2024</c:v>
                </c:pt>
                <c:pt idx="2058">
                  <c:v>2024</c:v>
                </c:pt>
                <c:pt idx="2059">
                  <c:v>2024</c:v>
                </c:pt>
                <c:pt idx="2060">
                  <c:v>2024</c:v>
                </c:pt>
                <c:pt idx="2061">
                  <c:v>2024</c:v>
                </c:pt>
                <c:pt idx="2062">
                  <c:v>2024</c:v>
                </c:pt>
                <c:pt idx="2063">
                  <c:v>2024</c:v>
                </c:pt>
                <c:pt idx="2064">
                  <c:v>2024</c:v>
                </c:pt>
                <c:pt idx="2065">
                  <c:v>2024</c:v>
                </c:pt>
                <c:pt idx="2066">
                  <c:v>2024</c:v>
                </c:pt>
                <c:pt idx="2067">
                  <c:v>2024</c:v>
                </c:pt>
                <c:pt idx="2068">
                  <c:v>2024</c:v>
                </c:pt>
                <c:pt idx="2069">
                  <c:v>2024</c:v>
                </c:pt>
                <c:pt idx="2070">
                  <c:v>2024</c:v>
                </c:pt>
                <c:pt idx="2071">
                  <c:v>2024</c:v>
                </c:pt>
                <c:pt idx="2072">
                  <c:v>2024</c:v>
                </c:pt>
                <c:pt idx="2073">
                  <c:v>2024</c:v>
                </c:pt>
                <c:pt idx="2074">
                  <c:v>2024</c:v>
                </c:pt>
                <c:pt idx="2075">
                  <c:v>2024</c:v>
                </c:pt>
                <c:pt idx="2076">
                  <c:v>2024</c:v>
                </c:pt>
                <c:pt idx="2077">
                  <c:v>2024</c:v>
                </c:pt>
                <c:pt idx="2078">
                  <c:v>2024</c:v>
                </c:pt>
                <c:pt idx="2079">
                  <c:v>2024</c:v>
                </c:pt>
                <c:pt idx="2080">
                  <c:v>2024</c:v>
                </c:pt>
                <c:pt idx="2081">
                  <c:v>2024</c:v>
                </c:pt>
                <c:pt idx="2082">
                  <c:v>2024</c:v>
                </c:pt>
                <c:pt idx="2083">
                  <c:v>2024</c:v>
                </c:pt>
                <c:pt idx="2084">
                  <c:v>2024</c:v>
                </c:pt>
                <c:pt idx="2085">
                  <c:v>2024</c:v>
                </c:pt>
                <c:pt idx="2086">
                  <c:v>2024</c:v>
                </c:pt>
                <c:pt idx="2087">
                  <c:v>2024</c:v>
                </c:pt>
                <c:pt idx="2088">
                  <c:v>2024</c:v>
                </c:pt>
                <c:pt idx="2089">
                  <c:v>2024</c:v>
                </c:pt>
                <c:pt idx="2090">
                  <c:v>2024</c:v>
                </c:pt>
                <c:pt idx="2091">
                  <c:v>2024</c:v>
                </c:pt>
                <c:pt idx="2092">
                  <c:v>2024</c:v>
                </c:pt>
                <c:pt idx="2093">
                  <c:v>2024</c:v>
                </c:pt>
                <c:pt idx="2094">
                  <c:v>2024</c:v>
                </c:pt>
                <c:pt idx="2095">
                  <c:v>2024</c:v>
                </c:pt>
                <c:pt idx="2096">
                  <c:v>2024</c:v>
                </c:pt>
                <c:pt idx="2097">
                  <c:v>2024</c:v>
                </c:pt>
                <c:pt idx="2098">
                  <c:v>2024</c:v>
                </c:pt>
                <c:pt idx="2099">
                  <c:v>2024</c:v>
                </c:pt>
                <c:pt idx="2100">
                  <c:v>2024</c:v>
                </c:pt>
                <c:pt idx="2101">
                  <c:v>2024</c:v>
                </c:pt>
                <c:pt idx="2102">
                  <c:v>2024</c:v>
                </c:pt>
                <c:pt idx="2103">
                  <c:v>2024</c:v>
                </c:pt>
                <c:pt idx="2104">
                  <c:v>2024</c:v>
                </c:pt>
                <c:pt idx="2105">
                  <c:v>2024</c:v>
                </c:pt>
                <c:pt idx="2106">
                  <c:v>2024</c:v>
                </c:pt>
                <c:pt idx="2107">
                  <c:v>2024</c:v>
                </c:pt>
                <c:pt idx="2108">
                  <c:v>2024</c:v>
                </c:pt>
                <c:pt idx="2109">
                  <c:v>2024</c:v>
                </c:pt>
                <c:pt idx="2110">
                  <c:v>2024</c:v>
                </c:pt>
                <c:pt idx="2111">
                  <c:v>2024</c:v>
                </c:pt>
                <c:pt idx="2112">
                  <c:v>2024</c:v>
                </c:pt>
                <c:pt idx="2113">
                  <c:v>2024</c:v>
                </c:pt>
                <c:pt idx="2114">
                  <c:v>2024</c:v>
                </c:pt>
                <c:pt idx="2115">
                  <c:v>2024</c:v>
                </c:pt>
                <c:pt idx="2116">
                  <c:v>2024</c:v>
                </c:pt>
                <c:pt idx="2117">
                  <c:v>2024</c:v>
                </c:pt>
                <c:pt idx="2118">
                  <c:v>2024</c:v>
                </c:pt>
                <c:pt idx="2119">
                  <c:v>2024</c:v>
                </c:pt>
                <c:pt idx="2120">
                  <c:v>2024</c:v>
                </c:pt>
                <c:pt idx="2121">
                  <c:v>2024</c:v>
                </c:pt>
                <c:pt idx="2122">
                  <c:v>2024</c:v>
                </c:pt>
                <c:pt idx="2123">
                  <c:v>2024</c:v>
                </c:pt>
                <c:pt idx="2124">
                  <c:v>2024</c:v>
                </c:pt>
                <c:pt idx="2125">
                  <c:v>2024</c:v>
                </c:pt>
                <c:pt idx="2126">
                  <c:v>2024</c:v>
                </c:pt>
                <c:pt idx="2127">
                  <c:v>2024</c:v>
                </c:pt>
                <c:pt idx="2128">
                  <c:v>2024</c:v>
                </c:pt>
                <c:pt idx="2129">
                  <c:v>2024</c:v>
                </c:pt>
                <c:pt idx="2130">
                  <c:v>2024</c:v>
                </c:pt>
                <c:pt idx="2131">
                  <c:v>2024</c:v>
                </c:pt>
                <c:pt idx="2132">
                  <c:v>2024</c:v>
                </c:pt>
                <c:pt idx="2133">
                  <c:v>2024</c:v>
                </c:pt>
                <c:pt idx="2134">
                  <c:v>2024</c:v>
                </c:pt>
                <c:pt idx="2135">
                  <c:v>2024</c:v>
                </c:pt>
                <c:pt idx="2136">
                  <c:v>2024</c:v>
                </c:pt>
                <c:pt idx="2137">
                  <c:v>2024</c:v>
                </c:pt>
                <c:pt idx="2138">
                  <c:v>2024</c:v>
                </c:pt>
                <c:pt idx="2139">
                  <c:v>2024</c:v>
                </c:pt>
                <c:pt idx="2140">
                  <c:v>2024</c:v>
                </c:pt>
                <c:pt idx="2141">
                  <c:v>2024</c:v>
                </c:pt>
                <c:pt idx="2142">
                  <c:v>2024</c:v>
                </c:pt>
                <c:pt idx="2143">
                  <c:v>2024</c:v>
                </c:pt>
                <c:pt idx="2144">
                  <c:v>2024</c:v>
                </c:pt>
                <c:pt idx="2145">
                  <c:v>2024</c:v>
                </c:pt>
                <c:pt idx="2146">
                  <c:v>2024</c:v>
                </c:pt>
                <c:pt idx="2147">
                  <c:v>2024</c:v>
                </c:pt>
                <c:pt idx="2148">
                  <c:v>2024</c:v>
                </c:pt>
                <c:pt idx="2149">
                  <c:v>2024</c:v>
                </c:pt>
                <c:pt idx="2150">
                  <c:v>2024</c:v>
                </c:pt>
                <c:pt idx="2151">
                  <c:v>2024</c:v>
                </c:pt>
                <c:pt idx="2152">
                  <c:v>2024</c:v>
                </c:pt>
                <c:pt idx="2153">
                  <c:v>2024</c:v>
                </c:pt>
                <c:pt idx="2154">
                  <c:v>2024</c:v>
                </c:pt>
                <c:pt idx="2155">
                  <c:v>2024</c:v>
                </c:pt>
                <c:pt idx="2156">
                  <c:v>2024</c:v>
                </c:pt>
                <c:pt idx="2157">
                  <c:v>2024</c:v>
                </c:pt>
                <c:pt idx="2158">
                  <c:v>2024</c:v>
                </c:pt>
                <c:pt idx="2159">
                  <c:v>2024</c:v>
                </c:pt>
                <c:pt idx="2160">
                  <c:v>2024</c:v>
                </c:pt>
                <c:pt idx="2161">
                  <c:v>2024</c:v>
                </c:pt>
                <c:pt idx="2162">
                  <c:v>2024</c:v>
                </c:pt>
                <c:pt idx="2163">
                  <c:v>2024</c:v>
                </c:pt>
                <c:pt idx="2164">
                  <c:v>2024</c:v>
                </c:pt>
                <c:pt idx="2165">
                  <c:v>2024</c:v>
                </c:pt>
                <c:pt idx="2166">
                  <c:v>2024</c:v>
                </c:pt>
                <c:pt idx="2167">
                  <c:v>2024</c:v>
                </c:pt>
                <c:pt idx="2168">
                  <c:v>2024</c:v>
                </c:pt>
                <c:pt idx="2169">
                  <c:v>2024</c:v>
                </c:pt>
                <c:pt idx="2170">
                  <c:v>2024</c:v>
                </c:pt>
                <c:pt idx="2171">
                  <c:v>2024</c:v>
                </c:pt>
                <c:pt idx="2172">
                  <c:v>2024</c:v>
                </c:pt>
                <c:pt idx="2173">
                  <c:v>2024</c:v>
                </c:pt>
                <c:pt idx="2174">
                  <c:v>2024</c:v>
                </c:pt>
                <c:pt idx="2175">
                  <c:v>2024</c:v>
                </c:pt>
                <c:pt idx="2176">
                  <c:v>2024</c:v>
                </c:pt>
                <c:pt idx="2177">
                  <c:v>2024</c:v>
                </c:pt>
                <c:pt idx="2178">
                  <c:v>2024</c:v>
                </c:pt>
                <c:pt idx="2179">
                  <c:v>2024</c:v>
                </c:pt>
                <c:pt idx="2180">
                  <c:v>2024</c:v>
                </c:pt>
                <c:pt idx="2181">
                  <c:v>2024</c:v>
                </c:pt>
                <c:pt idx="2182">
                  <c:v>2024</c:v>
                </c:pt>
                <c:pt idx="2183">
                  <c:v>2024</c:v>
                </c:pt>
                <c:pt idx="2184">
                  <c:v>2024</c:v>
                </c:pt>
                <c:pt idx="2185">
                  <c:v>2024</c:v>
                </c:pt>
                <c:pt idx="2186">
                  <c:v>2024</c:v>
                </c:pt>
                <c:pt idx="2187">
                  <c:v>2024</c:v>
                </c:pt>
                <c:pt idx="2188">
                  <c:v>2024</c:v>
                </c:pt>
                <c:pt idx="2189">
                  <c:v>2024</c:v>
                </c:pt>
                <c:pt idx="2190">
                  <c:v>2024</c:v>
                </c:pt>
                <c:pt idx="2191">
                  <c:v>2024</c:v>
                </c:pt>
                <c:pt idx="2192">
                  <c:v>2024</c:v>
                </c:pt>
                <c:pt idx="2193">
                  <c:v>2024</c:v>
                </c:pt>
                <c:pt idx="2194">
                  <c:v>2024</c:v>
                </c:pt>
                <c:pt idx="2195">
                  <c:v>2024</c:v>
                </c:pt>
                <c:pt idx="2196">
                  <c:v>2024</c:v>
                </c:pt>
                <c:pt idx="2197">
                  <c:v>2024</c:v>
                </c:pt>
                <c:pt idx="2198">
                  <c:v>2024</c:v>
                </c:pt>
                <c:pt idx="2199">
                  <c:v>2024</c:v>
                </c:pt>
                <c:pt idx="2200">
                  <c:v>2024</c:v>
                </c:pt>
                <c:pt idx="2201">
                  <c:v>2024</c:v>
                </c:pt>
                <c:pt idx="2202">
                  <c:v>2024</c:v>
                </c:pt>
                <c:pt idx="2203">
                  <c:v>2024</c:v>
                </c:pt>
                <c:pt idx="2204">
                  <c:v>2024</c:v>
                </c:pt>
                <c:pt idx="2205">
                  <c:v>2024</c:v>
                </c:pt>
                <c:pt idx="2206">
                  <c:v>2024</c:v>
                </c:pt>
                <c:pt idx="2207">
                  <c:v>2024</c:v>
                </c:pt>
                <c:pt idx="2208">
                  <c:v>2024</c:v>
                </c:pt>
                <c:pt idx="2209">
                  <c:v>2024</c:v>
                </c:pt>
                <c:pt idx="2210">
                  <c:v>2024</c:v>
                </c:pt>
                <c:pt idx="2211">
                  <c:v>2024</c:v>
                </c:pt>
                <c:pt idx="2212">
                  <c:v>2024</c:v>
                </c:pt>
                <c:pt idx="2213">
                  <c:v>2024</c:v>
                </c:pt>
                <c:pt idx="2214">
                  <c:v>2024</c:v>
                </c:pt>
                <c:pt idx="2215">
                  <c:v>2024</c:v>
                </c:pt>
                <c:pt idx="2216">
                  <c:v>2024</c:v>
                </c:pt>
                <c:pt idx="2217">
                  <c:v>2024</c:v>
                </c:pt>
                <c:pt idx="2218">
                  <c:v>2024</c:v>
                </c:pt>
                <c:pt idx="2219">
                  <c:v>2024</c:v>
                </c:pt>
                <c:pt idx="2220">
                  <c:v>2024</c:v>
                </c:pt>
                <c:pt idx="2221">
                  <c:v>2024</c:v>
                </c:pt>
                <c:pt idx="2222">
                  <c:v>2024</c:v>
                </c:pt>
                <c:pt idx="2223">
                  <c:v>2024</c:v>
                </c:pt>
                <c:pt idx="2224">
                  <c:v>2024</c:v>
                </c:pt>
                <c:pt idx="2225">
                  <c:v>2024</c:v>
                </c:pt>
                <c:pt idx="2226">
                  <c:v>2024</c:v>
                </c:pt>
                <c:pt idx="2227">
                  <c:v>2024</c:v>
                </c:pt>
                <c:pt idx="2228">
                  <c:v>2024</c:v>
                </c:pt>
                <c:pt idx="2229">
                  <c:v>2024</c:v>
                </c:pt>
                <c:pt idx="2230">
                  <c:v>2024</c:v>
                </c:pt>
                <c:pt idx="2231">
                  <c:v>2024</c:v>
                </c:pt>
                <c:pt idx="2232">
                  <c:v>2024</c:v>
                </c:pt>
                <c:pt idx="2233">
                  <c:v>2024</c:v>
                </c:pt>
                <c:pt idx="2234">
                  <c:v>2024</c:v>
                </c:pt>
                <c:pt idx="2235">
                  <c:v>2024</c:v>
                </c:pt>
                <c:pt idx="2236">
                  <c:v>2024</c:v>
                </c:pt>
                <c:pt idx="2237">
                  <c:v>2024</c:v>
                </c:pt>
                <c:pt idx="2238">
                  <c:v>2024</c:v>
                </c:pt>
                <c:pt idx="2239">
                  <c:v>2024</c:v>
                </c:pt>
                <c:pt idx="2240">
                  <c:v>2024</c:v>
                </c:pt>
                <c:pt idx="2241">
                  <c:v>2024</c:v>
                </c:pt>
                <c:pt idx="2242">
                  <c:v>2024</c:v>
                </c:pt>
                <c:pt idx="2243">
                  <c:v>2024</c:v>
                </c:pt>
                <c:pt idx="2244">
                  <c:v>2024</c:v>
                </c:pt>
                <c:pt idx="2245">
                  <c:v>2024</c:v>
                </c:pt>
                <c:pt idx="2246">
                  <c:v>2024</c:v>
                </c:pt>
                <c:pt idx="2247">
                  <c:v>2025</c:v>
                </c:pt>
                <c:pt idx="2248">
                  <c:v>2025</c:v>
                </c:pt>
                <c:pt idx="2249">
                  <c:v>2025</c:v>
                </c:pt>
                <c:pt idx="2250">
                  <c:v>2025</c:v>
                </c:pt>
                <c:pt idx="2251">
                  <c:v>2025</c:v>
                </c:pt>
                <c:pt idx="2252">
                  <c:v>2025</c:v>
                </c:pt>
                <c:pt idx="2253">
                  <c:v>2025</c:v>
                </c:pt>
                <c:pt idx="2254">
                  <c:v>2025</c:v>
                </c:pt>
                <c:pt idx="2255">
                  <c:v>2025</c:v>
                </c:pt>
                <c:pt idx="2256">
                  <c:v>2025</c:v>
                </c:pt>
                <c:pt idx="2257">
                  <c:v>2025</c:v>
                </c:pt>
                <c:pt idx="2258">
                  <c:v>2025</c:v>
                </c:pt>
                <c:pt idx="2259">
                  <c:v>2025</c:v>
                </c:pt>
                <c:pt idx="2260">
                  <c:v>2025</c:v>
                </c:pt>
                <c:pt idx="2261">
                  <c:v>2025</c:v>
                </c:pt>
                <c:pt idx="2262">
                  <c:v>2025</c:v>
                </c:pt>
                <c:pt idx="2263">
                  <c:v>2025</c:v>
                </c:pt>
                <c:pt idx="2264">
                  <c:v>2025</c:v>
                </c:pt>
                <c:pt idx="2265">
                  <c:v>2025</c:v>
                </c:pt>
                <c:pt idx="2266">
                  <c:v>2025</c:v>
                </c:pt>
                <c:pt idx="2267">
                  <c:v>2025</c:v>
                </c:pt>
                <c:pt idx="2268">
                  <c:v>2025</c:v>
                </c:pt>
                <c:pt idx="2269">
                  <c:v>2025</c:v>
                </c:pt>
                <c:pt idx="2270">
                  <c:v>2025</c:v>
                </c:pt>
                <c:pt idx="2271">
                  <c:v>2025</c:v>
                </c:pt>
                <c:pt idx="2272">
                  <c:v>2025</c:v>
                </c:pt>
                <c:pt idx="2273">
                  <c:v>2025</c:v>
                </c:pt>
                <c:pt idx="2274">
                  <c:v>2025</c:v>
                </c:pt>
                <c:pt idx="2275">
                  <c:v>2025</c:v>
                </c:pt>
                <c:pt idx="2276">
                  <c:v>2025</c:v>
                </c:pt>
                <c:pt idx="2277">
                  <c:v>2025</c:v>
                </c:pt>
                <c:pt idx="2278">
                  <c:v>2025</c:v>
                </c:pt>
                <c:pt idx="2279">
                  <c:v>2025</c:v>
                </c:pt>
                <c:pt idx="2280">
                  <c:v>2025</c:v>
                </c:pt>
                <c:pt idx="2281">
                  <c:v>2025</c:v>
                </c:pt>
                <c:pt idx="2282">
                  <c:v>2025</c:v>
                </c:pt>
                <c:pt idx="2283">
                  <c:v>2025</c:v>
                </c:pt>
                <c:pt idx="2284">
                  <c:v>2025</c:v>
                </c:pt>
                <c:pt idx="2285">
                  <c:v>2025</c:v>
                </c:pt>
                <c:pt idx="2286">
                  <c:v>2025</c:v>
                </c:pt>
                <c:pt idx="2287">
                  <c:v>2025</c:v>
                </c:pt>
                <c:pt idx="2288">
                  <c:v>2025</c:v>
                </c:pt>
                <c:pt idx="2289">
                  <c:v>2025</c:v>
                </c:pt>
                <c:pt idx="2290">
                  <c:v>2025</c:v>
                </c:pt>
                <c:pt idx="2291">
                  <c:v>2025</c:v>
                </c:pt>
                <c:pt idx="2292">
                  <c:v>2025</c:v>
                </c:pt>
                <c:pt idx="2293">
                  <c:v>2025</c:v>
                </c:pt>
                <c:pt idx="2294">
                  <c:v>2025</c:v>
                </c:pt>
                <c:pt idx="2295">
                  <c:v>2025</c:v>
                </c:pt>
                <c:pt idx="2296">
                  <c:v>2025</c:v>
                </c:pt>
                <c:pt idx="2297">
                  <c:v>2025</c:v>
                </c:pt>
                <c:pt idx="2298">
                  <c:v>2025</c:v>
                </c:pt>
                <c:pt idx="2299">
                  <c:v>2025</c:v>
                </c:pt>
                <c:pt idx="2300">
                  <c:v>2025</c:v>
                </c:pt>
                <c:pt idx="2301">
                  <c:v>2025</c:v>
                </c:pt>
                <c:pt idx="2302">
                  <c:v>2025</c:v>
                </c:pt>
                <c:pt idx="2303">
                  <c:v>2025</c:v>
                </c:pt>
                <c:pt idx="2304">
                  <c:v>2025</c:v>
                </c:pt>
                <c:pt idx="2305">
                  <c:v>2025</c:v>
                </c:pt>
                <c:pt idx="2306">
                  <c:v>2025</c:v>
                </c:pt>
                <c:pt idx="2307">
                  <c:v>2025</c:v>
                </c:pt>
                <c:pt idx="2308">
                  <c:v>2025</c:v>
                </c:pt>
                <c:pt idx="2309">
                  <c:v>2025</c:v>
                </c:pt>
                <c:pt idx="2310">
                  <c:v>2025</c:v>
                </c:pt>
                <c:pt idx="2311">
                  <c:v>2025</c:v>
                </c:pt>
                <c:pt idx="2312">
                  <c:v>2025</c:v>
                </c:pt>
                <c:pt idx="2313">
                  <c:v>2025</c:v>
                </c:pt>
                <c:pt idx="2314">
                  <c:v>2025</c:v>
                </c:pt>
                <c:pt idx="2315">
                  <c:v>2025</c:v>
                </c:pt>
                <c:pt idx="2316">
                  <c:v>2025</c:v>
                </c:pt>
                <c:pt idx="2317">
                  <c:v>2025</c:v>
                </c:pt>
                <c:pt idx="2318">
                  <c:v>2025</c:v>
                </c:pt>
                <c:pt idx="2319">
                  <c:v>2025</c:v>
                </c:pt>
                <c:pt idx="2320">
                  <c:v>2025</c:v>
                </c:pt>
                <c:pt idx="2321">
                  <c:v>2025</c:v>
                </c:pt>
                <c:pt idx="2322">
                  <c:v>2025</c:v>
                </c:pt>
                <c:pt idx="2323">
                  <c:v>2025</c:v>
                </c:pt>
                <c:pt idx="2324">
                  <c:v>2025</c:v>
                </c:pt>
                <c:pt idx="2325">
                  <c:v>2025</c:v>
                </c:pt>
                <c:pt idx="2326">
                  <c:v>2025</c:v>
                </c:pt>
                <c:pt idx="2327">
                  <c:v>2025</c:v>
                </c:pt>
                <c:pt idx="2328">
                  <c:v>2025</c:v>
                </c:pt>
                <c:pt idx="2329">
                  <c:v>2025</c:v>
                </c:pt>
                <c:pt idx="2330">
                  <c:v>2025</c:v>
                </c:pt>
                <c:pt idx="2331">
                  <c:v>2025</c:v>
                </c:pt>
                <c:pt idx="2332">
                  <c:v>2025</c:v>
                </c:pt>
                <c:pt idx="2333">
                  <c:v>2025</c:v>
                </c:pt>
                <c:pt idx="2334">
                  <c:v>2025</c:v>
                </c:pt>
                <c:pt idx="2335">
                  <c:v>2025</c:v>
                </c:pt>
                <c:pt idx="2336">
                  <c:v>2025</c:v>
                </c:pt>
                <c:pt idx="2337">
                  <c:v>2025</c:v>
                </c:pt>
                <c:pt idx="2338">
                  <c:v>2025</c:v>
                </c:pt>
                <c:pt idx="2339">
                  <c:v>2025</c:v>
                </c:pt>
                <c:pt idx="2340">
                  <c:v>2025</c:v>
                </c:pt>
                <c:pt idx="2341">
                  <c:v>2025</c:v>
                </c:pt>
                <c:pt idx="2342">
                  <c:v>2025</c:v>
                </c:pt>
                <c:pt idx="2343">
                  <c:v>2025</c:v>
                </c:pt>
                <c:pt idx="2344">
                  <c:v>2025</c:v>
                </c:pt>
                <c:pt idx="2345">
                  <c:v>2025</c:v>
                </c:pt>
                <c:pt idx="2346">
                  <c:v>2025</c:v>
                </c:pt>
                <c:pt idx="2347">
                  <c:v>2025</c:v>
                </c:pt>
                <c:pt idx="2348">
                  <c:v>2025</c:v>
                </c:pt>
                <c:pt idx="2349">
                  <c:v>2025</c:v>
                </c:pt>
                <c:pt idx="2350">
                  <c:v>2025</c:v>
                </c:pt>
                <c:pt idx="2351">
                  <c:v>2025</c:v>
                </c:pt>
                <c:pt idx="2352">
                  <c:v>2025</c:v>
                </c:pt>
                <c:pt idx="2353">
                  <c:v>2025</c:v>
                </c:pt>
                <c:pt idx="2354">
                  <c:v>2025</c:v>
                </c:pt>
                <c:pt idx="2355">
                  <c:v>2025</c:v>
                </c:pt>
                <c:pt idx="2356">
                  <c:v>2025</c:v>
                </c:pt>
                <c:pt idx="2357">
                  <c:v>2025</c:v>
                </c:pt>
                <c:pt idx="2358">
                  <c:v>2025</c:v>
                </c:pt>
                <c:pt idx="2359">
                  <c:v>2025</c:v>
                </c:pt>
                <c:pt idx="2360">
                  <c:v>2025</c:v>
                </c:pt>
                <c:pt idx="2361">
                  <c:v>2025</c:v>
                </c:pt>
                <c:pt idx="2362">
                  <c:v>2025</c:v>
                </c:pt>
                <c:pt idx="2363">
                  <c:v>2025</c:v>
                </c:pt>
                <c:pt idx="2364">
                  <c:v>2025</c:v>
                </c:pt>
                <c:pt idx="2365">
                  <c:v>2025</c:v>
                </c:pt>
                <c:pt idx="2366">
                  <c:v>2025</c:v>
                </c:pt>
                <c:pt idx="2367">
                  <c:v>2025</c:v>
                </c:pt>
                <c:pt idx="2368">
                  <c:v>2025</c:v>
                </c:pt>
                <c:pt idx="2369">
                  <c:v>2025</c:v>
                </c:pt>
                <c:pt idx="2370">
                  <c:v>2025</c:v>
                </c:pt>
                <c:pt idx="2371">
                  <c:v>2025</c:v>
                </c:pt>
                <c:pt idx="2372">
                  <c:v>2025</c:v>
                </c:pt>
                <c:pt idx="2373">
                  <c:v>2025</c:v>
                </c:pt>
                <c:pt idx="2374">
                  <c:v>2025</c:v>
                </c:pt>
                <c:pt idx="2375">
                  <c:v>2025</c:v>
                </c:pt>
                <c:pt idx="2376">
                  <c:v>2025</c:v>
                </c:pt>
                <c:pt idx="2377">
                  <c:v>2025</c:v>
                </c:pt>
                <c:pt idx="2378">
                  <c:v>2025</c:v>
                </c:pt>
                <c:pt idx="2379">
                  <c:v>2025</c:v>
                </c:pt>
                <c:pt idx="2380">
                  <c:v>2025</c:v>
                </c:pt>
                <c:pt idx="2381">
                  <c:v>2025</c:v>
                </c:pt>
                <c:pt idx="2382">
                  <c:v>2025</c:v>
                </c:pt>
                <c:pt idx="2383">
                  <c:v>2025</c:v>
                </c:pt>
                <c:pt idx="2384">
                  <c:v>2025</c:v>
                </c:pt>
                <c:pt idx="2385">
                  <c:v>2025</c:v>
                </c:pt>
                <c:pt idx="2386">
                  <c:v>2025</c:v>
                </c:pt>
                <c:pt idx="2387">
                  <c:v>2025</c:v>
                </c:pt>
                <c:pt idx="2388">
                  <c:v>2025</c:v>
                </c:pt>
                <c:pt idx="2389">
                  <c:v>2025</c:v>
                </c:pt>
                <c:pt idx="2390">
                  <c:v>2025</c:v>
                </c:pt>
                <c:pt idx="2391">
                  <c:v>2025</c:v>
                </c:pt>
                <c:pt idx="2392">
                  <c:v>2025</c:v>
                </c:pt>
                <c:pt idx="2393">
                  <c:v>2025</c:v>
                </c:pt>
                <c:pt idx="2394">
                  <c:v>2025</c:v>
                </c:pt>
                <c:pt idx="2395">
                  <c:v>2025</c:v>
                </c:pt>
                <c:pt idx="2396">
                  <c:v>2025</c:v>
                </c:pt>
                <c:pt idx="2397">
                  <c:v>2025</c:v>
                </c:pt>
                <c:pt idx="2398">
                  <c:v>2025</c:v>
                </c:pt>
                <c:pt idx="2399">
                  <c:v>2025</c:v>
                </c:pt>
                <c:pt idx="2400">
                  <c:v>2025</c:v>
                </c:pt>
                <c:pt idx="2401">
                  <c:v>2025</c:v>
                </c:pt>
                <c:pt idx="2402">
                  <c:v>2025</c:v>
                </c:pt>
                <c:pt idx="2403">
                  <c:v>2025</c:v>
                </c:pt>
                <c:pt idx="2404">
                  <c:v>2025</c:v>
                </c:pt>
                <c:pt idx="2405">
                  <c:v>2025</c:v>
                </c:pt>
                <c:pt idx="2406">
                  <c:v>2025</c:v>
                </c:pt>
                <c:pt idx="2407">
                  <c:v>2025</c:v>
                </c:pt>
                <c:pt idx="2408">
                  <c:v>2025</c:v>
                </c:pt>
                <c:pt idx="2409">
                  <c:v>2025</c:v>
                </c:pt>
                <c:pt idx="2410">
                  <c:v>2025</c:v>
                </c:pt>
                <c:pt idx="2411">
                  <c:v>2025</c:v>
                </c:pt>
                <c:pt idx="2412">
                  <c:v>2025</c:v>
                </c:pt>
                <c:pt idx="2413">
                  <c:v>2025</c:v>
                </c:pt>
                <c:pt idx="2414">
                  <c:v>2025</c:v>
                </c:pt>
                <c:pt idx="2415">
                  <c:v>2025</c:v>
                </c:pt>
                <c:pt idx="2416">
                  <c:v>2025</c:v>
                </c:pt>
                <c:pt idx="2417">
                  <c:v>2025</c:v>
                </c:pt>
                <c:pt idx="2418">
                  <c:v>2025</c:v>
                </c:pt>
                <c:pt idx="2419">
                  <c:v>2025</c:v>
                </c:pt>
                <c:pt idx="2420">
                  <c:v>2025</c:v>
                </c:pt>
                <c:pt idx="2421">
                  <c:v>2025</c:v>
                </c:pt>
                <c:pt idx="2422">
                  <c:v>2025</c:v>
                </c:pt>
                <c:pt idx="2423">
                  <c:v>2025</c:v>
                </c:pt>
                <c:pt idx="2424">
                  <c:v>2025</c:v>
                </c:pt>
                <c:pt idx="2425">
                  <c:v>2025</c:v>
                </c:pt>
                <c:pt idx="2426">
                  <c:v>2025</c:v>
                </c:pt>
                <c:pt idx="2427">
                  <c:v>2025</c:v>
                </c:pt>
                <c:pt idx="2428">
                  <c:v>2025</c:v>
                </c:pt>
                <c:pt idx="2429">
                  <c:v>2025</c:v>
                </c:pt>
                <c:pt idx="2430">
                  <c:v>2025</c:v>
                </c:pt>
                <c:pt idx="2431">
                  <c:v>2025</c:v>
                </c:pt>
                <c:pt idx="2432">
                  <c:v>2025</c:v>
                </c:pt>
                <c:pt idx="2433">
                  <c:v>2025</c:v>
                </c:pt>
                <c:pt idx="2434">
                  <c:v>2025</c:v>
                </c:pt>
                <c:pt idx="2435">
                  <c:v>2025</c:v>
                </c:pt>
                <c:pt idx="2436">
                  <c:v>2025</c:v>
                </c:pt>
                <c:pt idx="2437">
                  <c:v>2025</c:v>
                </c:pt>
                <c:pt idx="2438">
                  <c:v>2025</c:v>
                </c:pt>
                <c:pt idx="2439">
                  <c:v>2025</c:v>
                </c:pt>
                <c:pt idx="2440">
                  <c:v>2025</c:v>
                </c:pt>
                <c:pt idx="2441">
                  <c:v>2025</c:v>
                </c:pt>
                <c:pt idx="2442">
                  <c:v>2025</c:v>
                </c:pt>
                <c:pt idx="2443">
                  <c:v>2025</c:v>
                </c:pt>
                <c:pt idx="2444">
                  <c:v>2025</c:v>
                </c:pt>
                <c:pt idx="2445">
                  <c:v>2025</c:v>
                </c:pt>
                <c:pt idx="2446">
                  <c:v>2025</c:v>
                </c:pt>
                <c:pt idx="2447">
                  <c:v>2025</c:v>
                </c:pt>
                <c:pt idx="2448">
                  <c:v>2025</c:v>
                </c:pt>
                <c:pt idx="2449">
                  <c:v>2025</c:v>
                </c:pt>
                <c:pt idx="2450">
                  <c:v>2025</c:v>
                </c:pt>
                <c:pt idx="2451">
                  <c:v>2025</c:v>
                </c:pt>
                <c:pt idx="2452">
                  <c:v>2025</c:v>
                </c:pt>
                <c:pt idx="2453">
                  <c:v>2025</c:v>
                </c:pt>
                <c:pt idx="2454">
                  <c:v>2025</c:v>
                </c:pt>
                <c:pt idx="2455">
                  <c:v>2025</c:v>
                </c:pt>
                <c:pt idx="2456">
                  <c:v>2025</c:v>
                </c:pt>
                <c:pt idx="2457">
                  <c:v>2025</c:v>
                </c:pt>
                <c:pt idx="2458">
                  <c:v>2025</c:v>
                </c:pt>
                <c:pt idx="2459">
                  <c:v>2025</c:v>
                </c:pt>
                <c:pt idx="2460">
                  <c:v>2025</c:v>
                </c:pt>
                <c:pt idx="2461">
                  <c:v>2025</c:v>
                </c:pt>
                <c:pt idx="2462">
                  <c:v>2025</c:v>
                </c:pt>
                <c:pt idx="2463">
                  <c:v>2025</c:v>
                </c:pt>
                <c:pt idx="2464">
                  <c:v>2025</c:v>
                </c:pt>
                <c:pt idx="2465">
                  <c:v>2025</c:v>
                </c:pt>
                <c:pt idx="2466">
                  <c:v>2025</c:v>
                </c:pt>
                <c:pt idx="2467">
                  <c:v>2025</c:v>
                </c:pt>
                <c:pt idx="2468">
                  <c:v>2025</c:v>
                </c:pt>
                <c:pt idx="2469">
                  <c:v>2025</c:v>
                </c:pt>
                <c:pt idx="2470">
                  <c:v>2025</c:v>
                </c:pt>
                <c:pt idx="2471">
                  <c:v>2025</c:v>
                </c:pt>
                <c:pt idx="2472">
                  <c:v>2025</c:v>
                </c:pt>
                <c:pt idx="2473">
                  <c:v>2025</c:v>
                </c:pt>
                <c:pt idx="2474">
                  <c:v>2025</c:v>
                </c:pt>
                <c:pt idx="2475">
                  <c:v>2025</c:v>
                </c:pt>
                <c:pt idx="2476">
                  <c:v>2025</c:v>
                </c:pt>
                <c:pt idx="2477">
                  <c:v>2025</c:v>
                </c:pt>
                <c:pt idx="2478">
                  <c:v>2025</c:v>
                </c:pt>
                <c:pt idx="2479">
                  <c:v>2025</c:v>
                </c:pt>
                <c:pt idx="2480">
                  <c:v>2025</c:v>
                </c:pt>
                <c:pt idx="2481">
                  <c:v>2025</c:v>
                </c:pt>
                <c:pt idx="2482">
                  <c:v>2025</c:v>
                </c:pt>
                <c:pt idx="2483">
                  <c:v>2025</c:v>
                </c:pt>
                <c:pt idx="2484">
                  <c:v>2025</c:v>
                </c:pt>
                <c:pt idx="2485">
                  <c:v>2025</c:v>
                </c:pt>
                <c:pt idx="2486">
                  <c:v>2025</c:v>
                </c:pt>
                <c:pt idx="2487">
                  <c:v>2025</c:v>
                </c:pt>
                <c:pt idx="2488">
                  <c:v>2025</c:v>
                </c:pt>
                <c:pt idx="2489">
                  <c:v>2025</c:v>
                </c:pt>
                <c:pt idx="2490">
                  <c:v>2025</c:v>
                </c:pt>
                <c:pt idx="2491">
                  <c:v>2025</c:v>
                </c:pt>
                <c:pt idx="2492">
                  <c:v>2025</c:v>
                </c:pt>
                <c:pt idx="2493">
                  <c:v>2025</c:v>
                </c:pt>
                <c:pt idx="2494">
                  <c:v>2025</c:v>
                </c:pt>
                <c:pt idx="2495">
                  <c:v>2025</c:v>
                </c:pt>
                <c:pt idx="2496">
                  <c:v>2025</c:v>
                </c:pt>
                <c:pt idx="2497">
                  <c:v>2026</c:v>
                </c:pt>
                <c:pt idx="2498">
                  <c:v>2026</c:v>
                </c:pt>
                <c:pt idx="2499">
                  <c:v>2026</c:v>
                </c:pt>
                <c:pt idx="2500">
                  <c:v>2026</c:v>
                </c:pt>
                <c:pt idx="2501">
                  <c:v>2026</c:v>
                </c:pt>
                <c:pt idx="2502">
                  <c:v>2026</c:v>
                </c:pt>
                <c:pt idx="2503">
                  <c:v>2026</c:v>
                </c:pt>
                <c:pt idx="2504">
                  <c:v>2026</c:v>
                </c:pt>
                <c:pt idx="2505">
                  <c:v>2026</c:v>
                </c:pt>
                <c:pt idx="2506">
                  <c:v>2026</c:v>
                </c:pt>
                <c:pt idx="2507">
                  <c:v>2026</c:v>
                </c:pt>
                <c:pt idx="2508">
                  <c:v>2026</c:v>
                </c:pt>
                <c:pt idx="2509">
                  <c:v>2026</c:v>
                </c:pt>
                <c:pt idx="2510">
                  <c:v>2026</c:v>
                </c:pt>
                <c:pt idx="2511">
                  <c:v>2026</c:v>
                </c:pt>
                <c:pt idx="2512">
                  <c:v>2026</c:v>
                </c:pt>
                <c:pt idx="2513">
                  <c:v>2026</c:v>
                </c:pt>
                <c:pt idx="2514">
                  <c:v>2026</c:v>
                </c:pt>
                <c:pt idx="2515">
                  <c:v>2026</c:v>
                </c:pt>
                <c:pt idx="2516">
                  <c:v>2026</c:v>
                </c:pt>
                <c:pt idx="2517">
                  <c:v>2026</c:v>
                </c:pt>
                <c:pt idx="2518">
                  <c:v>2026</c:v>
                </c:pt>
                <c:pt idx="2519">
                  <c:v>2026</c:v>
                </c:pt>
                <c:pt idx="2520">
                  <c:v>2026</c:v>
                </c:pt>
                <c:pt idx="2521">
                  <c:v>2026</c:v>
                </c:pt>
                <c:pt idx="2522">
                  <c:v>2026</c:v>
                </c:pt>
                <c:pt idx="2523">
                  <c:v>2026</c:v>
                </c:pt>
                <c:pt idx="2524">
                  <c:v>2026</c:v>
                </c:pt>
                <c:pt idx="2525">
                  <c:v>2026</c:v>
                </c:pt>
                <c:pt idx="2526">
                  <c:v>2026</c:v>
                </c:pt>
                <c:pt idx="2527">
                  <c:v>2026</c:v>
                </c:pt>
                <c:pt idx="2528">
                  <c:v>2026</c:v>
                </c:pt>
                <c:pt idx="2529">
                  <c:v>2026</c:v>
                </c:pt>
                <c:pt idx="2530">
                  <c:v>2026</c:v>
                </c:pt>
                <c:pt idx="2531">
                  <c:v>2026</c:v>
                </c:pt>
                <c:pt idx="2532">
                  <c:v>2026</c:v>
                </c:pt>
                <c:pt idx="2533">
                  <c:v>2026</c:v>
                </c:pt>
                <c:pt idx="2534">
                  <c:v>2026</c:v>
                </c:pt>
                <c:pt idx="2535">
                  <c:v>2026</c:v>
                </c:pt>
                <c:pt idx="2536">
                  <c:v>2026</c:v>
                </c:pt>
                <c:pt idx="2537">
                  <c:v>2026</c:v>
                </c:pt>
                <c:pt idx="2538">
                  <c:v>2026</c:v>
                </c:pt>
                <c:pt idx="2539">
                  <c:v>2026</c:v>
                </c:pt>
                <c:pt idx="2540">
                  <c:v>2026</c:v>
                </c:pt>
                <c:pt idx="2541">
                  <c:v>2026</c:v>
                </c:pt>
                <c:pt idx="2542">
                  <c:v>2026</c:v>
                </c:pt>
                <c:pt idx="2543">
                  <c:v>2026</c:v>
                </c:pt>
                <c:pt idx="2544">
                  <c:v>2026</c:v>
                </c:pt>
                <c:pt idx="2545">
                  <c:v>2026</c:v>
                </c:pt>
                <c:pt idx="2546">
                  <c:v>2026</c:v>
                </c:pt>
                <c:pt idx="2547">
                  <c:v>2026</c:v>
                </c:pt>
                <c:pt idx="2548">
                  <c:v>2026</c:v>
                </c:pt>
                <c:pt idx="2549">
                  <c:v>2026</c:v>
                </c:pt>
                <c:pt idx="2550">
                  <c:v>2026</c:v>
                </c:pt>
                <c:pt idx="2551">
                  <c:v>2026</c:v>
                </c:pt>
                <c:pt idx="2552">
                  <c:v>2026</c:v>
                </c:pt>
                <c:pt idx="2553">
                  <c:v>2026</c:v>
                </c:pt>
                <c:pt idx="2554">
                  <c:v>2026</c:v>
                </c:pt>
                <c:pt idx="2555">
                  <c:v>2026</c:v>
                </c:pt>
                <c:pt idx="2556">
                  <c:v>2026</c:v>
                </c:pt>
                <c:pt idx="2557">
                  <c:v>2026</c:v>
                </c:pt>
                <c:pt idx="2558">
                  <c:v>2026</c:v>
                </c:pt>
                <c:pt idx="2559">
                  <c:v>2026</c:v>
                </c:pt>
                <c:pt idx="2560">
                  <c:v>2026</c:v>
                </c:pt>
                <c:pt idx="2561">
                  <c:v>2026</c:v>
                </c:pt>
                <c:pt idx="2562">
                  <c:v>2026</c:v>
                </c:pt>
                <c:pt idx="2563">
                  <c:v>2026</c:v>
                </c:pt>
                <c:pt idx="2564">
                  <c:v>2026</c:v>
                </c:pt>
                <c:pt idx="2565">
                  <c:v>2026</c:v>
                </c:pt>
                <c:pt idx="2566">
                  <c:v>2026</c:v>
                </c:pt>
                <c:pt idx="2567">
                  <c:v>2026</c:v>
                </c:pt>
                <c:pt idx="2568">
                  <c:v>2026</c:v>
                </c:pt>
                <c:pt idx="2569">
                  <c:v>2026</c:v>
                </c:pt>
                <c:pt idx="2570">
                  <c:v>2026</c:v>
                </c:pt>
                <c:pt idx="2571">
                  <c:v>2026</c:v>
                </c:pt>
                <c:pt idx="2572">
                  <c:v>2026</c:v>
                </c:pt>
                <c:pt idx="2573">
                  <c:v>2026</c:v>
                </c:pt>
                <c:pt idx="2574">
                  <c:v>2026</c:v>
                </c:pt>
                <c:pt idx="2575">
                  <c:v>2026</c:v>
                </c:pt>
                <c:pt idx="2576">
                  <c:v>2026</c:v>
                </c:pt>
                <c:pt idx="2577">
                  <c:v>2026</c:v>
                </c:pt>
                <c:pt idx="2578">
                  <c:v>2026</c:v>
                </c:pt>
                <c:pt idx="2579">
                  <c:v>2026</c:v>
                </c:pt>
                <c:pt idx="2580">
                  <c:v>2026</c:v>
                </c:pt>
                <c:pt idx="2581">
                  <c:v>2026</c:v>
                </c:pt>
                <c:pt idx="2582">
                  <c:v>2026</c:v>
                </c:pt>
                <c:pt idx="2583">
                  <c:v>2026</c:v>
                </c:pt>
                <c:pt idx="2584">
                  <c:v>2026</c:v>
                </c:pt>
                <c:pt idx="2585">
                  <c:v>2026</c:v>
                </c:pt>
                <c:pt idx="2586">
                  <c:v>2026</c:v>
                </c:pt>
                <c:pt idx="2587">
                  <c:v>2026</c:v>
                </c:pt>
                <c:pt idx="2588">
                  <c:v>2026</c:v>
                </c:pt>
                <c:pt idx="2589">
                  <c:v>2026</c:v>
                </c:pt>
                <c:pt idx="2590">
                  <c:v>2026</c:v>
                </c:pt>
                <c:pt idx="2591">
                  <c:v>2026</c:v>
                </c:pt>
                <c:pt idx="2592">
                  <c:v>2026</c:v>
                </c:pt>
                <c:pt idx="2593">
                  <c:v>2026</c:v>
                </c:pt>
                <c:pt idx="2594">
                  <c:v>2026</c:v>
                </c:pt>
                <c:pt idx="2595">
                  <c:v>2026</c:v>
                </c:pt>
                <c:pt idx="2596">
                  <c:v>2026</c:v>
                </c:pt>
                <c:pt idx="2597">
                  <c:v>2026</c:v>
                </c:pt>
                <c:pt idx="2598">
                  <c:v>2026</c:v>
                </c:pt>
                <c:pt idx="2599">
                  <c:v>2026</c:v>
                </c:pt>
                <c:pt idx="2600">
                  <c:v>2026</c:v>
                </c:pt>
                <c:pt idx="2601">
                  <c:v>2026</c:v>
                </c:pt>
              </c:numCache>
            </c:numRef>
          </c:cat>
          <c:val>
            <c:numRef>
              <c:f>'FTSE_JSE All Share Historical D'!$I$3:$I$2603</c:f>
              <c:numCache>
                <c:formatCode>0.0000</c:formatCode>
                <c:ptCount val="2601"/>
                <c:pt idx="0">
                  <c:v>3.5964412172457931E-3</c:v>
                </c:pt>
                <c:pt idx="1">
                  <c:v>-1.7465528772751815E-2</c:v>
                </c:pt>
                <c:pt idx="2">
                  <c:v>2.2942661710645088E-2</c:v>
                </c:pt>
                <c:pt idx="3">
                  <c:v>4.0411190283387525E-3</c:v>
                </c:pt>
                <c:pt idx="4">
                  <c:v>2.8666962539600177E-3</c:v>
                </c:pt>
                <c:pt idx="5">
                  <c:v>3.3854138976465603E-3</c:v>
                </c:pt>
                <c:pt idx="6">
                  <c:v>1.5171747970201765E-3</c:v>
                </c:pt>
                <c:pt idx="7">
                  <c:v>-2.4242785992363486E-2</c:v>
                </c:pt>
                <c:pt idx="8">
                  <c:v>7.365318299532431E-3</c:v>
                </c:pt>
                <c:pt idx="9">
                  <c:v>5.0824170381200363E-3</c:v>
                </c:pt>
                <c:pt idx="10">
                  <c:v>-8.5841994145489219E-3</c:v>
                </c:pt>
                <c:pt idx="11">
                  <c:v>1.1016379609339407E-2</c:v>
                </c:pt>
                <c:pt idx="12">
                  <c:v>-3.2148019143869288E-3</c:v>
                </c:pt>
                <c:pt idx="13">
                  <c:v>2.4304324675019862E-2</c:v>
                </c:pt>
                <c:pt idx="14">
                  <c:v>1.5139989337209118E-4</c:v>
                </c:pt>
                <c:pt idx="15">
                  <c:v>-5.2753410665374372E-3</c:v>
                </c:pt>
                <c:pt idx="16">
                  <c:v>1.4289611986938846E-2</c:v>
                </c:pt>
                <c:pt idx="17">
                  <c:v>-4.6893443318355554E-3</c:v>
                </c:pt>
                <c:pt idx="18">
                  <c:v>1.0673024854365901E-2</c:v>
                </c:pt>
                <c:pt idx="19">
                  <c:v>9.7684016119415083E-5</c:v>
                </c:pt>
                <c:pt idx="20">
                  <c:v>-3.5433240632544771E-2</c:v>
                </c:pt>
                <c:pt idx="21">
                  <c:v>-3.1022608512962673E-3</c:v>
                </c:pt>
                <c:pt idx="22">
                  <c:v>4.5226061692918498E-3</c:v>
                </c:pt>
                <c:pt idx="23">
                  <c:v>-1.1479107713498018E-2</c:v>
                </c:pt>
                <c:pt idx="24">
                  <c:v>4.6823477091653531E-3</c:v>
                </c:pt>
                <c:pt idx="25">
                  <c:v>1.8753415275109375E-2</c:v>
                </c:pt>
                <c:pt idx="26">
                  <c:v>-1.0031970448809706E-3</c:v>
                </c:pt>
                <c:pt idx="27">
                  <c:v>1.3809342880064525E-2</c:v>
                </c:pt>
                <c:pt idx="28">
                  <c:v>2.9085708178928447E-3</c:v>
                </c:pt>
                <c:pt idx="29">
                  <c:v>1.3363396339935225E-2</c:v>
                </c:pt>
                <c:pt idx="30">
                  <c:v>1.0313842102762609E-2</c:v>
                </c:pt>
                <c:pt idx="31">
                  <c:v>-2.1093852428019845E-2</c:v>
                </c:pt>
                <c:pt idx="32">
                  <c:v>5.3318503932551237E-3</c:v>
                </c:pt>
                <c:pt idx="33">
                  <c:v>3.7015451691398897E-3</c:v>
                </c:pt>
                <c:pt idx="34">
                  <c:v>-1.0985880338704471E-2</c:v>
                </c:pt>
                <c:pt idx="35">
                  <c:v>4.5316505640293908E-3</c:v>
                </c:pt>
                <c:pt idx="36">
                  <c:v>-6.9139036306407669E-3</c:v>
                </c:pt>
                <c:pt idx="37">
                  <c:v>1.1097699347062126E-2</c:v>
                </c:pt>
                <c:pt idx="38">
                  <c:v>-3.886722365713785E-2</c:v>
                </c:pt>
                <c:pt idx="39">
                  <c:v>9.9966019267362979E-3</c:v>
                </c:pt>
                <c:pt idx="40">
                  <c:v>4.1045401166594575E-3</c:v>
                </c:pt>
                <c:pt idx="41">
                  <c:v>-2.19614569534873E-2</c:v>
                </c:pt>
                <c:pt idx="42">
                  <c:v>-1.4563635120751222E-2</c:v>
                </c:pt>
                <c:pt idx="43">
                  <c:v>-5.7126868489885234E-3</c:v>
                </c:pt>
                <c:pt idx="44">
                  <c:v>9.5203746379996096E-3</c:v>
                </c:pt>
                <c:pt idx="45">
                  <c:v>1.2902543675832996E-2</c:v>
                </c:pt>
                <c:pt idx="46">
                  <c:v>-3.1167947599242355E-2</c:v>
                </c:pt>
                <c:pt idx="47">
                  <c:v>-3.1155455256015284E-3</c:v>
                </c:pt>
                <c:pt idx="48">
                  <c:v>-3.535391043470849E-3</c:v>
                </c:pt>
                <c:pt idx="49">
                  <c:v>4.5493611323608723E-3</c:v>
                </c:pt>
                <c:pt idx="50">
                  <c:v>2.7981259257257102E-2</c:v>
                </c:pt>
                <c:pt idx="51">
                  <c:v>3.068006562837455E-2</c:v>
                </c:pt>
                <c:pt idx="52">
                  <c:v>-5.9038375667517483E-3</c:v>
                </c:pt>
                <c:pt idx="53">
                  <c:v>-1.415259744334366E-2</c:v>
                </c:pt>
                <c:pt idx="54">
                  <c:v>1.7460286287074134E-2</c:v>
                </c:pt>
                <c:pt idx="55">
                  <c:v>3.841146933491977E-3</c:v>
                </c:pt>
                <c:pt idx="56">
                  <c:v>1.8636314926360378E-2</c:v>
                </c:pt>
                <c:pt idx="57">
                  <c:v>-2.3869384987098077E-2</c:v>
                </c:pt>
                <c:pt idx="58">
                  <c:v>-1.7342482903564618E-3</c:v>
                </c:pt>
                <c:pt idx="59">
                  <c:v>3.0278954618133486E-2</c:v>
                </c:pt>
                <c:pt idx="60">
                  <c:v>7.8490384074544808E-3</c:v>
                </c:pt>
                <c:pt idx="61">
                  <c:v>-9.5531140749842234E-3</c:v>
                </c:pt>
                <c:pt idx="62">
                  <c:v>5.6934356365286487E-2</c:v>
                </c:pt>
                <c:pt idx="63">
                  <c:v>1.1467724313179356E-2</c:v>
                </c:pt>
                <c:pt idx="64">
                  <c:v>-1.4679086685841352E-2</c:v>
                </c:pt>
                <c:pt idx="65">
                  <c:v>1.2515090874176838E-3</c:v>
                </c:pt>
                <c:pt idx="66">
                  <c:v>-1.2546986922690188E-2</c:v>
                </c:pt>
                <c:pt idx="67">
                  <c:v>-8.7884716582487909E-4</c:v>
                </c:pt>
                <c:pt idx="68">
                  <c:v>-1.6367085406011103E-2</c:v>
                </c:pt>
                <c:pt idx="69">
                  <c:v>-9.6171468632181012E-3</c:v>
                </c:pt>
                <c:pt idx="70">
                  <c:v>5.5061095828303225E-3</c:v>
                </c:pt>
                <c:pt idx="71">
                  <c:v>-2.5689123220020128E-2</c:v>
                </c:pt>
                <c:pt idx="72">
                  <c:v>1.3133455018641374E-2</c:v>
                </c:pt>
                <c:pt idx="73">
                  <c:v>-3.349553527945187E-3</c:v>
                </c:pt>
                <c:pt idx="74">
                  <c:v>1.3421511010574823E-2</c:v>
                </c:pt>
                <c:pt idx="75">
                  <c:v>-3.7754445802786656E-3</c:v>
                </c:pt>
                <c:pt idx="76">
                  <c:v>-7.1401709253619411E-3</c:v>
                </c:pt>
                <c:pt idx="77">
                  <c:v>-5.0570789194296405E-3</c:v>
                </c:pt>
                <c:pt idx="78">
                  <c:v>-1.8773509582684599E-3</c:v>
                </c:pt>
                <c:pt idx="79">
                  <c:v>-1.2668870161703271E-2</c:v>
                </c:pt>
                <c:pt idx="80">
                  <c:v>1.9000487588779914E-2</c:v>
                </c:pt>
                <c:pt idx="81">
                  <c:v>-2.4652555784348152E-3</c:v>
                </c:pt>
                <c:pt idx="82">
                  <c:v>-1.3478156257938476E-2</c:v>
                </c:pt>
                <c:pt idx="83">
                  <c:v>9.5658962873755027E-3</c:v>
                </c:pt>
                <c:pt idx="84">
                  <c:v>4.2431641107048022E-2</c:v>
                </c:pt>
                <c:pt idx="85">
                  <c:v>-1.4372904620035968E-3</c:v>
                </c:pt>
                <c:pt idx="86">
                  <c:v>-1.3277010195948962E-2</c:v>
                </c:pt>
                <c:pt idx="87">
                  <c:v>9.2253715077783034E-3</c:v>
                </c:pt>
                <c:pt idx="88">
                  <c:v>-1.8491500731726819E-2</c:v>
                </c:pt>
                <c:pt idx="89">
                  <c:v>-6.3958749012124824E-3</c:v>
                </c:pt>
                <c:pt idx="90">
                  <c:v>-5.9493498670149083E-3</c:v>
                </c:pt>
                <c:pt idx="91">
                  <c:v>-2.0435506102109654E-3</c:v>
                </c:pt>
                <c:pt idx="92">
                  <c:v>-3.4740832373980801E-3</c:v>
                </c:pt>
                <c:pt idx="93">
                  <c:v>4.4413718842468633E-4</c:v>
                </c:pt>
                <c:pt idx="94">
                  <c:v>5.8112546203169515E-3</c:v>
                </c:pt>
                <c:pt idx="95">
                  <c:v>-1.0995878707752569E-4</c:v>
                </c:pt>
                <c:pt idx="96">
                  <c:v>8.8958294056271374E-4</c:v>
                </c:pt>
                <c:pt idx="97">
                  <c:v>-6.7706406796425433E-3</c:v>
                </c:pt>
                <c:pt idx="98">
                  <c:v>-1.7107225121049868E-2</c:v>
                </c:pt>
                <c:pt idx="99">
                  <c:v>-9.536120579859024E-3</c:v>
                </c:pt>
                <c:pt idx="100">
                  <c:v>7.9459173250525962E-3</c:v>
                </c:pt>
                <c:pt idx="101">
                  <c:v>6.7635636984307709E-3</c:v>
                </c:pt>
                <c:pt idx="102">
                  <c:v>-1.8191067429202176E-2</c:v>
                </c:pt>
                <c:pt idx="103">
                  <c:v>-4.2177413697168861E-3</c:v>
                </c:pt>
                <c:pt idx="104">
                  <c:v>-2.2395251669073317E-3</c:v>
                </c:pt>
                <c:pt idx="105">
                  <c:v>5.7581189396136634E-3</c:v>
                </c:pt>
                <c:pt idx="106">
                  <c:v>-3.8981062876263729E-3</c:v>
                </c:pt>
                <c:pt idx="107">
                  <c:v>8.9007146860521271E-3</c:v>
                </c:pt>
                <c:pt idx="108">
                  <c:v>-4.1333813598400911E-3</c:v>
                </c:pt>
                <c:pt idx="109">
                  <c:v>-5.9596204364757615E-3</c:v>
                </c:pt>
                <c:pt idx="110">
                  <c:v>-9.1850369482915622E-3</c:v>
                </c:pt>
                <c:pt idx="111">
                  <c:v>-2.9129046503426448E-3</c:v>
                </c:pt>
                <c:pt idx="112">
                  <c:v>-4.1274125908648176E-3</c:v>
                </c:pt>
                <c:pt idx="113">
                  <c:v>-1.0410871726204456E-2</c:v>
                </c:pt>
                <c:pt idx="114">
                  <c:v>3.8800077575396785E-3</c:v>
                </c:pt>
                <c:pt idx="115">
                  <c:v>-1.0452955917421836E-2</c:v>
                </c:pt>
                <c:pt idx="116">
                  <c:v>-9.6856713807183647E-3</c:v>
                </c:pt>
                <c:pt idx="117">
                  <c:v>-2.8162998117026387E-3</c:v>
                </c:pt>
                <c:pt idx="118">
                  <c:v>8.7408288589966275E-4</c:v>
                </c:pt>
                <c:pt idx="119">
                  <c:v>1.4800770894720962E-2</c:v>
                </c:pt>
                <c:pt idx="120">
                  <c:v>-1.3922763488398462E-2</c:v>
                </c:pt>
                <c:pt idx="121">
                  <c:v>3.6714216169224652E-3</c:v>
                </c:pt>
                <c:pt idx="122">
                  <c:v>-4.4637138145895957E-3</c:v>
                </c:pt>
                <c:pt idx="123">
                  <c:v>9.9738340287948563E-3</c:v>
                </c:pt>
                <c:pt idx="124">
                  <c:v>-8.8771475132984248E-3</c:v>
                </c:pt>
                <c:pt idx="125">
                  <c:v>-3.5269879843872337E-3</c:v>
                </c:pt>
                <c:pt idx="126">
                  <c:v>1.1633569592283106E-2</c:v>
                </c:pt>
                <c:pt idx="127">
                  <c:v>-1.4102430962624288E-2</c:v>
                </c:pt>
                <c:pt idx="128">
                  <c:v>-2.5398696168610875E-3</c:v>
                </c:pt>
                <c:pt idx="129">
                  <c:v>-3.4062267121132777E-3</c:v>
                </c:pt>
                <c:pt idx="130">
                  <c:v>2.0362169136726695E-2</c:v>
                </c:pt>
                <c:pt idx="131">
                  <c:v>1.0949638522915973E-3</c:v>
                </c:pt>
                <c:pt idx="132">
                  <c:v>-1.4634682786843003E-2</c:v>
                </c:pt>
                <c:pt idx="133">
                  <c:v>1.7263270523225255E-2</c:v>
                </c:pt>
                <c:pt idx="134">
                  <c:v>-3.0404764411821996E-3</c:v>
                </c:pt>
                <c:pt idx="135">
                  <c:v>1.8338283740108836E-2</c:v>
                </c:pt>
                <c:pt idx="136">
                  <c:v>-1.0020439509517687E-2</c:v>
                </c:pt>
                <c:pt idx="137">
                  <c:v>-1.5361863454121225E-2</c:v>
                </c:pt>
                <c:pt idx="138">
                  <c:v>-3.1134719184321867E-3</c:v>
                </c:pt>
                <c:pt idx="139">
                  <c:v>-1.8164073524921848E-2</c:v>
                </c:pt>
                <c:pt idx="140">
                  <c:v>1.1455775935068649E-2</c:v>
                </c:pt>
                <c:pt idx="141">
                  <c:v>-1.1920023803979544E-2</c:v>
                </c:pt>
                <c:pt idx="142">
                  <c:v>-1.3082101585020024E-2</c:v>
                </c:pt>
                <c:pt idx="143">
                  <c:v>1.569835165994838E-2</c:v>
                </c:pt>
                <c:pt idx="144">
                  <c:v>1.4898010761858951E-3</c:v>
                </c:pt>
                <c:pt idx="145">
                  <c:v>3.893965882237155E-3</c:v>
                </c:pt>
                <c:pt idx="146">
                  <c:v>6.3758325099688264E-3</c:v>
                </c:pt>
                <c:pt idx="147">
                  <c:v>-5.0208623375285902E-3</c:v>
                </c:pt>
                <c:pt idx="148">
                  <c:v>-1.0169595768182844E-2</c:v>
                </c:pt>
                <c:pt idx="149">
                  <c:v>1.5846935330245879E-2</c:v>
                </c:pt>
                <c:pt idx="150">
                  <c:v>2.7032417456240351E-3</c:v>
                </c:pt>
                <c:pt idx="151">
                  <c:v>-1.7356765766388015E-2</c:v>
                </c:pt>
                <c:pt idx="152">
                  <c:v>5.9575877739205594E-4</c:v>
                </c:pt>
                <c:pt idx="153">
                  <c:v>2.2011743840615494E-2</c:v>
                </c:pt>
                <c:pt idx="154">
                  <c:v>-5.3101556312221262E-3</c:v>
                </c:pt>
                <c:pt idx="155">
                  <c:v>2.0450998379600585E-2</c:v>
                </c:pt>
                <c:pt idx="156">
                  <c:v>-1.2369944093852026E-2</c:v>
                </c:pt>
                <c:pt idx="157">
                  <c:v>-6.8240796401333528E-3</c:v>
                </c:pt>
                <c:pt idx="158">
                  <c:v>1.3828491532448808E-3</c:v>
                </c:pt>
                <c:pt idx="159">
                  <c:v>-9.1026446611331951E-3</c:v>
                </c:pt>
                <c:pt idx="160">
                  <c:v>2.0022160810586002E-3</c:v>
                </c:pt>
                <c:pt idx="161">
                  <c:v>6.5770040601276008E-3</c:v>
                </c:pt>
                <c:pt idx="162">
                  <c:v>-1.3808700431220077E-2</c:v>
                </c:pt>
                <c:pt idx="163">
                  <c:v>4.3491840150102082E-3</c:v>
                </c:pt>
                <c:pt idx="164">
                  <c:v>-1.3456284995826396E-3</c:v>
                </c:pt>
                <c:pt idx="165">
                  <c:v>-1.5498319605372205E-2</c:v>
                </c:pt>
                <c:pt idx="166">
                  <c:v>5.1670397561171836E-3</c:v>
                </c:pt>
                <c:pt idx="167">
                  <c:v>-6.5499938708791262E-3</c:v>
                </c:pt>
                <c:pt idx="168">
                  <c:v>-6.4772682189854196E-3</c:v>
                </c:pt>
                <c:pt idx="169">
                  <c:v>-5.0802254797577776E-3</c:v>
                </c:pt>
                <c:pt idx="170">
                  <c:v>-8.4418947135386085E-3</c:v>
                </c:pt>
                <c:pt idx="171">
                  <c:v>8.3772254159025731E-3</c:v>
                </c:pt>
                <c:pt idx="172">
                  <c:v>-6.8671639175956018E-3</c:v>
                </c:pt>
                <c:pt idx="173">
                  <c:v>1.3934767447550222E-3</c:v>
                </c:pt>
                <c:pt idx="174">
                  <c:v>-6.5048978586531806E-3</c:v>
                </c:pt>
                <c:pt idx="175">
                  <c:v>-5.2137023728172276E-4</c:v>
                </c:pt>
                <c:pt idx="176">
                  <c:v>-4.5935246647084808E-3</c:v>
                </c:pt>
                <c:pt idx="177">
                  <c:v>-2.000378982868116E-3</c:v>
                </c:pt>
                <c:pt idx="178">
                  <c:v>-2.0754190873140226E-3</c:v>
                </c:pt>
                <c:pt idx="179">
                  <c:v>-5.0963295305065607E-3</c:v>
                </c:pt>
                <c:pt idx="180">
                  <c:v>-3.273210510669968E-3</c:v>
                </c:pt>
                <c:pt idx="181">
                  <c:v>-3.4821426628799126E-3</c:v>
                </c:pt>
                <c:pt idx="182">
                  <c:v>-4.4262332808030864E-3</c:v>
                </c:pt>
                <c:pt idx="183">
                  <c:v>-1.213382963284476E-2</c:v>
                </c:pt>
                <c:pt idx="184">
                  <c:v>-1.0886436810843614E-2</c:v>
                </c:pt>
                <c:pt idx="185">
                  <c:v>1.0714949547489633E-2</c:v>
                </c:pt>
                <c:pt idx="186">
                  <c:v>-3.4308942607978606E-3</c:v>
                </c:pt>
                <c:pt idx="187">
                  <c:v>7.2077306841766622E-3</c:v>
                </c:pt>
                <c:pt idx="188">
                  <c:v>-6.2247654703596769E-4</c:v>
                </c:pt>
                <c:pt idx="189">
                  <c:v>2.2887217127724364E-4</c:v>
                </c:pt>
                <c:pt idx="190">
                  <c:v>1.4504653032149971E-3</c:v>
                </c:pt>
                <c:pt idx="191">
                  <c:v>4.1715007441035807E-3</c:v>
                </c:pt>
                <c:pt idx="192">
                  <c:v>5.3094489443926392E-3</c:v>
                </c:pt>
                <c:pt idx="193">
                  <c:v>-2.4790246838943216E-3</c:v>
                </c:pt>
                <c:pt idx="194">
                  <c:v>-9.5172725339706075E-3</c:v>
                </c:pt>
                <c:pt idx="195">
                  <c:v>-6.8501078190280175E-3</c:v>
                </c:pt>
                <c:pt idx="196">
                  <c:v>1.3871804345361503E-3</c:v>
                </c:pt>
                <c:pt idx="197">
                  <c:v>-5.2911264854340083E-4</c:v>
                </c:pt>
                <c:pt idx="198">
                  <c:v>7.9540358061751578E-3</c:v>
                </c:pt>
                <c:pt idx="199">
                  <c:v>4.1893985295539122E-4</c:v>
                </c:pt>
                <c:pt idx="200">
                  <c:v>2.7941268512682834E-3</c:v>
                </c:pt>
                <c:pt idx="201">
                  <c:v>-9.8970307071963894E-3</c:v>
                </c:pt>
                <c:pt idx="202">
                  <c:v>-6.3475710316759047E-3</c:v>
                </c:pt>
                <c:pt idx="203">
                  <c:v>2.2318231739263811E-3</c:v>
                </c:pt>
                <c:pt idx="204">
                  <c:v>-2.1027452260188751E-3</c:v>
                </c:pt>
                <c:pt idx="205">
                  <c:v>-4.8864584807540318E-3</c:v>
                </c:pt>
                <c:pt idx="206">
                  <c:v>-4.7904550525061183E-3</c:v>
                </c:pt>
                <c:pt idx="207">
                  <c:v>-3.6392513613515164E-3</c:v>
                </c:pt>
                <c:pt idx="208">
                  <c:v>-1.5913663300427351E-2</c:v>
                </c:pt>
                <c:pt idx="209">
                  <c:v>7.901249103264783E-3</c:v>
                </c:pt>
                <c:pt idx="210">
                  <c:v>8.0389967180690101E-3</c:v>
                </c:pt>
                <c:pt idx="211">
                  <c:v>-1.5078618429645448E-3</c:v>
                </c:pt>
                <c:pt idx="212">
                  <c:v>-4.7373642163734764E-3</c:v>
                </c:pt>
                <c:pt idx="213">
                  <c:v>2.2516489262656677E-3</c:v>
                </c:pt>
                <c:pt idx="214">
                  <c:v>1.0581325061794433E-2</c:v>
                </c:pt>
                <c:pt idx="215">
                  <c:v>2.0856265256802833E-3</c:v>
                </c:pt>
                <c:pt idx="216">
                  <c:v>-8.5744010541526604E-3</c:v>
                </c:pt>
                <c:pt idx="217">
                  <c:v>3.3094089551830531E-3</c:v>
                </c:pt>
                <c:pt idx="218">
                  <c:v>-9.7480438857763582E-3</c:v>
                </c:pt>
                <c:pt idx="219">
                  <c:v>-1.3606894394981682E-2</c:v>
                </c:pt>
                <c:pt idx="220">
                  <c:v>-2.9739100568286769E-3</c:v>
                </c:pt>
                <c:pt idx="221">
                  <c:v>-4.6258414917652084E-4</c:v>
                </c:pt>
                <c:pt idx="222">
                  <c:v>-2.2670643376191133E-3</c:v>
                </c:pt>
                <c:pt idx="223">
                  <c:v>4.3492214056229488E-3</c:v>
                </c:pt>
                <c:pt idx="224">
                  <c:v>1.4685537120599341E-3</c:v>
                </c:pt>
                <c:pt idx="225">
                  <c:v>-1.3817454779768889E-3</c:v>
                </c:pt>
                <c:pt idx="226">
                  <c:v>2.6449237363131248E-4</c:v>
                </c:pt>
                <c:pt idx="227">
                  <c:v>1.1059552836231138E-3</c:v>
                </c:pt>
                <c:pt idx="228">
                  <c:v>-1.857144191312434E-3</c:v>
                </c:pt>
                <c:pt idx="229">
                  <c:v>-2.5312225451614018E-3</c:v>
                </c:pt>
                <c:pt idx="230">
                  <c:v>-3.3858579960712107E-3</c:v>
                </c:pt>
                <c:pt idx="231">
                  <c:v>3.1209086562808143E-3</c:v>
                </c:pt>
                <c:pt idx="232">
                  <c:v>-4.9819828380583435E-3</c:v>
                </c:pt>
                <c:pt idx="233">
                  <c:v>-5.9020821276720174E-3</c:v>
                </c:pt>
                <c:pt idx="234">
                  <c:v>1.1049336647062935E-3</c:v>
                </c:pt>
                <c:pt idx="235">
                  <c:v>-6.8699745959832853E-3</c:v>
                </c:pt>
                <c:pt idx="236">
                  <c:v>6.0231904926751414E-3</c:v>
                </c:pt>
                <c:pt idx="237">
                  <c:v>-7.9452721325555115E-3</c:v>
                </c:pt>
                <c:pt idx="238">
                  <c:v>-4.4007962356809021E-3</c:v>
                </c:pt>
                <c:pt idx="239">
                  <c:v>2.1539341869618164E-3</c:v>
                </c:pt>
                <c:pt idx="240">
                  <c:v>8.2261101106195626E-4</c:v>
                </c:pt>
                <c:pt idx="241">
                  <c:v>-3.5406334107743772E-3</c:v>
                </c:pt>
                <c:pt idx="242">
                  <c:v>7.0246109224729762E-3</c:v>
                </c:pt>
                <c:pt idx="243">
                  <c:v>1.7728224956561775E-2</c:v>
                </c:pt>
                <c:pt idx="244">
                  <c:v>-6.4642602416447748E-3</c:v>
                </c:pt>
                <c:pt idx="245">
                  <c:v>2.6194825596410733E-3</c:v>
                </c:pt>
                <c:pt idx="246">
                  <c:v>-2.5226034465464378E-3</c:v>
                </c:pt>
                <c:pt idx="247">
                  <c:v>-4.9175338874301786E-4</c:v>
                </c:pt>
                <c:pt idx="248">
                  <c:v>4.7401712235625238E-4</c:v>
                </c:pt>
                <c:pt idx="249">
                  <c:v>-7.9309209489905712E-3</c:v>
                </c:pt>
                <c:pt idx="250">
                  <c:v>-8.0601925478378297E-3</c:v>
                </c:pt>
                <c:pt idx="251">
                  <c:v>2.9469941104509302E-3</c:v>
                </c:pt>
                <c:pt idx="252">
                  <c:v>-8.7759926823521451E-3</c:v>
                </c:pt>
                <c:pt idx="253">
                  <c:v>4.1816030045358559E-3</c:v>
                </c:pt>
                <c:pt idx="254">
                  <c:v>-9.0909721832953521E-3</c:v>
                </c:pt>
                <c:pt idx="255">
                  <c:v>-1.1162215570905125E-3</c:v>
                </c:pt>
                <c:pt idx="256">
                  <c:v>-4.2498616287780258E-4</c:v>
                </c:pt>
                <c:pt idx="257">
                  <c:v>-2.0888318893554909E-3</c:v>
                </c:pt>
                <c:pt idx="258">
                  <c:v>-4.2175341768360894E-3</c:v>
                </c:pt>
                <c:pt idx="259">
                  <c:v>2.8127013000930367E-3</c:v>
                </c:pt>
                <c:pt idx="260">
                  <c:v>-6.8137108422823972E-3</c:v>
                </c:pt>
                <c:pt idx="261">
                  <c:v>-2.9268814402443302E-3</c:v>
                </c:pt>
                <c:pt idx="262">
                  <c:v>1.3661019809868547E-3</c:v>
                </c:pt>
                <c:pt idx="263">
                  <c:v>-3.0289227149811171E-3</c:v>
                </c:pt>
                <c:pt idx="264">
                  <c:v>1.4667848005097003E-3</c:v>
                </c:pt>
                <c:pt idx="265">
                  <c:v>1.7807527233375073E-3</c:v>
                </c:pt>
                <c:pt idx="266">
                  <c:v>-5.0643573086135638E-3</c:v>
                </c:pt>
                <c:pt idx="267">
                  <c:v>-3.3648520348122904E-3</c:v>
                </c:pt>
                <c:pt idx="268">
                  <c:v>-1.0627986714357617E-2</c:v>
                </c:pt>
                <c:pt idx="269">
                  <c:v>6.6508395123220255E-3</c:v>
                </c:pt>
                <c:pt idx="270">
                  <c:v>5.7858502626280698E-3</c:v>
                </c:pt>
                <c:pt idx="271">
                  <c:v>3.8622293843645396E-4</c:v>
                </c:pt>
                <c:pt idx="272">
                  <c:v>2.9233899167897199E-3</c:v>
                </c:pt>
                <c:pt idx="273">
                  <c:v>-8.1472435855640818E-3</c:v>
                </c:pt>
                <c:pt idx="274">
                  <c:v>-2.9770183523651519E-3</c:v>
                </c:pt>
                <c:pt idx="275">
                  <c:v>-6.4914274684138148E-3</c:v>
                </c:pt>
                <c:pt idx="276">
                  <c:v>-1.8487028436376955E-3</c:v>
                </c:pt>
                <c:pt idx="277">
                  <c:v>-7.8266657131658545E-3</c:v>
                </c:pt>
                <c:pt idx="278">
                  <c:v>7.2530523380602465E-4</c:v>
                </c:pt>
                <c:pt idx="279">
                  <c:v>-4.7403975941415792E-3</c:v>
                </c:pt>
                <c:pt idx="280">
                  <c:v>2.3428509816965856E-3</c:v>
                </c:pt>
                <c:pt idx="281">
                  <c:v>-1.9516965633929722E-3</c:v>
                </c:pt>
                <c:pt idx="282">
                  <c:v>-9.029402919916836E-3</c:v>
                </c:pt>
                <c:pt idx="283">
                  <c:v>-2.6390326586708861E-2</c:v>
                </c:pt>
                <c:pt idx="284">
                  <c:v>-4.2322386423620144E-3</c:v>
                </c:pt>
                <c:pt idx="285">
                  <c:v>-4.2203924344201255E-2</c:v>
                </c:pt>
                <c:pt idx="286">
                  <c:v>2.0893293084588992E-2</c:v>
                </c:pt>
                <c:pt idx="287">
                  <c:v>-2.4832505695502084E-2</c:v>
                </c:pt>
                <c:pt idx="288">
                  <c:v>-7.4258574346528399E-3</c:v>
                </c:pt>
                <c:pt idx="289">
                  <c:v>5.4045162576531004E-2</c:v>
                </c:pt>
                <c:pt idx="290">
                  <c:v>3.4517383321607184E-2</c:v>
                </c:pt>
                <c:pt idx="291">
                  <c:v>9.4389886154951311E-3</c:v>
                </c:pt>
                <c:pt idx="292">
                  <c:v>-1.4708288480382543E-2</c:v>
                </c:pt>
                <c:pt idx="293">
                  <c:v>1.0494791824794299E-2</c:v>
                </c:pt>
                <c:pt idx="294">
                  <c:v>3.6224433831488481E-3</c:v>
                </c:pt>
                <c:pt idx="295">
                  <c:v>3.2131387286319843E-4</c:v>
                </c:pt>
                <c:pt idx="296">
                  <c:v>-2.3768716492657449E-3</c:v>
                </c:pt>
                <c:pt idx="297">
                  <c:v>-8.141460699775371E-3</c:v>
                </c:pt>
                <c:pt idx="298">
                  <c:v>5.9734292796489868E-3</c:v>
                </c:pt>
                <c:pt idx="299">
                  <c:v>7.0234103841201037E-3</c:v>
                </c:pt>
                <c:pt idx="300">
                  <c:v>-1.4036874225945991E-2</c:v>
                </c:pt>
                <c:pt idx="301">
                  <c:v>-4.1485090824829249E-3</c:v>
                </c:pt>
                <c:pt idx="302">
                  <c:v>-6.8990822132261069E-3</c:v>
                </c:pt>
                <c:pt idx="303">
                  <c:v>-9.7004941790038487E-3</c:v>
                </c:pt>
                <c:pt idx="304">
                  <c:v>-2.4601907653849162E-3</c:v>
                </c:pt>
                <c:pt idx="305">
                  <c:v>2.7276478387697127E-3</c:v>
                </c:pt>
                <c:pt idx="306">
                  <c:v>2.2978242493116108E-3</c:v>
                </c:pt>
                <c:pt idx="307">
                  <c:v>1.4543173748413969E-2</c:v>
                </c:pt>
                <c:pt idx="308">
                  <c:v>-3.5070960467482384E-3</c:v>
                </c:pt>
                <c:pt idx="309">
                  <c:v>-6.1655748640215792E-3</c:v>
                </c:pt>
                <c:pt idx="310">
                  <c:v>-1.1313036108860846E-2</c:v>
                </c:pt>
                <c:pt idx="311">
                  <c:v>9.570019825707668E-3</c:v>
                </c:pt>
                <c:pt idx="312">
                  <c:v>-1.8698407628899402E-2</c:v>
                </c:pt>
                <c:pt idx="313">
                  <c:v>1.5959887223108316E-2</c:v>
                </c:pt>
                <c:pt idx="314">
                  <c:v>1.1345711165570632E-2</c:v>
                </c:pt>
                <c:pt idx="315">
                  <c:v>-6.4514575699996732E-3</c:v>
                </c:pt>
                <c:pt idx="316">
                  <c:v>-3.7735579328684807E-3</c:v>
                </c:pt>
                <c:pt idx="317">
                  <c:v>1.6905979173888204E-2</c:v>
                </c:pt>
                <c:pt idx="318">
                  <c:v>-4.5537602662949485E-4</c:v>
                </c:pt>
                <c:pt idx="319">
                  <c:v>-5.9976969596105302E-3</c:v>
                </c:pt>
                <c:pt idx="320">
                  <c:v>8.1146505700527161E-3</c:v>
                </c:pt>
                <c:pt idx="321">
                  <c:v>-7.4619457429254809E-3</c:v>
                </c:pt>
                <c:pt idx="322">
                  <c:v>3.5858881774692005E-3</c:v>
                </c:pt>
                <c:pt idx="323">
                  <c:v>-9.9193948034257441E-3</c:v>
                </c:pt>
                <c:pt idx="324">
                  <c:v>1.1459543222818093E-3</c:v>
                </c:pt>
                <c:pt idx="325">
                  <c:v>-4.3239880818717411E-3</c:v>
                </c:pt>
                <c:pt idx="326">
                  <c:v>2.311324769998829E-3</c:v>
                </c:pt>
                <c:pt idx="327">
                  <c:v>-3.3196817632807057E-3</c:v>
                </c:pt>
                <c:pt idx="328">
                  <c:v>-3.243570227390117E-3</c:v>
                </c:pt>
                <c:pt idx="329">
                  <c:v>-6.6802732542653219E-3</c:v>
                </c:pt>
                <c:pt idx="330">
                  <c:v>-1.8267306419666647E-3</c:v>
                </c:pt>
                <c:pt idx="331">
                  <c:v>-1.1195586220686735E-2</c:v>
                </c:pt>
                <c:pt idx="332">
                  <c:v>5.4420517449555918E-3</c:v>
                </c:pt>
                <c:pt idx="333">
                  <c:v>-3.1595996832020461E-3</c:v>
                </c:pt>
                <c:pt idx="334">
                  <c:v>-4.336375485194696E-3</c:v>
                </c:pt>
                <c:pt idx="335">
                  <c:v>-1.021412431693096E-2</c:v>
                </c:pt>
                <c:pt idx="336">
                  <c:v>-3.0846452264140798E-3</c:v>
                </c:pt>
                <c:pt idx="337">
                  <c:v>1.2266244174668208E-3</c:v>
                </c:pt>
                <c:pt idx="338">
                  <c:v>-4.1242353613952093E-3</c:v>
                </c:pt>
                <c:pt idx="339">
                  <c:v>8.4291772721454047E-3</c:v>
                </c:pt>
                <c:pt idx="340">
                  <c:v>2.2560417657373944E-3</c:v>
                </c:pt>
                <c:pt idx="341">
                  <c:v>-1.3288203130687212E-3</c:v>
                </c:pt>
                <c:pt idx="342">
                  <c:v>-3.8634601962520611E-4</c:v>
                </c:pt>
                <c:pt idx="343">
                  <c:v>-1.2375130576611066E-2</c:v>
                </c:pt>
                <c:pt idx="344">
                  <c:v>-1.7159370071151774E-3</c:v>
                </c:pt>
                <c:pt idx="345">
                  <c:v>-1.6800768134286596E-2</c:v>
                </c:pt>
                <c:pt idx="346">
                  <c:v>-9.5133280558071102E-4</c:v>
                </c:pt>
                <c:pt idx="347">
                  <c:v>1.7168684292519568E-2</c:v>
                </c:pt>
                <c:pt idx="348">
                  <c:v>2.772593390766315E-3</c:v>
                </c:pt>
                <c:pt idx="349">
                  <c:v>-6.5419127113862368E-3</c:v>
                </c:pt>
                <c:pt idx="350">
                  <c:v>1.182338792548219E-2</c:v>
                </c:pt>
                <c:pt idx="351">
                  <c:v>7.1525026829178428E-3</c:v>
                </c:pt>
                <c:pt idx="352">
                  <c:v>-3.9797632164913736E-4</c:v>
                </c:pt>
                <c:pt idx="353">
                  <c:v>-2.9698721480765381E-3</c:v>
                </c:pt>
                <c:pt idx="354">
                  <c:v>-4.336258074805208E-3</c:v>
                </c:pt>
                <c:pt idx="355">
                  <c:v>-1.7804025859999562E-3</c:v>
                </c:pt>
                <c:pt idx="356">
                  <c:v>9.3742907410591832E-3</c:v>
                </c:pt>
                <c:pt idx="357">
                  <c:v>2.3467718507895925E-3</c:v>
                </c:pt>
                <c:pt idx="358">
                  <c:v>-2.6283913417580601E-3</c:v>
                </c:pt>
                <c:pt idx="359">
                  <c:v>-1.2878908810634183E-3</c:v>
                </c:pt>
                <c:pt idx="360">
                  <c:v>-1.6317636506353501E-3</c:v>
                </c:pt>
                <c:pt idx="361">
                  <c:v>1.3342022892793209E-2</c:v>
                </c:pt>
                <c:pt idx="362">
                  <c:v>1.7064902345967745E-3</c:v>
                </c:pt>
                <c:pt idx="363">
                  <c:v>1.6007335027346931E-2</c:v>
                </c:pt>
                <c:pt idx="364">
                  <c:v>-1.8874757893958297E-3</c:v>
                </c:pt>
                <c:pt idx="365">
                  <c:v>1.7302264811983989E-3</c:v>
                </c:pt>
                <c:pt idx="366">
                  <c:v>1.7788027880118466E-3</c:v>
                </c:pt>
                <c:pt idx="367">
                  <c:v>4.2502139717515994E-3</c:v>
                </c:pt>
                <c:pt idx="368">
                  <c:v>-8.0687247101670981E-3</c:v>
                </c:pt>
                <c:pt idx="369">
                  <c:v>-1.0590106479939616E-3</c:v>
                </c:pt>
                <c:pt idx="370">
                  <c:v>-6.1435529712118532E-3</c:v>
                </c:pt>
                <c:pt idx="371">
                  <c:v>-5.7596216601912154E-3</c:v>
                </c:pt>
                <c:pt idx="372">
                  <c:v>-1.0176607379301745E-3</c:v>
                </c:pt>
                <c:pt idx="373">
                  <c:v>-1.4345358945809177E-2</c:v>
                </c:pt>
                <c:pt idx="374">
                  <c:v>3.271987767135096E-3</c:v>
                </c:pt>
                <c:pt idx="375">
                  <c:v>3.70746746915872E-3</c:v>
                </c:pt>
                <c:pt idx="376">
                  <c:v>3.4622940977775221E-3</c:v>
                </c:pt>
                <c:pt idx="377">
                  <c:v>-6.1344127987098419E-3</c:v>
                </c:pt>
                <c:pt idx="378">
                  <c:v>8.6018132880991294E-3</c:v>
                </c:pt>
                <c:pt idx="379">
                  <c:v>-1.0039091355303013E-3</c:v>
                </c:pt>
                <c:pt idx="380">
                  <c:v>-2.9009829627634621E-3</c:v>
                </c:pt>
                <c:pt idx="381">
                  <c:v>-8.8112824390701363E-3</c:v>
                </c:pt>
                <c:pt idx="382">
                  <c:v>-1.2044860417422005E-3</c:v>
                </c:pt>
                <c:pt idx="383">
                  <c:v>-6.5629162012249709E-3</c:v>
                </c:pt>
                <c:pt idx="384">
                  <c:v>-4.5829916718059463E-4</c:v>
                </c:pt>
                <c:pt idx="385">
                  <c:v>-3.7223193199043746E-4</c:v>
                </c:pt>
                <c:pt idx="386">
                  <c:v>4.7455859090454284E-3</c:v>
                </c:pt>
                <c:pt idx="387">
                  <c:v>6.7440504151873529E-3</c:v>
                </c:pt>
                <c:pt idx="388">
                  <c:v>4.1553703917905872E-3</c:v>
                </c:pt>
                <c:pt idx="389">
                  <c:v>1.021147267763064E-2</c:v>
                </c:pt>
                <c:pt idx="390">
                  <c:v>-7.8034356226331491E-3</c:v>
                </c:pt>
                <c:pt idx="391">
                  <c:v>1.527144956262716E-2</c:v>
                </c:pt>
                <c:pt idx="392">
                  <c:v>-4.8506902041095847E-3</c:v>
                </c:pt>
                <c:pt idx="393">
                  <c:v>-2.9033389587689154E-4</c:v>
                </c:pt>
                <c:pt idx="394">
                  <c:v>-9.4852549665287514E-3</c:v>
                </c:pt>
                <c:pt idx="395">
                  <c:v>1.5966287652172031E-2</c:v>
                </c:pt>
                <c:pt idx="396">
                  <c:v>6.2269530043994716E-3</c:v>
                </c:pt>
                <c:pt idx="397">
                  <c:v>3.9175876145618304E-3</c:v>
                </c:pt>
                <c:pt idx="398">
                  <c:v>-7.1893352268178681E-3</c:v>
                </c:pt>
                <c:pt idx="399">
                  <c:v>-9.0334725769954224E-4</c:v>
                </c:pt>
                <c:pt idx="400">
                  <c:v>-5.4561392433287361E-3</c:v>
                </c:pt>
                <c:pt idx="401">
                  <c:v>3.3332773415060087E-3</c:v>
                </c:pt>
                <c:pt idx="402">
                  <c:v>3.7239997169550552E-3</c:v>
                </c:pt>
                <c:pt idx="403">
                  <c:v>1.4338010847970688E-3</c:v>
                </c:pt>
                <c:pt idx="404">
                  <c:v>-7.1254337522881567E-3</c:v>
                </c:pt>
                <c:pt idx="405">
                  <c:v>-2.1892144131995537E-3</c:v>
                </c:pt>
                <c:pt idx="406">
                  <c:v>-5.1437139085516682E-3</c:v>
                </c:pt>
                <c:pt idx="407">
                  <c:v>5.2091105796066451E-3</c:v>
                </c:pt>
                <c:pt idx="408">
                  <c:v>-2.8885876905024848E-3</c:v>
                </c:pt>
                <c:pt idx="409">
                  <c:v>-8.821556421402206E-3</c:v>
                </c:pt>
                <c:pt idx="410">
                  <c:v>-6.5565641877076732E-4</c:v>
                </c:pt>
                <c:pt idx="411">
                  <c:v>1.8073147114444107E-3</c:v>
                </c:pt>
                <c:pt idx="412">
                  <c:v>9.5192725076168137E-3</c:v>
                </c:pt>
                <c:pt idx="413">
                  <c:v>2.7224070602256261E-4</c:v>
                </c:pt>
                <c:pt idx="414">
                  <c:v>1.4888296850600481E-3</c:v>
                </c:pt>
                <c:pt idx="415">
                  <c:v>7.5375867591938144E-3</c:v>
                </c:pt>
                <c:pt idx="416">
                  <c:v>-5.7079167609802688E-3</c:v>
                </c:pt>
                <c:pt idx="417">
                  <c:v>-8.1966739630717853E-4</c:v>
                </c:pt>
                <c:pt idx="418">
                  <c:v>1.1845323997636605E-2</c:v>
                </c:pt>
                <c:pt idx="419">
                  <c:v>-2.8872519784583178E-3</c:v>
                </c:pt>
                <c:pt idx="420">
                  <c:v>-1.5776303701949924E-2</c:v>
                </c:pt>
                <c:pt idx="421">
                  <c:v>-1.3855263158773796E-2</c:v>
                </c:pt>
                <c:pt idx="422">
                  <c:v>-1.1239711909588343E-2</c:v>
                </c:pt>
                <c:pt idx="423">
                  <c:v>-8.3429768905866376E-4</c:v>
                </c:pt>
                <c:pt idx="424">
                  <c:v>-1.2512277403181287E-2</c:v>
                </c:pt>
                <c:pt idx="425">
                  <c:v>3.7903822780745167E-3</c:v>
                </c:pt>
                <c:pt idx="426">
                  <c:v>-1.2425871093158698E-2</c:v>
                </c:pt>
                <c:pt idx="427">
                  <c:v>-3.5063984202263871E-4</c:v>
                </c:pt>
                <c:pt idx="428">
                  <c:v>-3.791091916586318E-3</c:v>
                </c:pt>
                <c:pt idx="429">
                  <c:v>-1.0346181656480104E-2</c:v>
                </c:pt>
                <c:pt idx="430">
                  <c:v>1.0021768537963962E-2</c:v>
                </c:pt>
                <c:pt idx="431">
                  <c:v>-2.4560432395779792E-3</c:v>
                </c:pt>
                <c:pt idx="432">
                  <c:v>-9.4271415767994287E-4</c:v>
                </c:pt>
                <c:pt idx="433">
                  <c:v>9.5644026108544656E-3</c:v>
                </c:pt>
                <c:pt idx="434">
                  <c:v>-2.821492573387859E-3</c:v>
                </c:pt>
                <c:pt idx="435">
                  <c:v>2.9423663779356256E-3</c:v>
                </c:pt>
                <c:pt idx="436">
                  <c:v>1.6018200966083102E-2</c:v>
                </c:pt>
                <c:pt idx="437">
                  <c:v>3.1871685014876086E-3</c:v>
                </c:pt>
                <c:pt idx="438">
                  <c:v>5.8284836498118013E-3</c:v>
                </c:pt>
                <c:pt idx="439">
                  <c:v>-2.6241847026003055E-3</c:v>
                </c:pt>
                <c:pt idx="440">
                  <c:v>6.3461451756556117E-3</c:v>
                </c:pt>
                <c:pt idx="441">
                  <c:v>-4.2618772496962757E-3</c:v>
                </c:pt>
                <c:pt idx="442">
                  <c:v>1.8703558059481834E-3</c:v>
                </c:pt>
                <c:pt idx="443">
                  <c:v>-8.7010091817747819E-3</c:v>
                </c:pt>
                <c:pt idx="444">
                  <c:v>4.8360043926819812E-3</c:v>
                </c:pt>
                <c:pt idx="445">
                  <c:v>-2.8947133332195337E-3</c:v>
                </c:pt>
                <c:pt idx="446">
                  <c:v>1.9095061239800577E-4</c:v>
                </c:pt>
                <c:pt idx="447">
                  <c:v>-1.170146731167559E-2</c:v>
                </c:pt>
                <c:pt idx="448">
                  <c:v>-7.246403691274975E-3</c:v>
                </c:pt>
                <c:pt idx="449">
                  <c:v>-1.0073009397397817E-2</c:v>
                </c:pt>
                <c:pt idx="450">
                  <c:v>-5.4952591050074027E-3</c:v>
                </c:pt>
                <c:pt idx="451">
                  <c:v>-4.8965841379727528E-3</c:v>
                </c:pt>
                <c:pt idx="452">
                  <c:v>2.2136388504515915E-3</c:v>
                </c:pt>
                <c:pt idx="453">
                  <c:v>-4.6485534706163338E-3</c:v>
                </c:pt>
                <c:pt idx="454">
                  <c:v>-1.1700255837774922E-2</c:v>
                </c:pt>
                <c:pt idx="455">
                  <c:v>1.8560117463435094E-3</c:v>
                </c:pt>
                <c:pt idx="456">
                  <c:v>1.2003428236697077E-2</c:v>
                </c:pt>
                <c:pt idx="457">
                  <c:v>1.6382010077593365E-2</c:v>
                </c:pt>
                <c:pt idx="458">
                  <c:v>1.088850640875764E-2</c:v>
                </c:pt>
                <c:pt idx="459">
                  <c:v>-1.910821834041827E-2</c:v>
                </c:pt>
                <c:pt idx="460">
                  <c:v>-2.3055267680990093E-3</c:v>
                </c:pt>
                <c:pt idx="461">
                  <c:v>1.3428553145602754E-3</c:v>
                </c:pt>
                <c:pt idx="462">
                  <c:v>-5.4674243301509615E-3</c:v>
                </c:pt>
                <c:pt idx="463">
                  <c:v>-1.0300525473577137E-3</c:v>
                </c:pt>
                <c:pt idx="464">
                  <c:v>1.3800238988845371E-3</c:v>
                </c:pt>
                <c:pt idx="465">
                  <c:v>-2.6594550996974818E-3</c:v>
                </c:pt>
                <c:pt idx="466">
                  <c:v>-7.0993765363788928E-3</c:v>
                </c:pt>
                <c:pt idx="467">
                  <c:v>5.1366378350659533E-3</c:v>
                </c:pt>
                <c:pt idx="468">
                  <c:v>1.4717625069016222E-3</c:v>
                </c:pt>
                <c:pt idx="469">
                  <c:v>8.3118919034411536E-3</c:v>
                </c:pt>
                <c:pt idx="470">
                  <c:v>1.2616552337925571E-2</c:v>
                </c:pt>
                <c:pt idx="471">
                  <c:v>-5.7077596587969725E-3</c:v>
                </c:pt>
                <c:pt idx="472">
                  <c:v>-7.2797747817401753E-3</c:v>
                </c:pt>
                <c:pt idx="473">
                  <c:v>-8.0312776733349866E-3</c:v>
                </c:pt>
                <c:pt idx="474">
                  <c:v>2.169431106268732E-3</c:v>
                </c:pt>
                <c:pt idx="475">
                  <c:v>2.0258547742390606E-3</c:v>
                </c:pt>
                <c:pt idx="476">
                  <c:v>1.7167871812157705E-4</c:v>
                </c:pt>
                <c:pt idx="477">
                  <c:v>4.4198172802442067E-3</c:v>
                </c:pt>
                <c:pt idx="478">
                  <c:v>-4.7243289572778489E-3</c:v>
                </c:pt>
                <c:pt idx="479">
                  <c:v>-1.6699439741769878E-2</c:v>
                </c:pt>
                <c:pt idx="480">
                  <c:v>5.2572506050463054E-3</c:v>
                </c:pt>
                <c:pt idx="481">
                  <c:v>-1.8390470919980061E-3</c:v>
                </c:pt>
                <c:pt idx="482">
                  <c:v>-9.299242114015574E-3</c:v>
                </c:pt>
                <c:pt idx="483">
                  <c:v>3.5780207923826282E-3</c:v>
                </c:pt>
                <c:pt idx="484">
                  <c:v>4.0946991908295616E-3</c:v>
                </c:pt>
                <c:pt idx="485">
                  <c:v>8.5782177020358487E-3</c:v>
                </c:pt>
                <c:pt idx="486">
                  <c:v>-6.1935814093379239E-3</c:v>
                </c:pt>
                <c:pt idx="487">
                  <c:v>3.8224375139731918E-3</c:v>
                </c:pt>
                <c:pt idx="488">
                  <c:v>7.9692301881459232E-3</c:v>
                </c:pt>
                <c:pt idx="489">
                  <c:v>-1.2026502506067004E-2</c:v>
                </c:pt>
                <c:pt idx="490">
                  <c:v>-3.4378451095609011E-2</c:v>
                </c:pt>
                <c:pt idx="491">
                  <c:v>-8.7562914538705846E-3</c:v>
                </c:pt>
                <c:pt idx="492">
                  <c:v>8.7176164190290849E-3</c:v>
                </c:pt>
                <c:pt idx="493">
                  <c:v>-1.2715015932094148E-2</c:v>
                </c:pt>
                <c:pt idx="494">
                  <c:v>1.4561413939639999E-3</c:v>
                </c:pt>
                <c:pt idx="495">
                  <c:v>8.6725616779132521E-3</c:v>
                </c:pt>
                <c:pt idx="496">
                  <c:v>3.5312166382953872E-3</c:v>
                </c:pt>
                <c:pt idx="497">
                  <c:v>-3.8259832448178789E-3</c:v>
                </c:pt>
                <c:pt idx="498">
                  <c:v>4.6986282291947935E-5</c:v>
                </c:pt>
                <c:pt idx="499">
                  <c:v>1.18192097417025E-2</c:v>
                </c:pt>
                <c:pt idx="500">
                  <c:v>-1.3492813237782756E-2</c:v>
                </c:pt>
                <c:pt idx="501">
                  <c:v>5.9461016338330647E-3</c:v>
                </c:pt>
                <c:pt idx="502">
                  <c:v>1.8164741476024197E-2</c:v>
                </c:pt>
                <c:pt idx="503">
                  <c:v>4.3777406146124024E-3</c:v>
                </c:pt>
                <c:pt idx="504">
                  <c:v>2.909567406855022E-3</c:v>
                </c:pt>
                <c:pt idx="505">
                  <c:v>-2.4637771812041397E-3</c:v>
                </c:pt>
                <c:pt idx="506">
                  <c:v>6.7719363231306829E-3</c:v>
                </c:pt>
                <c:pt idx="507">
                  <c:v>3.9610689890249105E-3</c:v>
                </c:pt>
                <c:pt idx="508">
                  <c:v>3.3139665505616581E-3</c:v>
                </c:pt>
                <c:pt idx="509">
                  <c:v>-6.7963632360898982E-3</c:v>
                </c:pt>
                <c:pt idx="510">
                  <c:v>-2.7225922062736264E-4</c:v>
                </c:pt>
                <c:pt idx="511">
                  <c:v>-1.8557252090228868E-3</c:v>
                </c:pt>
                <c:pt idx="512">
                  <c:v>-9.2281286780808332E-3</c:v>
                </c:pt>
                <c:pt idx="513">
                  <c:v>6.9044222126481223E-4</c:v>
                </c:pt>
                <c:pt idx="514">
                  <c:v>-2.8338348868783567E-3</c:v>
                </c:pt>
                <c:pt idx="515">
                  <c:v>-1.1859754604752786E-2</c:v>
                </c:pt>
                <c:pt idx="516">
                  <c:v>-4.6759133256253551E-3</c:v>
                </c:pt>
                <c:pt idx="517">
                  <c:v>-3.2178987166442616E-3</c:v>
                </c:pt>
                <c:pt idx="518">
                  <c:v>-1.9912055515668658E-3</c:v>
                </c:pt>
                <c:pt idx="519">
                  <c:v>-4.54451354757744E-3</c:v>
                </c:pt>
                <c:pt idx="520">
                  <c:v>-5.0038412280773558E-3</c:v>
                </c:pt>
                <c:pt idx="521">
                  <c:v>3.8547749529359456E-4</c:v>
                </c:pt>
                <c:pt idx="522">
                  <c:v>4.9822986502723382E-3</c:v>
                </c:pt>
                <c:pt idx="523">
                  <c:v>-1.4294920905893804E-2</c:v>
                </c:pt>
                <c:pt idx="524">
                  <c:v>-1.3916289983911017E-2</c:v>
                </c:pt>
                <c:pt idx="525">
                  <c:v>2.4799247878459839E-3</c:v>
                </c:pt>
                <c:pt idx="526">
                  <c:v>-6.7746539255222745E-3</c:v>
                </c:pt>
                <c:pt idx="527">
                  <c:v>-6.2307591794673453E-3</c:v>
                </c:pt>
                <c:pt idx="528">
                  <c:v>-2.553320088896382E-3</c:v>
                </c:pt>
                <c:pt idx="529">
                  <c:v>-1.2565897419559919E-3</c:v>
                </c:pt>
                <c:pt idx="530">
                  <c:v>-3.777353265660895E-3</c:v>
                </c:pt>
                <c:pt idx="531">
                  <c:v>6.0550110097880711E-5</c:v>
                </c:pt>
                <c:pt idx="532">
                  <c:v>2.0595199556714475E-2</c:v>
                </c:pt>
                <c:pt idx="533">
                  <c:v>1.0587136672521627E-2</c:v>
                </c:pt>
                <c:pt idx="534">
                  <c:v>-1.1300334553705684E-4</c:v>
                </c:pt>
                <c:pt idx="535">
                  <c:v>2.8791266246269427E-3</c:v>
                </c:pt>
                <c:pt idx="536">
                  <c:v>-4.4302497643793353E-4</c:v>
                </c:pt>
                <c:pt idx="537">
                  <c:v>-2.0156238839330949E-3</c:v>
                </c:pt>
                <c:pt idx="538">
                  <c:v>-7.4639123873127804E-3</c:v>
                </c:pt>
                <c:pt idx="539">
                  <c:v>7.9689954096243912E-3</c:v>
                </c:pt>
                <c:pt idx="540">
                  <c:v>-1.7061258662417263E-2</c:v>
                </c:pt>
                <c:pt idx="541">
                  <c:v>4.4645032280376789E-3</c:v>
                </c:pt>
                <c:pt idx="542">
                  <c:v>1.4299960675463819E-3</c:v>
                </c:pt>
                <c:pt idx="543">
                  <c:v>-8.4411300971800069E-3</c:v>
                </c:pt>
                <c:pt idx="544">
                  <c:v>-4.0862994243808255E-3</c:v>
                </c:pt>
                <c:pt idx="545">
                  <c:v>-4.4273726445535509E-3</c:v>
                </c:pt>
                <c:pt idx="546">
                  <c:v>-3.9184619221447231E-4</c:v>
                </c:pt>
                <c:pt idx="547">
                  <c:v>-1.1457085799585057E-2</c:v>
                </c:pt>
                <c:pt idx="548">
                  <c:v>-7.6462847490889095E-3</c:v>
                </c:pt>
                <c:pt idx="549">
                  <c:v>7.7948520688599652E-3</c:v>
                </c:pt>
                <c:pt idx="550">
                  <c:v>7.7051066257821455E-3</c:v>
                </c:pt>
                <c:pt idx="551">
                  <c:v>1.1931300106318351E-2</c:v>
                </c:pt>
                <c:pt idx="552">
                  <c:v>5.2906640062609861E-3</c:v>
                </c:pt>
                <c:pt idx="553">
                  <c:v>-1.0478683760774656E-2</c:v>
                </c:pt>
                <c:pt idx="554">
                  <c:v>-3.8376144739850429E-5</c:v>
                </c:pt>
                <c:pt idx="555">
                  <c:v>3.2070784240713075E-3</c:v>
                </c:pt>
                <c:pt idx="556">
                  <c:v>-1.5431518365265314E-3</c:v>
                </c:pt>
                <c:pt idx="557">
                  <c:v>-3.5235217862523565E-4</c:v>
                </c:pt>
                <c:pt idx="558">
                  <c:v>-1.8330796039284041E-2</c:v>
                </c:pt>
                <c:pt idx="559">
                  <c:v>5.4037108365606705E-3</c:v>
                </c:pt>
                <c:pt idx="560">
                  <c:v>1.9577935047773178E-3</c:v>
                </c:pt>
                <c:pt idx="561">
                  <c:v>-6.2898089166328771E-4</c:v>
                </c:pt>
                <c:pt idx="562">
                  <c:v>-7.2474554859409054E-3</c:v>
                </c:pt>
                <c:pt idx="563">
                  <c:v>1.2901474775441577E-2</c:v>
                </c:pt>
                <c:pt idx="564">
                  <c:v>6.529309969873786E-3</c:v>
                </c:pt>
                <c:pt idx="565">
                  <c:v>8.0110210555866673E-3</c:v>
                </c:pt>
                <c:pt idx="566">
                  <c:v>-1.357144765368601E-3</c:v>
                </c:pt>
                <c:pt idx="567">
                  <c:v>-1.472247200172664E-2</c:v>
                </c:pt>
                <c:pt idx="568">
                  <c:v>-1.1453968702418728E-3</c:v>
                </c:pt>
                <c:pt idx="569">
                  <c:v>8.6656309003921364E-3</c:v>
                </c:pt>
                <c:pt idx="570">
                  <c:v>4.7799907620131647E-4</c:v>
                </c:pt>
                <c:pt idx="571">
                  <c:v>-5.4159066420606068E-3</c:v>
                </c:pt>
                <c:pt idx="572">
                  <c:v>-2.8544449052812135E-3</c:v>
                </c:pt>
                <c:pt idx="573">
                  <c:v>7.2361414795111406E-4</c:v>
                </c:pt>
                <c:pt idx="574">
                  <c:v>8.9861475061643464E-3</c:v>
                </c:pt>
                <c:pt idx="575">
                  <c:v>-4.0612946201964133E-3</c:v>
                </c:pt>
                <c:pt idx="576">
                  <c:v>4.1057850380800398E-3</c:v>
                </c:pt>
                <c:pt idx="577">
                  <c:v>7.9447146784663043E-3</c:v>
                </c:pt>
                <c:pt idx="578">
                  <c:v>3.2924967388058032E-3</c:v>
                </c:pt>
                <c:pt idx="579">
                  <c:v>-7.0609538356468677E-3</c:v>
                </c:pt>
                <c:pt idx="580">
                  <c:v>4.6900727601357104E-3</c:v>
                </c:pt>
                <c:pt idx="581">
                  <c:v>1.1822489916147548E-3</c:v>
                </c:pt>
                <c:pt idx="582">
                  <c:v>1.1530889012391402E-3</c:v>
                </c:pt>
                <c:pt idx="583">
                  <c:v>7.452034744889767E-4</c:v>
                </c:pt>
                <c:pt idx="584">
                  <c:v>-3.2342194674204387E-3</c:v>
                </c:pt>
                <c:pt idx="585">
                  <c:v>9.5527865704386674E-3</c:v>
                </c:pt>
                <c:pt idx="586">
                  <c:v>-1.399976675612491E-2</c:v>
                </c:pt>
                <c:pt idx="587">
                  <c:v>3.7687935569582988E-3</c:v>
                </c:pt>
                <c:pt idx="588">
                  <c:v>-1.3313727380112468E-2</c:v>
                </c:pt>
                <c:pt idx="589">
                  <c:v>-1.3531661797809255E-2</c:v>
                </c:pt>
                <c:pt idx="590">
                  <c:v>4.2673653867283659E-3</c:v>
                </c:pt>
                <c:pt idx="591">
                  <c:v>-4.3655022379551758E-3</c:v>
                </c:pt>
                <c:pt idx="592">
                  <c:v>-9.0436793797673727E-3</c:v>
                </c:pt>
                <c:pt idx="593">
                  <c:v>1.8169450080763795E-2</c:v>
                </c:pt>
                <c:pt idx="594">
                  <c:v>9.1097534235237421E-3</c:v>
                </c:pt>
                <c:pt idx="595">
                  <c:v>7.6397528085385214E-3</c:v>
                </c:pt>
                <c:pt idx="596">
                  <c:v>-5.490203089199599E-3</c:v>
                </c:pt>
                <c:pt idx="597">
                  <c:v>-3.355014493430336E-3</c:v>
                </c:pt>
                <c:pt idx="598">
                  <c:v>3.2448969757144777E-3</c:v>
                </c:pt>
                <c:pt idx="599">
                  <c:v>3.7461162080287352E-3</c:v>
                </c:pt>
                <c:pt idx="600">
                  <c:v>5.1816024832393318E-3</c:v>
                </c:pt>
                <c:pt idx="601">
                  <c:v>4.6023544492383782E-4</c:v>
                </c:pt>
                <c:pt idx="602">
                  <c:v>-1.5795137237500364E-4</c:v>
                </c:pt>
                <c:pt idx="603">
                  <c:v>1.5955885265750189E-2</c:v>
                </c:pt>
                <c:pt idx="604">
                  <c:v>1.5517902903850512E-2</c:v>
                </c:pt>
                <c:pt idx="605">
                  <c:v>-5.3126083362304323E-3</c:v>
                </c:pt>
                <c:pt idx="606">
                  <c:v>2.2490002046645988E-3</c:v>
                </c:pt>
                <c:pt idx="607">
                  <c:v>-3.0171880333193263E-2</c:v>
                </c:pt>
                <c:pt idx="608">
                  <c:v>1.3797438366853265E-2</c:v>
                </c:pt>
                <c:pt idx="609">
                  <c:v>-6.9116413422449898E-3</c:v>
                </c:pt>
                <c:pt idx="610">
                  <c:v>-6.799964118431415E-4</c:v>
                </c:pt>
                <c:pt idx="611">
                  <c:v>-7.2547567434568336E-3</c:v>
                </c:pt>
                <c:pt idx="612">
                  <c:v>1.3213113158048587E-2</c:v>
                </c:pt>
                <c:pt idx="613">
                  <c:v>-3.5822709190110658E-2</c:v>
                </c:pt>
                <c:pt idx="614">
                  <c:v>-2.5705215567278485E-4</c:v>
                </c:pt>
                <c:pt idx="615">
                  <c:v>1.7342924629750175E-2</c:v>
                </c:pt>
                <c:pt idx="616">
                  <c:v>-1.3738874876084081E-3</c:v>
                </c:pt>
                <c:pt idx="617">
                  <c:v>1.3409867756775782E-2</c:v>
                </c:pt>
                <c:pt idx="618">
                  <c:v>8.1708898550281947E-3</c:v>
                </c:pt>
                <c:pt idx="619">
                  <c:v>-2.4583040052269947E-3</c:v>
                </c:pt>
                <c:pt idx="620">
                  <c:v>9.6003193078926952E-3</c:v>
                </c:pt>
                <c:pt idx="621">
                  <c:v>-3.1020769050480296E-3</c:v>
                </c:pt>
                <c:pt idx="622">
                  <c:v>-2.2677841229596448E-3</c:v>
                </c:pt>
                <c:pt idx="623">
                  <c:v>-3.8859077772969439E-3</c:v>
                </c:pt>
                <c:pt idx="624">
                  <c:v>4.6114069603432738E-3</c:v>
                </c:pt>
                <c:pt idx="625">
                  <c:v>-2.9054255407835461E-3</c:v>
                </c:pt>
                <c:pt idx="626">
                  <c:v>4.5342258116305399E-3</c:v>
                </c:pt>
                <c:pt idx="627">
                  <c:v>-3.6214130231911538E-3</c:v>
                </c:pt>
                <c:pt idx="628">
                  <c:v>-8.9845878101992571E-3</c:v>
                </c:pt>
                <c:pt idx="629">
                  <c:v>-6.6188854092110909E-3</c:v>
                </c:pt>
                <c:pt idx="630">
                  <c:v>6.8294291547887703E-4</c:v>
                </c:pt>
                <c:pt idx="631">
                  <c:v>-5.4064348073495621E-3</c:v>
                </c:pt>
                <c:pt idx="632">
                  <c:v>-2.4941539718470484E-3</c:v>
                </c:pt>
                <c:pt idx="633">
                  <c:v>1.4322342564257021E-2</c:v>
                </c:pt>
                <c:pt idx="634">
                  <c:v>-1.8305358849562893E-2</c:v>
                </c:pt>
                <c:pt idx="635">
                  <c:v>-2.4958168281238275E-2</c:v>
                </c:pt>
                <c:pt idx="636">
                  <c:v>-3.3542074399545768E-3</c:v>
                </c:pt>
                <c:pt idx="637">
                  <c:v>1.1605340865085682E-2</c:v>
                </c:pt>
                <c:pt idx="638">
                  <c:v>3.3030122162995153E-3</c:v>
                </c:pt>
                <c:pt idx="639">
                  <c:v>-1.2394612330049399E-2</c:v>
                </c:pt>
                <c:pt idx="640">
                  <c:v>2.3756752444370109E-2</c:v>
                </c:pt>
                <c:pt idx="641">
                  <c:v>-5.9871597137580628E-3</c:v>
                </c:pt>
                <c:pt idx="642">
                  <c:v>-2.0414726991549642E-2</c:v>
                </c:pt>
                <c:pt idx="643">
                  <c:v>-2.329429096765416E-2</c:v>
                </c:pt>
                <c:pt idx="644">
                  <c:v>-1.246254117899584E-3</c:v>
                </c:pt>
                <c:pt idx="645">
                  <c:v>3.1208858755336927E-3</c:v>
                </c:pt>
                <c:pt idx="646">
                  <c:v>-6.0175401590912524E-3</c:v>
                </c:pt>
                <c:pt idx="647">
                  <c:v>6.8667431667698816E-3</c:v>
                </c:pt>
                <c:pt idx="648">
                  <c:v>4.9045473773685873E-3</c:v>
                </c:pt>
                <c:pt idx="649">
                  <c:v>4.3152983074354282E-3</c:v>
                </c:pt>
                <c:pt idx="650">
                  <c:v>-6.79523505393545E-3</c:v>
                </c:pt>
                <c:pt idx="651">
                  <c:v>1.3931747251845696E-3</c:v>
                </c:pt>
                <c:pt idx="652">
                  <c:v>1.0815117727836302E-2</c:v>
                </c:pt>
                <c:pt idx="653">
                  <c:v>1.409580464731338E-2</c:v>
                </c:pt>
                <c:pt idx="654">
                  <c:v>1.1921787587579362E-2</c:v>
                </c:pt>
                <c:pt idx="655">
                  <c:v>4.3150242098226625E-3</c:v>
                </c:pt>
                <c:pt idx="656">
                  <c:v>-3.1085872455441175E-3</c:v>
                </c:pt>
                <c:pt idx="657">
                  <c:v>6.4396134434516264E-3</c:v>
                </c:pt>
                <c:pt idx="658">
                  <c:v>6.2309212831982777E-3</c:v>
                </c:pt>
                <c:pt idx="659">
                  <c:v>-1.2228313598761027E-4</c:v>
                </c:pt>
                <c:pt idx="660">
                  <c:v>-3.013667788950845E-2</c:v>
                </c:pt>
                <c:pt idx="661">
                  <c:v>1.2365179781185335E-4</c:v>
                </c:pt>
                <c:pt idx="662">
                  <c:v>-5.7052707313523972E-3</c:v>
                </c:pt>
                <c:pt idx="663">
                  <c:v>-9.6591870026507386E-3</c:v>
                </c:pt>
                <c:pt idx="664">
                  <c:v>2.9506615180818858E-3</c:v>
                </c:pt>
                <c:pt idx="665">
                  <c:v>6.546686896801243E-3</c:v>
                </c:pt>
                <c:pt idx="666">
                  <c:v>1.5942719336967424E-2</c:v>
                </c:pt>
                <c:pt idx="667">
                  <c:v>1.6992336419450662E-3</c:v>
                </c:pt>
                <c:pt idx="668">
                  <c:v>-4.5873691425747922E-3</c:v>
                </c:pt>
                <c:pt idx="669">
                  <c:v>6.6004853160410108E-3</c:v>
                </c:pt>
                <c:pt idx="670">
                  <c:v>1.022501891808E-2</c:v>
                </c:pt>
                <c:pt idx="671">
                  <c:v>-2.1914003263152149E-3</c:v>
                </c:pt>
                <c:pt idx="672">
                  <c:v>2.1423978051536112E-2</c:v>
                </c:pt>
                <c:pt idx="673">
                  <c:v>-1.3694172261377934E-2</c:v>
                </c:pt>
                <c:pt idx="674">
                  <c:v>1.3757627101022209E-3</c:v>
                </c:pt>
                <c:pt idx="675">
                  <c:v>9.1824203026074809E-3</c:v>
                </c:pt>
                <c:pt idx="676">
                  <c:v>-3.1614554673833123E-3</c:v>
                </c:pt>
                <c:pt idx="677">
                  <c:v>-1.424691398946169E-2</c:v>
                </c:pt>
                <c:pt idx="678">
                  <c:v>1.0639415947637254E-2</c:v>
                </c:pt>
                <c:pt idx="679">
                  <c:v>2.6398043782951052E-4</c:v>
                </c:pt>
                <c:pt idx="680">
                  <c:v>-6.1385348367471414E-3</c:v>
                </c:pt>
                <c:pt idx="681">
                  <c:v>-6.3682731825281964E-3</c:v>
                </c:pt>
                <c:pt idx="682">
                  <c:v>1.661192753535853E-2</c:v>
                </c:pt>
                <c:pt idx="683">
                  <c:v>8.0973749671372827E-3</c:v>
                </c:pt>
                <c:pt idx="684">
                  <c:v>4.7771496654011097E-3</c:v>
                </c:pt>
                <c:pt idx="685">
                  <c:v>-7.837308676740375E-3</c:v>
                </c:pt>
                <c:pt idx="686">
                  <c:v>2.2297247153173633E-3</c:v>
                </c:pt>
                <c:pt idx="687">
                  <c:v>4.027169560798338E-3</c:v>
                </c:pt>
                <c:pt idx="688">
                  <c:v>-6.3987743152430377E-3</c:v>
                </c:pt>
                <c:pt idx="689">
                  <c:v>4.0496321787157601E-3</c:v>
                </c:pt>
                <c:pt idx="690">
                  <c:v>-1.6702464263939981E-2</c:v>
                </c:pt>
                <c:pt idx="691">
                  <c:v>6.2853944839829229E-3</c:v>
                </c:pt>
                <c:pt idx="692">
                  <c:v>-3.7617656705686872E-3</c:v>
                </c:pt>
                <c:pt idx="693">
                  <c:v>-1.0111391978661326E-2</c:v>
                </c:pt>
                <c:pt idx="694">
                  <c:v>6.5606364994829115E-3</c:v>
                </c:pt>
                <c:pt idx="695">
                  <c:v>-9.2527901150195341E-3</c:v>
                </c:pt>
                <c:pt idx="696">
                  <c:v>1.7556185643762757E-2</c:v>
                </c:pt>
                <c:pt idx="697">
                  <c:v>7.224908368405651E-3</c:v>
                </c:pt>
                <c:pt idx="698">
                  <c:v>8.9864555717953116E-3</c:v>
                </c:pt>
                <c:pt idx="699">
                  <c:v>7.5136279523786665E-3</c:v>
                </c:pt>
                <c:pt idx="700">
                  <c:v>1.0623266516281907E-2</c:v>
                </c:pt>
                <c:pt idx="701">
                  <c:v>1.0023355041772999E-2</c:v>
                </c:pt>
                <c:pt idx="702">
                  <c:v>-1.1802413931140104E-2</c:v>
                </c:pt>
                <c:pt idx="703">
                  <c:v>2.2918261292177769E-3</c:v>
                </c:pt>
                <c:pt idx="704">
                  <c:v>-6.9011497185915416E-4</c:v>
                </c:pt>
                <c:pt idx="705">
                  <c:v>-2.7768288043365772E-3</c:v>
                </c:pt>
                <c:pt idx="706">
                  <c:v>-3.5239850070220425E-3</c:v>
                </c:pt>
                <c:pt idx="707">
                  <c:v>2.7911844728059902E-2</c:v>
                </c:pt>
                <c:pt idx="708">
                  <c:v>4.2631764392594834E-3</c:v>
                </c:pt>
                <c:pt idx="709">
                  <c:v>-5.9814208627021097E-3</c:v>
                </c:pt>
                <c:pt idx="710">
                  <c:v>-3.0572666050485238E-3</c:v>
                </c:pt>
                <c:pt idx="711">
                  <c:v>-9.2530434382254358E-3</c:v>
                </c:pt>
                <c:pt idx="712">
                  <c:v>-2.6774659672964516E-4</c:v>
                </c:pt>
                <c:pt idx="713">
                  <c:v>-9.8457167170867086E-3</c:v>
                </c:pt>
                <c:pt idx="714">
                  <c:v>7.8857918557722543E-4</c:v>
                </c:pt>
                <c:pt idx="715">
                  <c:v>2.472644555789692E-3</c:v>
                </c:pt>
                <c:pt idx="716">
                  <c:v>8.3245839595401958E-4</c:v>
                </c:pt>
                <c:pt idx="717">
                  <c:v>2.2804585299256389E-4</c:v>
                </c:pt>
                <c:pt idx="718">
                  <c:v>2.0078779908870911E-3</c:v>
                </c:pt>
                <c:pt idx="719">
                  <c:v>6.4127588845264757E-3</c:v>
                </c:pt>
                <c:pt idx="720">
                  <c:v>-5.5878939554762771E-3</c:v>
                </c:pt>
                <c:pt idx="721">
                  <c:v>-1.0041156871828353E-2</c:v>
                </c:pt>
                <c:pt idx="722">
                  <c:v>-2.2034768093589948E-2</c:v>
                </c:pt>
                <c:pt idx="723">
                  <c:v>-7.1116887525468717E-3</c:v>
                </c:pt>
                <c:pt idx="724">
                  <c:v>6.3959887946557327E-3</c:v>
                </c:pt>
                <c:pt idx="725">
                  <c:v>-9.5316676979145219E-3</c:v>
                </c:pt>
                <c:pt idx="726">
                  <c:v>2.3947785577033989E-2</c:v>
                </c:pt>
                <c:pt idx="727">
                  <c:v>4.1307284331334321E-3</c:v>
                </c:pt>
                <c:pt idx="728">
                  <c:v>1.3420122056674968E-4</c:v>
                </c:pt>
                <c:pt idx="729">
                  <c:v>-2.7071817096121329E-3</c:v>
                </c:pt>
                <c:pt idx="730">
                  <c:v>-1.5045571944941884E-2</c:v>
                </c:pt>
                <c:pt idx="731">
                  <c:v>-8.2017791771175864E-4</c:v>
                </c:pt>
                <c:pt idx="732">
                  <c:v>-3.8511283008865562E-3</c:v>
                </c:pt>
                <c:pt idx="733">
                  <c:v>-3.7422632111628069E-3</c:v>
                </c:pt>
                <c:pt idx="734">
                  <c:v>1.8546034809487869E-3</c:v>
                </c:pt>
                <c:pt idx="735">
                  <c:v>9.4027334279526802E-3</c:v>
                </c:pt>
                <c:pt idx="736">
                  <c:v>6.9537901927431587E-3</c:v>
                </c:pt>
                <c:pt idx="737">
                  <c:v>1.4952335374632319E-2</c:v>
                </c:pt>
                <c:pt idx="738">
                  <c:v>1.608900555800287E-2</c:v>
                </c:pt>
                <c:pt idx="739">
                  <c:v>6.6109815103016813E-3</c:v>
                </c:pt>
                <c:pt idx="740">
                  <c:v>-6.0231855443004358E-3</c:v>
                </c:pt>
                <c:pt idx="741">
                  <c:v>-2.9827856787152589E-3</c:v>
                </c:pt>
                <c:pt idx="742">
                  <c:v>-2.0059090632320652E-2</c:v>
                </c:pt>
                <c:pt idx="743">
                  <c:v>8.5366333866345543E-3</c:v>
                </c:pt>
                <c:pt idx="744">
                  <c:v>1.0275976452883743E-3</c:v>
                </c:pt>
                <c:pt idx="745">
                  <c:v>1.4355684202652385E-3</c:v>
                </c:pt>
                <c:pt idx="746">
                  <c:v>-3.7117337891115227E-3</c:v>
                </c:pt>
                <c:pt idx="747">
                  <c:v>-3.0926176681272026E-3</c:v>
                </c:pt>
                <c:pt idx="748">
                  <c:v>6.8070742760354339E-3</c:v>
                </c:pt>
                <c:pt idx="749">
                  <c:v>-1.7563934077131069E-2</c:v>
                </c:pt>
                <c:pt idx="750">
                  <c:v>-9.4899828374351951E-3</c:v>
                </c:pt>
                <c:pt idx="751">
                  <c:v>1.1549134762622771E-2</c:v>
                </c:pt>
                <c:pt idx="752">
                  <c:v>8.8348996441733885E-3</c:v>
                </c:pt>
                <c:pt idx="753">
                  <c:v>-3.1082964807927394E-4</c:v>
                </c:pt>
                <c:pt idx="754">
                  <c:v>-5.4323088287507072E-3</c:v>
                </c:pt>
                <c:pt idx="755">
                  <c:v>-7.282281293425113E-3</c:v>
                </c:pt>
                <c:pt idx="756">
                  <c:v>1.4784921721364416E-2</c:v>
                </c:pt>
                <c:pt idx="757">
                  <c:v>1.5700046487524256E-2</c:v>
                </c:pt>
                <c:pt idx="758">
                  <c:v>2.7295005915764685E-3</c:v>
                </c:pt>
                <c:pt idx="759">
                  <c:v>-6.5175754562923774E-3</c:v>
                </c:pt>
                <c:pt idx="760">
                  <c:v>9.2629910162068223E-3</c:v>
                </c:pt>
                <c:pt idx="761">
                  <c:v>-5.3429387182860897E-3</c:v>
                </c:pt>
                <c:pt idx="762">
                  <c:v>3.6948307102285648E-3</c:v>
                </c:pt>
                <c:pt idx="763">
                  <c:v>8.7552454842155039E-4</c:v>
                </c:pt>
                <c:pt idx="764">
                  <c:v>-1.716468661942604E-2</c:v>
                </c:pt>
                <c:pt idx="765">
                  <c:v>1.0051761879107057E-2</c:v>
                </c:pt>
                <c:pt idx="766">
                  <c:v>2.3786274793187898E-5</c:v>
                </c:pt>
                <c:pt idx="767">
                  <c:v>1.0175515622162601E-2</c:v>
                </c:pt>
                <c:pt idx="768">
                  <c:v>-5.6100427215192497E-3</c:v>
                </c:pt>
                <c:pt idx="769">
                  <c:v>-1.1089153227028694E-2</c:v>
                </c:pt>
                <c:pt idx="770">
                  <c:v>1.2187065047330589E-2</c:v>
                </c:pt>
                <c:pt idx="771">
                  <c:v>-8.8051085245927016E-3</c:v>
                </c:pt>
                <c:pt idx="772">
                  <c:v>8.802168043196253E-3</c:v>
                </c:pt>
                <c:pt idx="773">
                  <c:v>-1.2312870729792793E-3</c:v>
                </c:pt>
                <c:pt idx="774">
                  <c:v>-2.9611609114710662E-3</c:v>
                </c:pt>
                <c:pt idx="775">
                  <c:v>2.9515605114799623E-3</c:v>
                </c:pt>
                <c:pt idx="776">
                  <c:v>-2.6970068003316964E-3</c:v>
                </c:pt>
                <c:pt idx="777">
                  <c:v>1.2402401864033729E-2</c:v>
                </c:pt>
                <c:pt idx="778">
                  <c:v>-1.0958896866263711E-3</c:v>
                </c:pt>
                <c:pt idx="779">
                  <c:v>6.2988999192758657E-3</c:v>
                </c:pt>
                <c:pt idx="780">
                  <c:v>-7.2277946014744779E-3</c:v>
                </c:pt>
                <c:pt idx="781">
                  <c:v>1.8612382007087106E-3</c:v>
                </c:pt>
                <c:pt idx="782">
                  <c:v>-5.1812471006367775E-3</c:v>
                </c:pt>
                <c:pt idx="783">
                  <c:v>-9.245443647696399E-3</c:v>
                </c:pt>
                <c:pt idx="784">
                  <c:v>3.208736158713968E-3</c:v>
                </c:pt>
                <c:pt idx="785">
                  <c:v>-1.1306581189007023E-2</c:v>
                </c:pt>
                <c:pt idx="786">
                  <c:v>-5.9475969451149675E-3</c:v>
                </c:pt>
                <c:pt idx="787">
                  <c:v>1.0409982727302872E-2</c:v>
                </c:pt>
                <c:pt idx="788">
                  <c:v>-1.0950983937198731E-2</c:v>
                </c:pt>
                <c:pt idx="789">
                  <c:v>-6.7418591711245583E-3</c:v>
                </c:pt>
                <c:pt idx="790">
                  <c:v>7.911572842079384E-3</c:v>
                </c:pt>
                <c:pt idx="791">
                  <c:v>-2.9313645833535526E-3</c:v>
                </c:pt>
                <c:pt idx="792">
                  <c:v>-5.6746659218608105E-3</c:v>
                </c:pt>
                <c:pt idx="793">
                  <c:v>-1.0092662856656215E-2</c:v>
                </c:pt>
                <c:pt idx="794">
                  <c:v>-7.8496872428977793E-3</c:v>
                </c:pt>
                <c:pt idx="795">
                  <c:v>1.184720272262438E-2</c:v>
                </c:pt>
                <c:pt idx="796">
                  <c:v>-4.5321699786443131E-3</c:v>
                </c:pt>
                <c:pt idx="797">
                  <c:v>-1.300734991993921E-2</c:v>
                </c:pt>
                <c:pt idx="798">
                  <c:v>-2.3749782653652452E-2</c:v>
                </c:pt>
                <c:pt idx="799">
                  <c:v>5.1924908093025218E-3</c:v>
                </c:pt>
                <c:pt idx="800">
                  <c:v>-1.3662454006497016E-4</c:v>
                </c:pt>
                <c:pt idx="801">
                  <c:v>2.857638272821655E-2</c:v>
                </c:pt>
                <c:pt idx="802">
                  <c:v>6.5590143014468251E-3</c:v>
                </c:pt>
                <c:pt idx="803">
                  <c:v>1.2531107013420818E-2</c:v>
                </c:pt>
                <c:pt idx="804">
                  <c:v>1.5698511854986677E-2</c:v>
                </c:pt>
                <c:pt idx="805">
                  <c:v>1.0009918092485186E-3</c:v>
                </c:pt>
                <c:pt idx="806">
                  <c:v>1.0425155154280686E-2</c:v>
                </c:pt>
                <c:pt idx="807">
                  <c:v>1.7969616745103088E-3</c:v>
                </c:pt>
                <c:pt idx="808">
                  <c:v>-5.1572549998307885E-3</c:v>
                </c:pt>
                <c:pt idx="809">
                  <c:v>-9.5739938723368931E-3</c:v>
                </c:pt>
                <c:pt idx="810">
                  <c:v>1.3887413523288211E-2</c:v>
                </c:pt>
                <c:pt idx="811">
                  <c:v>-1.1480676902565629E-2</c:v>
                </c:pt>
                <c:pt idx="812">
                  <c:v>-2.8353427242863625E-3</c:v>
                </c:pt>
                <c:pt idx="813">
                  <c:v>-7.4588137247076644E-3</c:v>
                </c:pt>
                <c:pt idx="814">
                  <c:v>2.6588018398319008E-2</c:v>
                </c:pt>
                <c:pt idx="815">
                  <c:v>-1.0697198479794525E-2</c:v>
                </c:pt>
                <c:pt idx="816">
                  <c:v>8.165482260105255E-3</c:v>
                </c:pt>
                <c:pt idx="817">
                  <c:v>1.2838516931740516E-2</c:v>
                </c:pt>
                <c:pt idx="818">
                  <c:v>-7.0095308929547543E-3</c:v>
                </c:pt>
                <c:pt idx="819">
                  <c:v>1.1980283349148349E-2</c:v>
                </c:pt>
                <c:pt idx="820">
                  <c:v>-9.4607464181901725E-3</c:v>
                </c:pt>
                <c:pt idx="821">
                  <c:v>4.84856951039797E-3</c:v>
                </c:pt>
                <c:pt idx="822">
                  <c:v>-1.1001814510765682E-3</c:v>
                </c:pt>
                <c:pt idx="823">
                  <c:v>-9.8877342558471668E-3</c:v>
                </c:pt>
                <c:pt idx="824">
                  <c:v>1.3027832698556438E-2</c:v>
                </c:pt>
                <c:pt idx="825">
                  <c:v>-5.6876181713979548E-4</c:v>
                </c:pt>
                <c:pt idx="826">
                  <c:v>-5.5340938147486777E-3</c:v>
                </c:pt>
                <c:pt idx="827">
                  <c:v>6.1099676637101389E-4</c:v>
                </c:pt>
                <c:pt idx="828">
                  <c:v>8.235243125741365E-3</c:v>
                </c:pt>
                <c:pt idx="829">
                  <c:v>-5.4839146021519701E-3</c:v>
                </c:pt>
                <c:pt idx="830">
                  <c:v>1.8519103297299995E-4</c:v>
                </c:pt>
                <c:pt idx="831">
                  <c:v>-4.2722469107259976E-3</c:v>
                </c:pt>
                <c:pt idx="832">
                  <c:v>1.0616523369777302E-2</c:v>
                </c:pt>
                <c:pt idx="833">
                  <c:v>5.790867035472989E-3</c:v>
                </c:pt>
                <c:pt idx="834">
                  <c:v>-3.5014223282421523E-3</c:v>
                </c:pt>
                <c:pt idx="835">
                  <c:v>-9.7796240749645248E-3</c:v>
                </c:pt>
                <c:pt idx="836">
                  <c:v>3.9001699826490717E-3</c:v>
                </c:pt>
                <c:pt idx="837">
                  <c:v>1.1440657308690331E-3</c:v>
                </c:pt>
                <c:pt idx="838">
                  <c:v>-1.0776373057910765E-2</c:v>
                </c:pt>
                <c:pt idx="839">
                  <c:v>2.9638220647060457E-3</c:v>
                </c:pt>
                <c:pt idx="840">
                  <c:v>4.5230519323808593E-3</c:v>
                </c:pt>
                <c:pt idx="841">
                  <c:v>-6.0329001852577327E-3</c:v>
                </c:pt>
                <c:pt idx="842">
                  <c:v>-2.7411686871260939E-3</c:v>
                </c:pt>
                <c:pt idx="843">
                  <c:v>2.0936084474771706E-3</c:v>
                </c:pt>
                <c:pt idx="844">
                  <c:v>-8.9411120139500748E-3</c:v>
                </c:pt>
                <c:pt idx="845">
                  <c:v>-1.3420330980915406E-3</c:v>
                </c:pt>
                <c:pt idx="846">
                  <c:v>-6.6673127883572301E-3</c:v>
                </c:pt>
                <c:pt idx="847">
                  <c:v>4.3799917550090923E-3</c:v>
                </c:pt>
                <c:pt idx="848">
                  <c:v>-1.9120999062953763E-2</c:v>
                </c:pt>
                <c:pt idx="849">
                  <c:v>-1.8643434347707634E-2</c:v>
                </c:pt>
                <c:pt idx="850">
                  <c:v>-1.1622128765360219E-2</c:v>
                </c:pt>
                <c:pt idx="851">
                  <c:v>-1.7600863688017178E-3</c:v>
                </c:pt>
                <c:pt idx="852">
                  <c:v>-1.882158187887879E-2</c:v>
                </c:pt>
                <c:pt idx="853">
                  <c:v>7.4816039121844069E-3</c:v>
                </c:pt>
                <c:pt idx="854">
                  <c:v>9.202720980147773E-3</c:v>
                </c:pt>
                <c:pt idx="855">
                  <c:v>-1.0612328529752336E-2</c:v>
                </c:pt>
                <c:pt idx="856">
                  <c:v>-3.6578906723851211E-3</c:v>
                </c:pt>
                <c:pt idx="857">
                  <c:v>8.3200740195367787E-3</c:v>
                </c:pt>
                <c:pt idx="858">
                  <c:v>-1.0844523344015337E-2</c:v>
                </c:pt>
                <c:pt idx="859">
                  <c:v>4.3591566329481898E-3</c:v>
                </c:pt>
                <c:pt idx="860">
                  <c:v>-5.0599722825473981E-3</c:v>
                </c:pt>
                <c:pt idx="861">
                  <c:v>1.7725809857880529E-2</c:v>
                </c:pt>
                <c:pt idx="862">
                  <c:v>2.0526648475299523E-2</c:v>
                </c:pt>
                <c:pt idx="863">
                  <c:v>-1.8811845731080974E-2</c:v>
                </c:pt>
                <c:pt idx="864">
                  <c:v>1.6910755111180355E-3</c:v>
                </c:pt>
                <c:pt idx="865">
                  <c:v>-1.0855254952466691E-3</c:v>
                </c:pt>
                <c:pt idx="866">
                  <c:v>-6.1442135210688659E-3</c:v>
                </c:pt>
                <c:pt idx="867">
                  <c:v>7.3527392153231591E-3</c:v>
                </c:pt>
                <c:pt idx="868">
                  <c:v>1.8239111826462227E-3</c:v>
                </c:pt>
                <c:pt idx="869">
                  <c:v>-4.9727538385350304E-3</c:v>
                </c:pt>
                <c:pt idx="870">
                  <c:v>9.335629207091637E-3</c:v>
                </c:pt>
                <c:pt idx="871">
                  <c:v>-2.5627314648614991E-3</c:v>
                </c:pt>
                <c:pt idx="872">
                  <c:v>-2.2981910107951999E-2</c:v>
                </c:pt>
                <c:pt idx="873">
                  <c:v>3.2810443522318243E-3</c:v>
                </c:pt>
                <c:pt idx="874">
                  <c:v>-2.960288097571854E-3</c:v>
                </c:pt>
                <c:pt idx="875">
                  <c:v>-3.2868759333466258E-4</c:v>
                </c:pt>
                <c:pt idx="876">
                  <c:v>-3.2309568543366506E-3</c:v>
                </c:pt>
                <c:pt idx="877">
                  <c:v>-8.9451859979868438E-3</c:v>
                </c:pt>
                <c:pt idx="878">
                  <c:v>-4.2213862433346282E-3</c:v>
                </c:pt>
                <c:pt idx="879">
                  <c:v>8.8413622979186327E-3</c:v>
                </c:pt>
                <c:pt idx="880">
                  <c:v>-5.8255362368339839E-3</c:v>
                </c:pt>
                <c:pt idx="881">
                  <c:v>6.247069367314056E-3</c:v>
                </c:pt>
                <c:pt idx="882">
                  <c:v>5.3738244091224461E-3</c:v>
                </c:pt>
                <c:pt idx="883">
                  <c:v>-2.416934356899519E-3</c:v>
                </c:pt>
                <c:pt idx="884">
                  <c:v>2.1992355231261699E-3</c:v>
                </c:pt>
                <c:pt idx="885">
                  <c:v>-3.1632972926024551E-2</c:v>
                </c:pt>
                <c:pt idx="886">
                  <c:v>-1.5248406427964229E-2</c:v>
                </c:pt>
                <c:pt idx="887">
                  <c:v>-9.0699847347429554E-3</c:v>
                </c:pt>
                <c:pt idx="888">
                  <c:v>6.1808448180292203E-3</c:v>
                </c:pt>
                <c:pt idx="889">
                  <c:v>-1.9334825109182899E-3</c:v>
                </c:pt>
                <c:pt idx="890">
                  <c:v>-4.815848463658335E-2</c:v>
                </c:pt>
                <c:pt idx="891">
                  <c:v>1.6166936498133968E-2</c:v>
                </c:pt>
                <c:pt idx="892">
                  <c:v>4.3284695487173664E-3</c:v>
                </c:pt>
                <c:pt idx="893">
                  <c:v>-1.1076891490483437E-2</c:v>
                </c:pt>
                <c:pt idx="894">
                  <c:v>-4.2999608631267309E-3</c:v>
                </c:pt>
                <c:pt idx="895">
                  <c:v>1.1053001174487626E-2</c:v>
                </c:pt>
                <c:pt idx="896">
                  <c:v>-3.027718096685069E-4</c:v>
                </c:pt>
                <c:pt idx="897">
                  <c:v>-1.8837909215810859E-2</c:v>
                </c:pt>
                <c:pt idx="898">
                  <c:v>-1.3374982943418387E-2</c:v>
                </c:pt>
                <c:pt idx="899">
                  <c:v>8.6318458027612455E-3</c:v>
                </c:pt>
                <c:pt idx="900">
                  <c:v>3.8838572299374177E-3</c:v>
                </c:pt>
                <c:pt idx="901">
                  <c:v>-2.1572237065441056E-3</c:v>
                </c:pt>
                <c:pt idx="902">
                  <c:v>1.0582850072487798E-2</c:v>
                </c:pt>
                <c:pt idx="903">
                  <c:v>-2.4178057439845648E-3</c:v>
                </c:pt>
                <c:pt idx="904">
                  <c:v>-2.9426605195918023E-2</c:v>
                </c:pt>
                <c:pt idx="905">
                  <c:v>1.8819597298281828E-3</c:v>
                </c:pt>
                <c:pt idx="906">
                  <c:v>2.1067228515049613E-3</c:v>
                </c:pt>
                <c:pt idx="907">
                  <c:v>9.272259972822474E-4</c:v>
                </c:pt>
                <c:pt idx="908">
                  <c:v>2.800153255191601E-3</c:v>
                </c:pt>
                <c:pt idx="909">
                  <c:v>1.3895462540768256E-2</c:v>
                </c:pt>
                <c:pt idx="910">
                  <c:v>2.3905754108742533E-3</c:v>
                </c:pt>
                <c:pt idx="911">
                  <c:v>-3.3460304428160189E-3</c:v>
                </c:pt>
                <c:pt idx="912">
                  <c:v>1.0613203569021831E-2</c:v>
                </c:pt>
                <c:pt idx="913">
                  <c:v>-3.1956128724390867E-2</c:v>
                </c:pt>
                <c:pt idx="914">
                  <c:v>-7.828815416752323E-3</c:v>
                </c:pt>
                <c:pt idx="915">
                  <c:v>-7.2829500769196007E-3</c:v>
                </c:pt>
                <c:pt idx="916">
                  <c:v>8.5680907908532652E-3</c:v>
                </c:pt>
                <c:pt idx="917">
                  <c:v>3.4048805574985763E-3</c:v>
                </c:pt>
                <c:pt idx="918">
                  <c:v>-6.2716218316040259E-3</c:v>
                </c:pt>
                <c:pt idx="919">
                  <c:v>-3.2902451489834647E-3</c:v>
                </c:pt>
                <c:pt idx="920">
                  <c:v>2.8912691188600948E-2</c:v>
                </c:pt>
                <c:pt idx="921">
                  <c:v>1.4172731147791716E-2</c:v>
                </c:pt>
                <c:pt idx="922">
                  <c:v>5.9351939945774378E-3</c:v>
                </c:pt>
                <c:pt idx="923">
                  <c:v>-1.9233882078564298E-3</c:v>
                </c:pt>
                <c:pt idx="924">
                  <c:v>1.6455836906502346E-3</c:v>
                </c:pt>
                <c:pt idx="925">
                  <c:v>1.4668931396949001E-2</c:v>
                </c:pt>
                <c:pt idx="926">
                  <c:v>5.8401013373507275E-3</c:v>
                </c:pt>
                <c:pt idx="927">
                  <c:v>4.546325506406981E-3</c:v>
                </c:pt>
                <c:pt idx="928">
                  <c:v>2.1713886418057968E-2</c:v>
                </c:pt>
                <c:pt idx="929">
                  <c:v>-1.5366032584951067E-2</c:v>
                </c:pt>
                <c:pt idx="930">
                  <c:v>-2.1303500964281033E-2</c:v>
                </c:pt>
                <c:pt idx="931">
                  <c:v>-8.1268697748556225E-3</c:v>
                </c:pt>
                <c:pt idx="932">
                  <c:v>1.225954726404317E-2</c:v>
                </c:pt>
                <c:pt idx="933">
                  <c:v>-2.0658359291261387E-3</c:v>
                </c:pt>
                <c:pt idx="934">
                  <c:v>-3.1281139493990074E-4</c:v>
                </c:pt>
                <c:pt idx="935">
                  <c:v>-2.0339528705598506E-2</c:v>
                </c:pt>
                <c:pt idx="936">
                  <c:v>1.8539556518260326E-2</c:v>
                </c:pt>
                <c:pt idx="937">
                  <c:v>9.5199199091801009E-3</c:v>
                </c:pt>
                <c:pt idx="938">
                  <c:v>1.905919880602034E-2</c:v>
                </c:pt>
                <c:pt idx="939">
                  <c:v>1.3862601642303886E-2</c:v>
                </c:pt>
                <c:pt idx="940">
                  <c:v>2.3856744522402296E-3</c:v>
                </c:pt>
                <c:pt idx="941">
                  <c:v>-7.5917915760678788E-3</c:v>
                </c:pt>
                <c:pt idx="942">
                  <c:v>-5.2213418802295024E-4</c:v>
                </c:pt>
                <c:pt idx="943">
                  <c:v>-8.2993761085189393E-3</c:v>
                </c:pt>
                <c:pt idx="944">
                  <c:v>7.5417682719609433E-3</c:v>
                </c:pt>
                <c:pt idx="945">
                  <c:v>1.8361100828698965E-2</c:v>
                </c:pt>
                <c:pt idx="946">
                  <c:v>-6.2023376898056486E-4</c:v>
                </c:pt>
                <c:pt idx="947">
                  <c:v>7.5431298355994507E-3</c:v>
                </c:pt>
                <c:pt idx="948">
                  <c:v>-1.0742952364242424E-2</c:v>
                </c:pt>
                <c:pt idx="949">
                  <c:v>-1.3161619689893458E-4</c:v>
                </c:pt>
                <c:pt idx="950">
                  <c:v>7.5136225178655163E-3</c:v>
                </c:pt>
                <c:pt idx="951">
                  <c:v>-2.1557796162428311E-2</c:v>
                </c:pt>
                <c:pt idx="952">
                  <c:v>7.4455906501403246E-3</c:v>
                </c:pt>
                <c:pt idx="953">
                  <c:v>-1.0685910072142457E-2</c:v>
                </c:pt>
                <c:pt idx="954">
                  <c:v>-1.1607067968075788E-2</c:v>
                </c:pt>
                <c:pt idx="955">
                  <c:v>-1.5503078634183185E-3</c:v>
                </c:pt>
                <c:pt idx="956">
                  <c:v>-8.9061057390988352E-3</c:v>
                </c:pt>
                <c:pt idx="957">
                  <c:v>9.3726888120259297E-3</c:v>
                </c:pt>
                <c:pt idx="958">
                  <c:v>4.2364825975029791E-3</c:v>
                </c:pt>
                <c:pt idx="959">
                  <c:v>-4.7004421713997633E-3</c:v>
                </c:pt>
                <c:pt idx="960">
                  <c:v>-2.7114115037650773E-3</c:v>
                </c:pt>
                <c:pt idx="961">
                  <c:v>-4.63291899482049E-5</c:v>
                </c:pt>
                <c:pt idx="962">
                  <c:v>-9.8701271764444071E-3</c:v>
                </c:pt>
                <c:pt idx="963">
                  <c:v>4.7090571978196105E-3</c:v>
                </c:pt>
                <c:pt idx="964">
                  <c:v>-2.3877610482502562E-3</c:v>
                </c:pt>
                <c:pt idx="965">
                  <c:v>-3.7589386815596892E-3</c:v>
                </c:pt>
                <c:pt idx="966">
                  <c:v>1.957804040213524E-3</c:v>
                </c:pt>
                <c:pt idx="967">
                  <c:v>-1.1408035729546604E-2</c:v>
                </c:pt>
                <c:pt idx="968">
                  <c:v>-2.917945813856164E-2</c:v>
                </c:pt>
                <c:pt idx="969">
                  <c:v>-5.7937734266318413E-3</c:v>
                </c:pt>
                <c:pt idx="970">
                  <c:v>2.1854123692394721E-2</c:v>
                </c:pt>
                <c:pt idx="971">
                  <c:v>1.531869386872154E-2</c:v>
                </c:pt>
                <c:pt idx="972">
                  <c:v>9.3816189964226061E-4</c:v>
                </c:pt>
                <c:pt idx="973">
                  <c:v>1.6239623633874965E-2</c:v>
                </c:pt>
                <c:pt idx="974">
                  <c:v>-6.1380133750697403E-3</c:v>
                </c:pt>
                <c:pt idx="975">
                  <c:v>-3.2216447639208459E-2</c:v>
                </c:pt>
                <c:pt idx="976">
                  <c:v>-1.1479745901393279E-2</c:v>
                </c:pt>
                <c:pt idx="977">
                  <c:v>3.0586348036874305E-2</c:v>
                </c:pt>
                <c:pt idx="978">
                  <c:v>-2.0546738974407494E-2</c:v>
                </c:pt>
                <c:pt idx="979">
                  <c:v>8.5162561897969974E-3</c:v>
                </c:pt>
                <c:pt idx="980">
                  <c:v>2.275371447806503E-2</c:v>
                </c:pt>
                <c:pt idx="981">
                  <c:v>4.5758157585968151E-3</c:v>
                </c:pt>
                <c:pt idx="982">
                  <c:v>-3.4049437944326782E-3</c:v>
                </c:pt>
                <c:pt idx="983">
                  <c:v>-2.2032181097762935E-2</c:v>
                </c:pt>
                <c:pt idx="984">
                  <c:v>-1.6003025115993323E-2</c:v>
                </c:pt>
                <c:pt idx="985">
                  <c:v>6.3700093494924361E-3</c:v>
                </c:pt>
                <c:pt idx="986">
                  <c:v>1.5620892945262565E-2</c:v>
                </c:pt>
                <c:pt idx="987">
                  <c:v>-5.9643653317287063E-3</c:v>
                </c:pt>
                <c:pt idx="988">
                  <c:v>-1.4565633762340935E-2</c:v>
                </c:pt>
                <c:pt idx="989">
                  <c:v>3.1775761164227125E-2</c:v>
                </c:pt>
                <c:pt idx="990">
                  <c:v>-2.7310503474944726E-2</c:v>
                </c:pt>
                <c:pt idx="991">
                  <c:v>1.0563266006189944E-2</c:v>
                </c:pt>
                <c:pt idx="992">
                  <c:v>2.1202640624489014E-2</c:v>
                </c:pt>
                <c:pt idx="993">
                  <c:v>1.6198951129413306E-2</c:v>
                </c:pt>
                <c:pt idx="994">
                  <c:v>1.4970788604120971E-2</c:v>
                </c:pt>
                <c:pt idx="995">
                  <c:v>5.2473791602984819E-3</c:v>
                </c:pt>
                <c:pt idx="996">
                  <c:v>1.1338774259993885E-2</c:v>
                </c:pt>
                <c:pt idx="997">
                  <c:v>-2.8110303081235657E-3</c:v>
                </c:pt>
                <c:pt idx="998">
                  <c:v>1.6138869604988941E-3</c:v>
                </c:pt>
                <c:pt idx="999">
                  <c:v>-2.6164981077854573E-3</c:v>
                </c:pt>
                <c:pt idx="1000">
                  <c:v>1.7426675364365086E-2</c:v>
                </c:pt>
                <c:pt idx="1001">
                  <c:v>-1.8981905558332431E-3</c:v>
                </c:pt>
                <c:pt idx="1002">
                  <c:v>-2.0678252611942907E-2</c:v>
                </c:pt>
                <c:pt idx="1003">
                  <c:v>-1.4313391211715135E-2</c:v>
                </c:pt>
                <c:pt idx="1004">
                  <c:v>-2.7703292226532745E-2</c:v>
                </c:pt>
                <c:pt idx="1005">
                  <c:v>1.5593312156028502E-3</c:v>
                </c:pt>
                <c:pt idx="1006">
                  <c:v>9.9465688316625681E-3</c:v>
                </c:pt>
                <c:pt idx="1007">
                  <c:v>-1.1653428323724409E-2</c:v>
                </c:pt>
                <c:pt idx="1008">
                  <c:v>9.8742441283079345E-3</c:v>
                </c:pt>
                <c:pt idx="1009">
                  <c:v>1.2198569548608434E-2</c:v>
                </c:pt>
                <c:pt idx="1010">
                  <c:v>8.8334736498135048E-3</c:v>
                </c:pt>
                <c:pt idx="1011">
                  <c:v>-6.9777326432505201E-3</c:v>
                </c:pt>
                <c:pt idx="1012">
                  <c:v>-8.1400442298735828E-3</c:v>
                </c:pt>
                <c:pt idx="1013">
                  <c:v>-2.0585623975487462E-2</c:v>
                </c:pt>
                <c:pt idx="1014">
                  <c:v>1.7167585958602141E-2</c:v>
                </c:pt>
                <c:pt idx="1015">
                  <c:v>-2.1416779238374439E-2</c:v>
                </c:pt>
                <c:pt idx="1016">
                  <c:v>-2.9552306852209612E-3</c:v>
                </c:pt>
                <c:pt idx="1017">
                  <c:v>1.7945484693863138E-2</c:v>
                </c:pt>
                <c:pt idx="1018">
                  <c:v>2.476517991481391E-2</c:v>
                </c:pt>
                <c:pt idx="1019">
                  <c:v>9.6391619155590386E-3</c:v>
                </c:pt>
                <c:pt idx="1020">
                  <c:v>1.3852497539659701E-2</c:v>
                </c:pt>
                <c:pt idx="1021">
                  <c:v>1.5291452524448593E-2</c:v>
                </c:pt>
                <c:pt idx="1022">
                  <c:v>-1.2553645442920388E-2</c:v>
                </c:pt>
                <c:pt idx="1023">
                  <c:v>-1.7919687218786721E-2</c:v>
                </c:pt>
                <c:pt idx="1024">
                  <c:v>-7.3341157477919477E-3</c:v>
                </c:pt>
                <c:pt idx="1025">
                  <c:v>3.5411507713988731E-2</c:v>
                </c:pt>
                <c:pt idx="1026">
                  <c:v>1.4916785672036904E-2</c:v>
                </c:pt>
                <c:pt idx="1027">
                  <c:v>5.8788608753576315E-3</c:v>
                </c:pt>
                <c:pt idx="1028">
                  <c:v>6.34629462876298E-4</c:v>
                </c:pt>
                <c:pt idx="1029">
                  <c:v>-6.0788255640366407E-3</c:v>
                </c:pt>
                <c:pt idx="1030">
                  <c:v>-3.4697657140839154E-3</c:v>
                </c:pt>
                <c:pt idx="1031">
                  <c:v>9.1639867004597881E-3</c:v>
                </c:pt>
                <c:pt idx="1032">
                  <c:v>8.4265120716511804E-3</c:v>
                </c:pt>
                <c:pt idx="1033">
                  <c:v>4.6877313310762078E-3</c:v>
                </c:pt>
                <c:pt idx="1034">
                  <c:v>-1.032430762717074E-2</c:v>
                </c:pt>
                <c:pt idx="1035">
                  <c:v>4.7309768082382797E-3</c:v>
                </c:pt>
                <c:pt idx="1036">
                  <c:v>1.2397178827979818E-2</c:v>
                </c:pt>
                <c:pt idx="1037">
                  <c:v>7.2585536110896642E-3</c:v>
                </c:pt>
                <c:pt idx="1038">
                  <c:v>9.5991274709218602E-4</c:v>
                </c:pt>
                <c:pt idx="1039">
                  <c:v>-5.4258561085412434E-3</c:v>
                </c:pt>
                <c:pt idx="1040">
                  <c:v>-9.520121183537011E-4</c:v>
                </c:pt>
                <c:pt idx="1041">
                  <c:v>-8.6407016358959251E-3</c:v>
                </c:pt>
                <c:pt idx="1042">
                  <c:v>-7.8141917223173568E-3</c:v>
                </c:pt>
                <c:pt idx="1043">
                  <c:v>1.7549271931136244E-3</c:v>
                </c:pt>
                <c:pt idx="1044">
                  <c:v>3.3993699722307082E-4</c:v>
                </c:pt>
                <c:pt idx="1045">
                  <c:v>6.5441140566238169E-3</c:v>
                </c:pt>
                <c:pt idx="1046">
                  <c:v>1.2130078109114166E-2</c:v>
                </c:pt>
                <c:pt idx="1047">
                  <c:v>-1.200261103993858E-2</c:v>
                </c:pt>
                <c:pt idx="1048">
                  <c:v>-9.7114379976372331E-3</c:v>
                </c:pt>
                <c:pt idx="1049">
                  <c:v>-8.6712310803307123E-3</c:v>
                </c:pt>
                <c:pt idx="1050">
                  <c:v>-3.9642279785059235E-2</c:v>
                </c:pt>
                <c:pt idx="1051">
                  <c:v>1.7898503739676715E-2</c:v>
                </c:pt>
                <c:pt idx="1052">
                  <c:v>2.448332711995924E-2</c:v>
                </c:pt>
                <c:pt idx="1053">
                  <c:v>2.7581868920448513E-3</c:v>
                </c:pt>
                <c:pt idx="1054">
                  <c:v>-1.6436956490552539E-2</c:v>
                </c:pt>
                <c:pt idx="1055">
                  <c:v>-3.9453209992603702E-3</c:v>
                </c:pt>
                <c:pt idx="1056">
                  <c:v>1.2317161509396638E-2</c:v>
                </c:pt>
                <c:pt idx="1057">
                  <c:v>1.9435693471078212E-2</c:v>
                </c:pt>
                <c:pt idx="1058">
                  <c:v>3.4928463136225524E-2</c:v>
                </c:pt>
                <c:pt idx="1059">
                  <c:v>1.8753357478662317E-3</c:v>
                </c:pt>
                <c:pt idx="1060">
                  <c:v>-5.5019702405249941E-3</c:v>
                </c:pt>
                <c:pt idx="1061">
                  <c:v>-1.3318369305564088E-2</c:v>
                </c:pt>
                <c:pt idx="1062">
                  <c:v>-2.5082720885671383E-2</c:v>
                </c:pt>
                <c:pt idx="1063">
                  <c:v>-6.877246468677007E-3</c:v>
                </c:pt>
                <c:pt idx="1064">
                  <c:v>1.7351846560378765E-2</c:v>
                </c:pt>
                <c:pt idx="1065">
                  <c:v>8.8527670643894982E-3</c:v>
                </c:pt>
                <c:pt idx="1066">
                  <c:v>-1.6586601572400573E-3</c:v>
                </c:pt>
                <c:pt idx="1067">
                  <c:v>1.105867351198688E-2</c:v>
                </c:pt>
                <c:pt idx="1068">
                  <c:v>-2.8015459663871083E-3</c:v>
                </c:pt>
                <c:pt idx="1069">
                  <c:v>4.557930054743896E-3</c:v>
                </c:pt>
                <c:pt idx="1070">
                  <c:v>-8.5252303684247403E-3</c:v>
                </c:pt>
                <c:pt idx="1071">
                  <c:v>-1.160809721167107E-3</c:v>
                </c:pt>
                <c:pt idx="1072">
                  <c:v>8.1209473486869004E-3</c:v>
                </c:pt>
                <c:pt idx="1073">
                  <c:v>2.6442122893841212E-3</c:v>
                </c:pt>
                <c:pt idx="1074">
                  <c:v>1.3796020367383445E-3</c:v>
                </c:pt>
                <c:pt idx="1075">
                  <c:v>-7.8596338763160974E-3</c:v>
                </c:pt>
                <c:pt idx="1076">
                  <c:v>-5.4155734042001134E-3</c:v>
                </c:pt>
                <c:pt idx="1077">
                  <c:v>-6.2770957662287418E-3</c:v>
                </c:pt>
                <c:pt idx="1078">
                  <c:v>-2.4540098705578693E-3</c:v>
                </c:pt>
                <c:pt idx="1079">
                  <c:v>2.2510799393324109E-3</c:v>
                </c:pt>
                <c:pt idx="1080">
                  <c:v>-4.0187977975379438E-3</c:v>
                </c:pt>
                <c:pt idx="1081">
                  <c:v>-7.8369646248412795E-3</c:v>
                </c:pt>
                <c:pt idx="1082">
                  <c:v>-1.1499893382243543E-2</c:v>
                </c:pt>
                <c:pt idx="1083">
                  <c:v>6.6794142345441077E-4</c:v>
                </c:pt>
                <c:pt idx="1084">
                  <c:v>3.9821813955563928E-3</c:v>
                </c:pt>
                <c:pt idx="1085">
                  <c:v>-2.0293602961963746E-2</c:v>
                </c:pt>
                <c:pt idx="1086">
                  <c:v>-2.0873653911857794E-3</c:v>
                </c:pt>
                <c:pt idx="1087">
                  <c:v>3.6337692112477768E-2</c:v>
                </c:pt>
                <c:pt idx="1088">
                  <c:v>1.8518574551769338E-2</c:v>
                </c:pt>
                <c:pt idx="1089">
                  <c:v>-7.4942882690717913E-4</c:v>
                </c:pt>
                <c:pt idx="1090">
                  <c:v>-1.6151682865676018E-2</c:v>
                </c:pt>
                <c:pt idx="1091">
                  <c:v>8.4731650848378116E-3</c:v>
                </c:pt>
                <c:pt idx="1092">
                  <c:v>-5.7479352127754743E-3</c:v>
                </c:pt>
                <c:pt idx="1093">
                  <c:v>1.0131286315611325E-2</c:v>
                </c:pt>
                <c:pt idx="1094">
                  <c:v>-5.3751294849341605E-4</c:v>
                </c:pt>
                <c:pt idx="1095">
                  <c:v>-2.5536804373262379E-2</c:v>
                </c:pt>
                <c:pt idx="1096">
                  <c:v>-1.9074185478975235E-3</c:v>
                </c:pt>
                <c:pt idx="1097">
                  <c:v>1.4785123750933754E-3</c:v>
                </c:pt>
                <c:pt idx="1098">
                  <c:v>3.0456802303656895E-3</c:v>
                </c:pt>
                <c:pt idx="1099">
                  <c:v>1.2004338860776743E-2</c:v>
                </c:pt>
                <c:pt idx="1100">
                  <c:v>-1.1804442241161217E-4</c:v>
                </c:pt>
                <c:pt idx="1101">
                  <c:v>-1.7872605306994763E-2</c:v>
                </c:pt>
                <c:pt idx="1102">
                  <c:v>-1.792012715199702E-4</c:v>
                </c:pt>
                <c:pt idx="1103">
                  <c:v>1.0449109210323331E-3</c:v>
                </c:pt>
                <c:pt idx="1104">
                  <c:v>-7.4605619207096891E-3</c:v>
                </c:pt>
                <c:pt idx="1105">
                  <c:v>-1.0893520957659155E-2</c:v>
                </c:pt>
                <c:pt idx="1106">
                  <c:v>-1.2136093529893602E-2</c:v>
                </c:pt>
                <c:pt idx="1107">
                  <c:v>1.5840316868270421E-3</c:v>
                </c:pt>
                <c:pt idx="1108">
                  <c:v>-4.5449304251440554E-3</c:v>
                </c:pt>
                <c:pt idx="1109">
                  <c:v>-3.3644429764459766E-3</c:v>
                </c:pt>
                <c:pt idx="1110">
                  <c:v>-1.4613276017620861E-2</c:v>
                </c:pt>
                <c:pt idx="1111">
                  <c:v>1.5790461853447738E-2</c:v>
                </c:pt>
                <c:pt idx="1112">
                  <c:v>3.7014052883384153E-3</c:v>
                </c:pt>
                <c:pt idx="1113">
                  <c:v>1.0859230422652481E-3</c:v>
                </c:pt>
                <c:pt idx="1114">
                  <c:v>-1.6078372573796603E-3</c:v>
                </c:pt>
                <c:pt idx="1115">
                  <c:v>3.5838047203678573E-3</c:v>
                </c:pt>
                <c:pt idx="1116">
                  <c:v>7.2457835556163034E-3</c:v>
                </c:pt>
                <c:pt idx="1117">
                  <c:v>2.7140316408834288E-3</c:v>
                </c:pt>
                <c:pt idx="1118">
                  <c:v>7.3670137878228039E-3</c:v>
                </c:pt>
                <c:pt idx="1119">
                  <c:v>-2.671282793680671E-2</c:v>
                </c:pt>
                <c:pt idx="1120">
                  <c:v>-2.9477353955332914E-3</c:v>
                </c:pt>
                <c:pt idx="1121">
                  <c:v>3.0058890971910012E-3</c:v>
                </c:pt>
                <c:pt idx="1122">
                  <c:v>2.4936230935875951E-3</c:v>
                </c:pt>
                <c:pt idx="1123">
                  <c:v>-1.0207530973484751E-2</c:v>
                </c:pt>
                <c:pt idx="1124">
                  <c:v>-6.6410861807493686E-3</c:v>
                </c:pt>
                <c:pt idx="1125">
                  <c:v>-2.0106356367864651E-2</c:v>
                </c:pt>
                <c:pt idx="1126">
                  <c:v>2.7877133790555873E-2</c:v>
                </c:pt>
                <c:pt idx="1127">
                  <c:v>5.966825162542173E-5</c:v>
                </c:pt>
                <c:pt idx="1128">
                  <c:v>6.4490746477755909E-3</c:v>
                </c:pt>
                <c:pt idx="1129">
                  <c:v>-2.1081017454313298E-3</c:v>
                </c:pt>
                <c:pt idx="1130">
                  <c:v>-6.9303893084426303E-3</c:v>
                </c:pt>
                <c:pt idx="1131">
                  <c:v>6.9405492986553807E-3</c:v>
                </c:pt>
                <c:pt idx="1132">
                  <c:v>1.0686212482763789E-3</c:v>
                </c:pt>
                <c:pt idx="1133">
                  <c:v>-5.5398635840242268E-5</c:v>
                </c:pt>
                <c:pt idx="1134">
                  <c:v>-1.2024200924636436E-2</c:v>
                </c:pt>
                <c:pt idx="1135">
                  <c:v>-2.4165098858036568E-3</c:v>
                </c:pt>
                <c:pt idx="1136">
                  <c:v>-1.1359969094611101E-2</c:v>
                </c:pt>
                <c:pt idx="1137">
                  <c:v>-1.2403245340813336E-2</c:v>
                </c:pt>
                <c:pt idx="1138">
                  <c:v>-4.3474947128909324E-3</c:v>
                </c:pt>
                <c:pt idx="1139">
                  <c:v>9.7241447100487064E-4</c:v>
                </c:pt>
                <c:pt idx="1140">
                  <c:v>-3.2971588662448195E-3</c:v>
                </c:pt>
                <c:pt idx="1141">
                  <c:v>4.8664050817026228E-3</c:v>
                </c:pt>
                <c:pt idx="1142">
                  <c:v>6.3046724837719165E-3</c:v>
                </c:pt>
                <c:pt idx="1143">
                  <c:v>-1.180732539439764E-2</c:v>
                </c:pt>
                <c:pt idx="1144">
                  <c:v>-4.6952737073342101E-3</c:v>
                </c:pt>
                <c:pt idx="1145">
                  <c:v>4.364158527872114E-3</c:v>
                </c:pt>
                <c:pt idx="1146">
                  <c:v>-4.2100156943712412E-3</c:v>
                </c:pt>
                <c:pt idx="1147">
                  <c:v>2.0759439657742434E-3</c:v>
                </c:pt>
                <c:pt idx="1148">
                  <c:v>-9.4336509293964557E-3</c:v>
                </c:pt>
                <c:pt idx="1149">
                  <c:v>1.0455793371277149E-3</c:v>
                </c:pt>
                <c:pt idx="1150">
                  <c:v>-1.4919579176011017E-2</c:v>
                </c:pt>
                <c:pt idx="1151">
                  <c:v>1.2594300744563023E-2</c:v>
                </c:pt>
                <c:pt idx="1152">
                  <c:v>-1.7751058106255184E-3</c:v>
                </c:pt>
                <c:pt idx="1153">
                  <c:v>2.3882921391609995E-4</c:v>
                </c:pt>
                <c:pt idx="1154">
                  <c:v>3.5384628392105644E-3</c:v>
                </c:pt>
                <c:pt idx="1155">
                  <c:v>-2.7292634541776009E-3</c:v>
                </c:pt>
                <c:pt idx="1156">
                  <c:v>-1.254564981594217E-2</c:v>
                </c:pt>
                <c:pt idx="1157">
                  <c:v>-3.7363382047980156E-4</c:v>
                </c:pt>
                <c:pt idx="1158">
                  <c:v>1.7097546461478676E-3</c:v>
                </c:pt>
                <c:pt idx="1159">
                  <c:v>-1.3071697386832013E-2</c:v>
                </c:pt>
                <c:pt idx="1160">
                  <c:v>-1.301530332880584E-3</c:v>
                </c:pt>
                <c:pt idx="1161">
                  <c:v>-1.8131002460480966E-2</c:v>
                </c:pt>
                <c:pt idx="1162">
                  <c:v>8.6494038913214298E-3</c:v>
                </c:pt>
                <c:pt idx="1163">
                  <c:v>-6.4329744686191367E-3</c:v>
                </c:pt>
                <c:pt idx="1164">
                  <c:v>-7.3242353673824258E-3</c:v>
                </c:pt>
                <c:pt idx="1165">
                  <c:v>9.7036319254119718E-3</c:v>
                </c:pt>
                <c:pt idx="1166">
                  <c:v>1.2731118557528114E-3</c:v>
                </c:pt>
                <c:pt idx="1167">
                  <c:v>-9.0403850030730259E-3</c:v>
                </c:pt>
                <c:pt idx="1168">
                  <c:v>6.4532852312292419E-3</c:v>
                </c:pt>
                <c:pt idx="1169">
                  <c:v>-2.3128922847039882E-3</c:v>
                </c:pt>
                <c:pt idx="1170">
                  <c:v>-1.0926145237227743E-2</c:v>
                </c:pt>
                <c:pt idx="1171">
                  <c:v>-1.576404894798954E-2</c:v>
                </c:pt>
                <c:pt idx="1172">
                  <c:v>-1.4679512417725355E-2</c:v>
                </c:pt>
                <c:pt idx="1173">
                  <c:v>2.2688446684274784E-2</c:v>
                </c:pt>
                <c:pt idx="1174">
                  <c:v>7.1345889989243199E-3</c:v>
                </c:pt>
                <c:pt idx="1175">
                  <c:v>1.678018067690842E-2</c:v>
                </c:pt>
                <c:pt idx="1176">
                  <c:v>-1.315920643767637E-3</c:v>
                </c:pt>
                <c:pt idx="1177">
                  <c:v>5.4572049277361243E-3</c:v>
                </c:pt>
                <c:pt idx="1178">
                  <c:v>-5.5256360174998909E-3</c:v>
                </c:pt>
                <c:pt idx="1179">
                  <c:v>-1.8607865613925315E-3</c:v>
                </c:pt>
                <c:pt idx="1180">
                  <c:v>2.0799523135311634E-2</c:v>
                </c:pt>
                <c:pt idx="1181">
                  <c:v>1.4989042388775889E-2</c:v>
                </c:pt>
                <c:pt idx="1182">
                  <c:v>-3.9333113447382988E-3</c:v>
                </c:pt>
                <c:pt idx="1183">
                  <c:v>1.7801990968731032E-3</c:v>
                </c:pt>
                <c:pt idx="1184">
                  <c:v>4.2456396964523297E-3</c:v>
                </c:pt>
                <c:pt idx="1185">
                  <c:v>4.8164322940951977E-3</c:v>
                </c:pt>
                <c:pt idx="1186">
                  <c:v>6.7242309737482481E-3</c:v>
                </c:pt>
                <c:pt idx="1187">
                  <c:v>-5.4016478110328735E-3</c:v>
                </c:pt>
                <c:pt idx="1188">
                  <c:v>8.6317316690786763E-3</c:v>
                </c:pt>
                <c:pt idx="1189">
                  <c:v>-8.5713440386238904E-3</c:v>
                </c:pt>
                <c:pt idx="1190">
                  <c:v>5.7109199413771057E-3</c:v>
                </c:pt>
                <c:pt idx="1191">
                  <c:v>-1.9569413600266518E-5</c:v>
                </c:pt>
                <c:pt idx="1192">
                  <c:v>-9.2691537056761499E-3</c:v>
                </c:pt>
                <c:pt idx="1193">
                  <c:v>-1.2317956669901695E-2</c:v>
                </c:pt>
                <c:pt idx="1194">
                  <c:v>1.5503557554826519E-3</c:v>
                </c:pt>
                <c:pt idx="1195">
                  <c:v>2.6747023995790067E-2</c:v>
                </c:pt>
                <c:pt idx="1196">
                  <c:v>1.5114556731283129E-2</c:v>
                </c:pt>
                <c:pt idx="1197">
                  <c:v>-1.671548089357793E-3</c:v>
                </c:pt>
                <c:pt idx="1198">
                  <c:v>8.1045547181704987E-3</c:v>
                </c:pt>
                <c:pt idx="1199">
                  <c:v>2.4771824460576985E-4</c:v>
                </c:pt>
                <c:pt idx="1200">
                  <c:v>3.0961235749037111E-3</c:v>
                </c:pt>
                <c:pt idx="1201">
                  <c:v>-2.1721141996876246E-4</c:v>
                </c:pt>
                <c:pt idx="1202">
                  <c:v>-1.3423934797833798E-2</c:v>
                </c:pt>
                <c:pt idx="1203">
                  <c:v>-4.4178203473064755E-3</c:v>
                </c:pt>
                <c:pt idx="1204">
                  <c:v>7.6756084797935387E-3</c:v>
                </c:pt>
                <c:pt idx="1205">
                  <c:v>-2.7951287265708556E-3</c:v>
                </c:pt>
                <c:pt idx="1206">
                  <c:v>1.7017570213907669E-3</c:v>
                </c:pt>
                <c:pt idx="1207">
                  <c:v>2.1485777590132854E-3</c:v>
                </c:pt>
                <c:pt idx="1208">
                  <c:v>8.5819369045579789E-3</c:v>
                </c:pt>
                <c:pt idx="1209">
                  <c:v>-1.505835105526274E-2</c:v>
                </c:pt>
                <c:pt idx="1210">
                  <c:v>-1.7441416806982309E-2</c:v>
                </c:pt>
                <c:pt idx="1211">
                  <c:v>1.0493053122981886E-2</c:v>
                </c:pt>
                <c:pt idx="1212">
                  <c:v>1.8587258230888751E-4</c:v>
                </c:pt>
                <c:pt idx="1213">
                  <c:v>-9.735662364487481E-3</c:v>
                </c:pt>
                <c:pt idx="1214">
                  <c:v>-1.2627709801206994E-2</c:v>
                </c:pt>
                <c:pt idx="1215">
                  <c:v>-1.2606157393361222E-2</c:v>
                </c:pt>
                <c:pt idx="1216">
                  <c:v>-1.4095753001514571E-2</c:v>
                </c:pt>
                <c:pt idx="1217">
                  <c:v>2.6267160415472265E-2</c:v>
                </c:pt>
                <c:pt idx="1218">
                  <c:v>1.505352510218644E-2</c:v>
                </c:pt>
                <c:pt idx="1219">
                  <c:v>5.3012534939202924E-3</c:v>
                </c:pt>
                <c:pt idx="1220">
                  <c:v>-1.1991472857701599E-2</c:v>
                </c:pt>
                <c:pt idx="1221">
                  <c:v>3.0519082845146448E-3</c:v>
                </c:pt>
                <c:pt idx="1222">
                  <c:v>-1.3581409681549897E-2</c:v>
                </c:pt>
                <c:pt idx="1223">
                  <c:v>-1.735328920554758E-2</c:v>
                </c:pt>
                <c:pt idx="1224">
                  <c:v>2.3671861208817459E-2</c:v>
                </c:pt>
                <c:pt idx="1225">
                  <c:v>-1.4422653916424E-2</c:v>
                </c:pt>
                <c:pt idx="1226">
                  <c:v>4.8041016943543118E-3</c:v>
                </c:pt>
                <c:pt idx="1227">
                  <c:v>2.3684706637527148E-3</c:v>
                </c:pt>
                <c:pt idx="1228">
                  <c:v>3.4921890277119475E-3</c:v>
                </c:pt>
                <c:pt idx="1229">
                  <c:v>-4.6239472431428121E-3</c:v>
                </c:pt>
                <c:pt idx="1230">
                  <c:v>4.5177149138407608E-3</c:v>
                </c:pt>
                <c:pt idx="1231">
                  <c:v>-1.1172235230537536E-2</c:v>
                </c:pt>
                <c:pt idx="1232">
                  <c:v>6.1521959424437811E-3</c:v>
                </c:pt>
                <c:pt idx="1233">
                  <c:v>7.2494533627163549E-4</c:v>
                </c:pt>
                <c:pt idx="1234">
                  <c:v>-6.720944671845243E-3</c:v>
                </c:pt>
                <c:pt idx="1235">
                  <c:v>-4.0785201791509939E-3</c:v>
                </c:pt>
                <c:pt idx="1236">
                  <c:v>1.7923168534696805E-4</c:v>
                </c:pt>
                <c:pt idx="1237">
                  <c:v>1.0937608632425669E-3</c:v>
                </c:pt>
                <c:pt idx="1238">
                  <c:v>1.4373941281784324E-2</c:v>
                </c:pt>
                <c:pt idx="1239">
                  <c:v>1.0830746508911113E-2</c:v>
                </c:pt>
                <c:pt idx="1240">
                  <c:v>9.3294641543122427E-3</c:v>
                </c:pt>
                <c:pt idx="1241">
                  <c:v>-3.2074530803403388E-3</c:v>
                </c:pt>
                <c:pt idx="1242">
                  <c:v>-2.6772301123893214E-3</c:v>
                </c:pt>
                <c:pt idx="1243">
                  <c:v>2.0503716908149383E-3</c:v>
                </c:pt>
                <c:pt idx="1244">
                  <c:v>-5.4135815710335921E-4</c:v>
                </c:pt>
                <c:pt idx="1245">
                  <c:v>-1.0267693036364071E-3</c:v>
                </c:pt>
                <c:pt idx="1246">
                  <c:v>3.6868459619609317E-3</c:v>
                </c:pt>
                <c:pt idx="1247">
                  <c:v>-4.9610520099280101E-4</c:v>
                </c:pt>
                <c:pt idx="1248">
                  <c:v>1.8381928569311101E-2</c:v>
                </c:pt>
                <c:pt idx="1249">
                  <c:v>-1.8290686027783406E-3</c:v>
                </c:pt>
                <c:pt idx="1250">
                  <c:v>-1.4009166416795607E-2</c:v>
                </c:pt>
                <c:pt idx="1251">
                  <c:v>-6.0387332459053639E-3</c:v>
                </c:pt>
                <c:pt idx="1252">
                  <c:v>-9.1395780603246591E-3</c:v>
                </c:pt>
                <c:pt idx="1253">
                  <c:v>-1.2507183036137593E-2</c:v>
                </c:pt>
                <c:pt idx="1254">
                  <c:v>-4.7736160805523896E-4</c:v>
                </c:pt>
                <c:pt idx="1255">
                  <c:v>-3.2936860216193725E-4</c:v>
                </c:pt>
                <c:pt idx="1256">
                  <c:v>2.7818393472626214E-3</c:v>
                </c:pt>
                <c:pt idx="1257">
                  <c:v>-1.7299352313651373E-3</c:v>
                </c:pt>
                <c:pt idx="1258">
                  <c:v>-4.0707662087111976E-3</c:v>
                </c:pt>
                <c:pt idx="1259">
                  <c:v>2.1022520532380112E-2</c:v>
                </c:pt>
                <c:pt idx="1260">
                  <c:v>-5.6234744126943705E-4</c:v>
                </c:pt>
                <c:pt idx="1261">
                  <c:v>-9.251329141859924E-3</c:v>
                </c:pt>
                <c:pt idx="1262">
                  <c:v>-6.4697132530860783E-3</c:v>
                </c:pt>
                <c:pt idx="1263">
                  <c:v>1.8798256301557969E-2</c:v>
                </c:pt>
                <c:pt idx="1264">
                  <c:v>-2.7188872214446774E-3</c:v>
                </c:pt>
                <c:pt idx="1265">
                  <c:v>1.6753719568813517E-2</c:v>
                </c:pt>
                <c:pt idx="1266">
                  <c:v>2.0789396513343755E-3</c:v>
                </c:pt>
                <c:pt idx="1267">
                  <c:v>-1.3379330843120072E-2</c:v>
                </c:pt>
                <c:pt idx="1268">
                  <c:v>-3.8931521778044816E-3</c:v>
                </c:pt>
                <c:pt idx="1269">
                  <c:v>-1.7559147898615728E-2</c:v>
                </c:pt>
                <c:pt idx="1270">
                  <c:v>6.2107663919480213E-3</c:v>
                </c:pt>
                <c:pt idx="1271">
                  <c:v>5.2539289318892408E-3</c:v>
                </c:pt>
                <c:pt idx="1272">
                  <c:v>6.7852700735507414E-3</c:v>
                </c:pt>
                <c:pt idx="1273">
                  <c:v>5.1413226451350299E-3</c:v>
                </c:pt>
                <c:pt idx="1274">
                  <c:v>-2.476191783656104E-3</c:v>
                </c:pt>
                <c:pt idx="1275">
                  <c:v>-4.1053434760378238E-3</c:v>
                </c:pt>
                <c:pt idx="1276">
                  <c:v>-4.8284363703922266E-3</c:v>
                </c:pt>
                <c:pt idx="1277">
                  <c:v>2.597130212896604E-3</c:v>
                </c:pt>
                <c:pt idx="1278">
                  <c:v>-4.6309540792631564E-3</c:v>
                </c:pt>
                <c:pt idx="1279">
                  <c:v>1.8658539753703421E-2</c:v>
                </c:pt>
                <c:pt idx="1280">
                  <c:v>8.8382251994207871E-3</c:v>
                </c:pt>
                <c:pt idx="1281">
                  <c:v>-1.2828743260126898E-2</c:v>
                </c:pt>
                <c:pt idx="1282">
                  <c:v>-1.6131500963505467E-4</c:v>
                </c:pt>
                <c:pt idx="1283">
                  <c:v>-1.0967407617238766E-2</c:v>
                </c:pt>
                <c:pt idx="1284">
                  <c:v>-1.0227230832686849E-2</c:v>
                </c:pt>
                <c:pt idx="1285">
                  <c:v>1.199658439447952E-2</c:v>
                </c:pt>
                <c:pt idx="1286">
                  <c:v>-2.0455108557032157E-3</c:v>
                </c:pt>
                <c:pt idx="1287">
                  <c:v>1.5862683922522847E-3</c:v>
                </c:pt>
                <c:pt idx="1288">
                  <c:v>1.3362736978282292E-2</c:v>
                </c:pt>
                <c:pt idx="1289">
                  <c:v>-1.2233393904742597E-2</c:v>
                </c:pt>
                <c:pt idx="1290">
                  <c:v>-1.12327088004833E-2</c:v>
                </c:pt>
                <c:pt idx="1291">
                  <c:v>1.205558605230323E-2</c:v>
                </c:pt>
                <c:pt idx="1292">
                  <c:v>-3.0106950780354677E-3</c:v>
                </c:pt>
                <c:pt idx="1293">
                  <c:v>-3.8138276929096464E-3</c:v>
                </c:pt>
                <c:pt idx="1294">
                  <c:v>-3.1158989839890038E-2</c:v>
                </c:pt>
                <c:pt idx="1295">
                  <c:v>7.2819056769083366E-3</c:v>
                </c:pt>
                <c:pt idx="1296">
                  <c:v>9.4091085666097511E-4</c:v>
                </c:pt>
                <c:pt idx="1297">
                  <c:v>9.033833418398373E-3</c:v>
                </c:pt>
                <c:pt idx="1298">
                  <c:v>1.2491134022194209E-2</c:v>
                </c:pt>
                <c:pt idx="1299">
                  <c:v>-3.6814905148171741E-3</c:v>
                </c:pt>
                <c:pt idx="1300">
                  <c:v>1.188318760930006E-2</c:v>
                </c:pt>
                <c:pt idx="1301">
                  <c:v>4.1088393724290724E-3</c:v>
                </c:pt>
                <c:pt idx="1302">
                  <c:v>9.4780151117107962E-3</c:v>
                </c:pt>
                <c:pt idx="1303">
                  <c:v>8.2520500407415494E-3</c:v>
                </c:pt>
                <c:pt idx="1304">
                  <c:v>-3.7594355091865113E-3</c:v>
                </c:pt>
                <c:pt idx="1305">
                  <c:v>2.0262019231201914E-3</c:v>
                </c:pt>
                <c:pt idx="1306">
                  <c:v>-3.3525918401494706E-3</c:v>
                </c:pt>
                <c:pt idx="1307">
                  <c:v>-2.2674917262879703E-3</c:v>
                </c:pt>
                <c:pt idx="1308">
                  <c:v>-7.7587574076351338E-3</c:v>
                </c:pt>
                <c:pt idx="1309">
                  <c:v>8.5728251276780392E-3</c:v>
                </c:pt>
                <c:pt idx="1310">
                  <c:v>2.6887374740192449E-3</c:v>
                </c:pt>
                <c:pt idx="1311">
                  <c:v>-1.4315663681652553E-2</c:v>
                </c:pt>
                <c:pt idx="1312">
                  <c:v>-2.0930779376207961E-2</c:v>
                </c:pt>
                <c:pt idx="1313">
                  <c:v>2.0142752134862274E-2</c:v>
                </c:pt>
                <c:pt idx="1314">
                  <c:v>-1.9195033099249265E-2</c:v>
                </c:pt>
                <c:pt idx="1315">
                  <c:v>-4.2257860882812318E-3</c:v>
                </c:pt>
                <c:pt idx="1316">
                  <c:v>2.1627076514529074E-2</c:v>
                </c:pt>
                <c:pt idx="1317">
                  <c:v>1.5136360646705795E-3</c:v>
                </c:pt>
                <c:pt idx="1318">
                  <c:v>-1.3270978759338468E-2</c:v>
                </c:pt>
                <c:pt idx="1319">
                  <c:v>7.9982162620495945E-3</c:v>
                </c:pt>
                <c:pt idx="1320">
                  <c:v>1.7417378140437746E-3</c:v>
                </c:pt>
                <c:pt idx="1321">
                  <c:v>-1.5218248099073016E-3</c:v>
                </c:pt>
                <c:pt idx="1322">
                  <c:v>-1.4897646449428375E-2</c:v>
                </c:pt>
                <c:pt idx="1323">
                  <c:v>-3.7801821419637576E-3</c:v>
                </c:pt>
                <c:pt idx="1324">
                  <c:v>4.0610949076978773E-3</c:v>
                </c:pt>
                <c:pt idx="1325">
                  <c:v>-1.5050220676245172E-2</c:v>
                </c:pt>
                <c:pt idx="1326">
                  <c:v>-1.590056074502385E-3</c:v>
                </c:pt>
                <c:pt idx="1327">
                  <c:v>-1.1901000031706573E-2</c:v>
                </c:pt>
                <c:pt idx="1328">
                  <c:v>-7.8589869836259152E-3</c:v>
                </c:pt>
                <c:pt idx="1329">
                  <c:v>-1.2233897877474042E-2</c:v>
                </c:pt>
                <c:pt idx="1330">
                  <c:v>-4.4051386182230173E-3</c:v>
                </c:pt>
                <c:pt idx="1331">
                  <c:v>1.0037418103734175E-3</c:v>
                </c:pt>
                <c:pt idx="1332">
                  <c:v>-5.1816710260552965E-3</c:v>
                </c:pt>
                <c:pt idx="1333">
                  <c:v>1.1690567537982144E-2</c:v>
                </c:pt>
                <c:pt idx="1334">
                  <c:v>-6.7020783406632287E-3</c:v>
                </c:pt>
                <c:pt idx="1335">
                  <c:v>1.7980543309181491E-2</c:v>
                </c:pt>
                <c:pt idx="1336">
                  <c:v>9.9036109562052645E-3</c:v>
                </c:pt>
                <c:pt idx="1337">
                  <c:v>-8.8983849947710369E-3</c:v>
                </c:pt>
                <c:pt idx="1338">
                  <c:v>2.9175413242793625E-3</c:v>
                </c:pt>
                <c:pt idx="1339">
                  <c:v>-1.0347404433542714E-3</c:v>
                </c:pt>
                <c:pt idx="1340">
                  <c:v>-7.9123895310015038E-3</c:v>
                </c:pt>
                <c:pt idx="1341">
                  <c:v>1.7375513857156083E-3</c:v>
                </c:pt>
                <c:pt idx="1342">
                  <c:v>-2.5792145623696108E-3</c:v>
                </c:pt>
                <c:pt idx="1343">
                  <c:v>5.2579281002435134E-3</c:v>
                </c:pt>
                <c:pt idx="1344">
                  <c:v>-6.4422687442897749E-3</c:v>
                </c:pt>
                <c:pt idx="1345">
                  <c:v>9.5378601751295276E-4</c:v>
                </c:pt>
                <c:pt idx="1346">
                  <c:v>3.5324275234706911E-3</c:v>
                </c:pt>
                <c:pt idx="1347">
                  <c:v>-3.7830290787006222E-3</c:v>
                </c:pt>
                <c:pt idx="1348">
                  <c:v>-7.5267777503841768E-3</c:v>
                </c:pt>
                <c:pt idx="1349">
                  <c:v>-1.8983070478616172E-2</c:v>
                </c:pt>
                <c:pt idx="1350">
                  <c:v>-1.5248043023035658E-2</c:v>
                </c:pt>
                <c:pt idx="1351">
                  <c:v>-7.2808744054153329E-3</c:v>
                </c:pt>
                <c:pt idx="1352">
                  <c:v>-1.7862798239124827E-2</c:v>
                </c:pt>
                <c:pt idx="1353">
                  <c:v>3.8011325835366257E-3</c:v>
                </c:pt>
                <c:pt idx="1354">
                  <c:v>-6.5364575469786515E-3</c:v>
                </c:pt>
                <c:pt idx="1355">
                  <c:v>-4.0646987059089999E-3</c:v>
                </c:pt>
                <c:pt idx="1356">
                  <c:v>2.8723545615805157E-3</c:v>
                </c:pt>
                <c:pt idx="1357">
                  <c:v>-3.2003407067249141E-3</c:v>
                </c:pt>
                <c:pt idx="1358">
                  <c:v>-6.2406633069872269E-3</c:v>
                </c:pt>
                <c:pt idx="1359">
                  <c:v>1.6213462120103057E-3</c:v>
                </c:pt>
                <c:pt idx="1360">
                  <c:v>1.8113962283671365E-2</c:v>
                </c:pt>
                <c:pt idx="1361">
                  <c:v>1.2568349477854483E-2</c:v>
                </c:pt>
                <c:pt idx="1362">
                  <c:v>-1.7764460857669608E-2</c:v>
                </c:pt>
                <c:pt idx="1363">
                  <c:v>5.1333314178260891E-4</c:v>
                </c:pt>
                <c:pt idx="1364">
                  <c:v>-1.6177073745972884E-3</c:v>
                </c:pt>
                <c:pt idx="1365">
                  <c:v>-2.187786109095939E-3</c:v>
                </c:pt>
                <c:pt idx="1366">
                  <c:v>1.5146593074422861E-4</c:v>
                </c:pt>
                <c:pt idx="1367">
                  <c:v>-2.2353535585652603E-3</c:v>
                </c:pt>
                <c:pt idx="1368">
                  <c:v>6.2069307733207783E-3</c:v>
                </c:pt>
                <c:pt idx="1369">
                  <c:v>-1.8214829495410661E-3</c:v>
                </c:pt>
                <c:pt idx="1370">
                  <c:v>-7.9733895094597617E-3</c:v>
                </c:pt>
                <c:pt idx="1371">
                  <c:v>-1.1353923309135882E-2</c:v>
                </c:pt>
                <c:pt idx="1372">
                  <c:v>-1.3338977673588399E-2</c:v>
                </c:pt>
                <c:pt idx="1373">
                  <c:v>-7.2919019444370771E-3</c:v>
                </c:pt>
                <c:pt idx="1374">
                  <c:v>1.2715898236627372E-2</c:v>
                </c:pt>
                <c:pt idx="1375">
                  <c:v>1.7484813241754396E-3</c:v>
                </c:pt>
                <c:pt idx="1376">
                  <c:v>-3.1383524505234632E-3</c:v>
                </c:pt>
                <c:pt idx="1377">
                  <c:v>3.4163286816195994E-4</c:v>
                </c:pt>
                <c:pt idx="1378">
                  <c:v>-1.069741501265737E-2</c:v>
                </c:pt>
                <c:pt idx="1379">
                  <c:v>-9.3534065771282964E-3</c:v>
                </c:pt>
                <c:pt idx="1380">
                  <c:v>2.4382388284115634E-3</c:v>
                </c:pt>
                <c:pt idx="1381">
                  <c:v>9.9964751601990202E-3</c:v>
                </c:pt>
                <c:pt idx="1382">
                  <c:v>-4.7327917756735602E-3</c:v>
                </c:pt>
                <c:pt idx="1383">
                  <c:v>3.7437059343922267E-3</c:v>
                </c:pt>
                <c:pt idx="1384">
                  <c:v>-1.474885282246788E-3</c:v>
                </c:pt>
                <c:pt idx="1385">
                  <c:v>-2.6513451431101911E-3</c:v>
                </c:pt>
                <c:pt idx="1386">
                  <c:v>1.0050984621096793E-2</c:v>
                </c:pt>
                <c:pt idx="1387">
                  <c:v>1.1245720499163166E-3</c:v>
                </c:pt>
                <c:pt idx="1388">
                  <c:v>-6.3425371220813421E-3</c:v>
                </c:pt>
                <c:pt idx="1389">
                  <c:v>-1.6191985845610195E-2</c:v>
                </c:pt>
                <c:pt idx="1390">
                  <c:v>-2.081924971024722E-2</c:v>
                </c:pt>
                <c:pt idx="1391">
                  <c:v>-2.8822882543434087E-2</c:v>
                </c:pt>
                <c:pt idx="1392">
                  <c:v>-8.7679778574173469E-3</c:v>
                </c:pt>
                <c:pt idx="1393">
                  <c:v>-1.0770208029927682E-2</c:v>
                </c:pt>
                <c:pt idx="1394">
                  <c:v>-1.7897227112200161E-2</c:v>
                </c:pt>
                <c:pt idx="1395">
                  <c:v>4.0986073530740481E-3</c:v>
                </c:pt>
                <c:pt idx="1396">
                  <c:v>7.89159253083189E-3</c:v>
                </c:pt>
                <c:pt idx="1397">
                  <c:v>3.3301892242816065E-2</c:v>
                </c:pt>
                <c:pt idx="1398">
                  <c:v>1.4893322759079237E-2</c:v>
                </c:pt>
                <c:pt idx="1399">
                  <c:v>8.1411703855113916E-3</c:v>
                </c:pt>
                <c:pt idx="1400">
                  <c:v>-9.8635215301059887E-3</c:v>
                </c:pt>
                <c:pt idx="1401">
                  <c:v>9.9703110005488933E-3</c:v>
                </c:pt>
                <c:pt idx="1402">
                  <c:v>-1.3332462629336273E-3</c:v>
                </c:pt>
                <c:pt idx="1403">
                  <c:v>-2.0052023882567611E-3</c:v>
                </c:pt>
                <c:pt idx="1404">
                  <c:v>-2.0646367058988879E-3</c:v>
                </c:pt>
                <c:pt idx="1405">
                  <c:v>-3.7000268435409644E-3</c:v>
                </c:pt>
                <c:pt idx="1406">
                  <c:v>9.9833745517944519E-3</c:v>
                </c:pt>
                <c:pt idx="1407">
                  <c:v>-6.1512880930454537E-3</c:v>
                </c:pt>
                <c:pt idx="1408">
                  <c:v>9.0016708097764887E-3</c:v>
                </c:pt>
                <c:pt idx="1409">
                  <c:v>-6.6710658007639138E-3</c:v>
                </c:pt>
                <c:pt idx="1410">
                  <c:v>-1.1448136036051453E-2</c:v>
                </c:pt>
                <c:pt idx="1411">
                  <c:v>3.5665501900963934E-3</c:v>
                </c:pt>
                <c:pt idx="1412">
                  <c:v>-1.0021597618899107E-2</c:v>
                </c:pt>
                <c:pt idx="1413">
                  <c:v>5.8903185798950888E-3</c:v>
                </c:pt>
                <c:pt idx="1414">
                  <c:v>-5.6060617311680279E-3</c:v>
                </c:pt>
                <c:pt idx="1415">
                  <c:v>4.1878838031730601E-3</c:v>
                </c:pt>
                <c:pt idx="1416">
                  <c:v>-3.3449960332148912E-3</c:v>
                </c:pt>
                <c:pt idx="1417">
                  <c:v>4.4482174595649321E-3</c:v>
                </c:pt>
                <c:pt idx="1418">
                  <c:v>3.8804110153759959E-3</c:v>
                </c:pt>
                <c:pt idx="1419">
                  <c:v>-2.089878916831452E-2</c:v>
                </c:pt>
                <c:pt idx="1420">
                  <c:v>1.2254068861180864E-2</c:v>
                </c:pt>
                <c:pt idx="1421">
                  <c:v>-1.8276972460263895E-2</c:v>
                </c:pt>
                <c:pt idx="1422">
                  <c:v>1.0085903661981631E-3</c:v>
                </c:pt>
                <c:pt idx="1423">
                  <c:v>2.5087634051898088E-2</c:v>
                </c:pt>
                <c:pt idx="1424">
                  <c:v>6.5983736691320747E-3</c:v>
                </c:pt>
                <c:pt idx="1425">
                  <c:v>1.6670124871981905E-2</c:v>
                </c:pt>
                <c:pt idx="1426">
                  <c:v>3.0339517286033638E-3</c:v>
                </c:pt>
                <c:pt idx="1427">
                  <c:v>3.4905564028609214E-3</c:v>
                </c:pt>
                <c:pt idx="1428">
                  <c:v>-4.2558483320565667E-3</c:v>
                </c:pt>
                <c:pt idx="1429">
                  <c:v>-2.3898235072726971E-3</c:v>
                </c:pt>
                <c:pt idx="1430">
                  <c:v>-1.336084276639651E-2</c:v>
                </c:pt>
                <c:pt idx="1431">
                  <c:v>-1.4090864657263939E-2</c:v>
                </c:pt>
                <c:pt idx="1432">
                  <c:v>-7.0820140208453395E-4</c:v>
                </c:pt>
                <c:pt idx="1433">
                  <c:v>-9.6294373057566329E-3</c:v>
                </c:pt>
                <c:pt idx="1434">
                  <c:v>1.1870845745963102E-2</c:v>
                </c:pt>
                <c:pt idx="1435">
                  <c:v>2.4271506170504054E-2</c:v>
                </c:pt>
                <c:pt idx="1436">
                  <c:v>1.1773908353422916E-3</c:v>
                </c:pt>
                <c:pt idx="1437">
                  <c:v>-8.1071287219781907E-3</c:v>
                </c:pt>
                <c:pt idx="1438">
                  <c:v>1.0418336478059573E-2</c:v>
                </c:pt>
                <c:pt idx="1439">
                  <c:v>1.4391344484333589E-2</c:v>
                </c:pt>
                <c:pt idx="1440">
                  <c:v>-5.2437530632975732E-3</c:v>
                </c:pt>
                <c:pt idx="1441">
                  <c:v>-8.1289709778303333E-3</c:v>
                </c:pt>
                <c:pt idx="1442">
                  <c:v>9.0685664414193994E-3</c:v>
                </c:pt>
                <c:pt idx="1443">
                  <c:v>-1.2000996085400379E-2</c:v>
                </c:pt>
                <c:pt idx="1444">
                  <c:v>-5.7347403399416047E-3</c:v>
                </c:pt>
                <c:pt idx="1445">
                  <c:v>1.4336790833714971E-2</c:v>
                </c:pt>
                <c:pt idx="1446">
                  <c:v>1.0433518550844493E-2</c:v>
                </c:pt>
                <c:pt idx="1447">
                  <c:v>7.1626925218530218E-3</c:v>
                </c:pt>
                <c:pt idx="1448">
                  <c:v>-6.2456234046646061E-3</c:v>
                </c:pt>
                <c:pt idx="1449">
                  <c:v>5.9736271893421448E-3</c:v>
                </c:pt>
                <c:pt idx="1450">
                  <c:v>-3.7966943336487384E-5</c:v>
                </c:pt>
                <c:pt idx="1451">
                  <c:v>-4.346803891590657E-3</c:v>
                </c:pt>
                <c:pt idx="1452">
                  <c:v>-7.2066408857356561E-3</c:v>
                </c:pt>
                <c:pt idx="1453">
                  <c:v>1.5714426542777351E-2</c:v>
                </c:pt>
                <c:pt idx="1454">
                  <c:v>-4.7412502227238987E-4</c:v>
                </c:pt>
                <c:pt idx="1455">
                  <c:v>-2.4245141378441311E-2</c:v>
                </c:pt>
                <c:pt idx="1456">
                  <c:v>-7.4864063271252116E-3</c:v>
                </c:pt>
                <c:pt idx="1457">
                  <c:v>-1.9291595853895053E-3</c:v>
                </c:pt>
                <c:pt idx="1458">
                  <c:v>2.2067525517127777E-3</c:v>
                </c:pt>
                <c:pt idx="1459">
                  <c:v>1.5332504033273145E-2</c:v>
                </c:pt>
                <c:pt idx="1460">
                  <c:v>-3.8805358254599132E-3</c:v>
                </c:pt>
                <c:pt idx="1461">
                  <c:v>-2.8703825102681835E-3</c:v>
                </c:pt>
                <c:pt idx="1462">
                  <c:v>-1.2155883467682999E-2</c:v>
                </c:pt>
                <c:pt idx="1463">
                  <c:v>7.6094869017158742E-3</c:v>
                </c:pt>
                <c:pt idx="1464">
                  <c:v>-4.2260931810249548E-3</c:v>
                </c:pt>
                <c:pt idx="1465">
                  <c:v>1.0474333395522922E-2</c:v>
                </c:pt>
                <c:pt idx="1466">
                  <c:v>-2.7825641913767759E-3</c:v>
                </c:pt>
                <c:pt idx="1467">
                  <c:v>-6.3036213564987911E-3</c:v>
                </c:pt>
                <c:pt idx="1468">
                  <c:v>-3.2667165973394008E-3</c:v>
                </c:pt>
                <c:pt idx="1469">
                  <c:v>3.8969751985470529E-3</c:v>
                </c:pt>
                <c:pt idx="1470">
                  <c:v>-7.463383947238748E-3</c:v>
                </c:pt>
                <c:pt idx="1471">
                  <c:v>1.1964824539808103E-2</c:v>
                </c:pt>
                <c:pt idx="1472">
                  <c:v>-1.4004682500387378E-2</c:v>
                </c:pt>
                <c:pt idx="1473">
                  <c:v>6.6545341824918967E-3</c:v>
                </c:pt>
                <c:pt idx="1474">
                  <c:v>1.4829134985762057E-3</c:v>
                </c:pt>
                <c:pt idx="1475">
                  <c:v>-1.1283796586766736E-2</c:v>
                </c:pt>
                <c:pt idx="1476">
                  <c:v>-7.2217538161053205E-3</c:v>
                </c:pt>
                <c:pt idx="1477">
                  <c:v>-5.931907272789189E-3</c:v>
                </c:pt>
                <c:pt idx="1478">
                  <c:v>1.7462125479266015E-3</c:v>
                </c:pt>
                <c:pt idx="1479">
                  <c:v>-1.5303480039501421E-2</c:v>
                </c:pt>
                <c:pt idx="1480">
                  <c:v>1.062681428977057E-2</c:v>
                </c:pt>
                <c:pt idx="1481">
                  <c:v>-4.0710128658770486E-3</c:v>
                </c:pt>
                <c:pt idx="1482">
                  <c:v>-9.1558680252644565E-3</c:v>
                </c:pt>
                <c:pt idx="1483">
                  <c:v>4.9459901258699411E-3</c:v>
                </c:pt>
                <c:pt idx="1484">
                  <c:v>9.8500470359239155E-3</c:v>
                </c:pt>
                <c:pt idx="1485">
                  <c:v>1.8690048101783242E-2</c:v>
                </c:pt>
                <c:pt idx="1486">
                  <c:v>-2.2693811343914475E-2</c:v>
                </c:pt>
                <c:pt idx="1487">
                  <c:v>-1.0640399948923048E-4</c:v>
                </c:pt>
                <c:pt idx="1488">
                  <c:v>-5.2360564656014318E-3</c:v>
                </c:pt>
                <c:pt idx="1489">
                  <c:v>1.5967602873378926E-3</c:v>
                </c:pt>
                <c:pt idx="1490">
                  <c:v>-3.3065276462442138E-2</c:v>
                </c:pt>
                <c:pt idx="1491">
                  <c:v>2.586192797746106E-2</c:v>
                </c:pt>
                <c:pt idx="1492">
                  <c:v>-6.4401998104262866E-3</c:v>
                </c:pt>
                <c:pt idx="1493">
                  <c:v>7.0550409844927732E-3</c:v>
                </c:pt>
                <c:pt idx="1494">
                  <c:v>1.4994348297586368E-2</c:v>
                </c:pt>
                <c:pt idx="1495">
                  <c:v>3.6794774024979677E-3</c:v>
                </c:pt>
                <c:pt idx="1496">
                  <c:v>6.9575266478761743E-4</c:v>
                </c:pt>
                <c:pt idx="1497">
                  <c:v>-2.812433663205573E-2</c:v>
                </c:pt>
                <c:pt idx="1498">
                  <c:v>8.2450576852005769E-3</c:v>
                </c:pt>
                <c:pt idx="1499">
                  <c:v>-2.1640129288535623E-2</c:v>
                </c:pt>
                <c:pt idx="1500">
                  <c:v>-3.0309267686067773E-2</c:v>
                </c:pt>
                <c:pt idx="1501">
                  <c:v>-8.8074446549230197E-3</c:v>
                </c:pt>
                <c:pt idx="1502">
                  <c:v>1.7789830959328196E-2</c:v>
                </c:pt>
                <c:pt idx="1503">
                  <c:v>-1.7533341857966126E-2</c:v>
                </c:pt>
                <c:pt idx="1504">
                  <c:v>2.1078471420741926E-3</c:v>
                </c:pt>
                <c:pt idx="1505">
                  <c:v>-1.0494877095615645E-2</c:v>
                </c:pt>
                <c:pt idx="1506">
                  <c:v>1.4567746677308774E-3</c:v>
                </c:pt>
                <c:pt idx="1507">
                  <c:v>1.7308927923609309E-2</c:v>
                </c:pt>
                <c:pt idx="1508">
                  <c:v>2.1713342047268953E-2</c:v>
                </c:pt>
                <c:pt idx="1509">
                  <c:v>-3.7007372900000929E-3</c:v>
                </c:pt>
                <c:pt idx="1510">
                  <c:v>-1.0995328140963889E-2</c:v>
                </c:pt>
                <c:pt idx="1511">
                  <c:v>-3.4719385885129912E-2</c:v>
                </c:pt>
                <c:pt idx="1512">
                  <c:v>-1.0444711202415061E-2</c:v>
                </c:pt>
                <c:pt idx="1513">
                  <c:v>2.0934403728346547E-2</c:v>
                </c:pt>
                <c:pt idx="1514">
                  <c:v>3.3314964228088298E-3</c:v>
                </c:pt>
                <c:pt idx="1515">
                  <c:v>-2.3190893686634993E-3</c:v>
                </c:pt>
                <c:pt idx="1516">
                  <c:v>1.5824028344598267E-2</c:v>
                </c:pt>
                <c:pt idx="1517">
                  <c:v>-1.9478898508600129E-2</c:v>
                </c:pt>
                <c:pt idx="1518">
                  <c:v>-3.7597805529688989E-3</c:v>
                </c:pt>
                <c:pt idx="1519">
                  <c:v>-1.3085526836228685E-2</c:v>
                </c:pt>
                <c:pt idx="1520">
                  <c:v>4.9404929829068508E-5</c:v>
                </c:pt>
                <c:pt idx="1521">
                  <c:v>2.3113805280348964E-2</c:v>
                </c:pt>
                <c:pt idx="1522">
                  <c:v>1.0287857884563019E-2</c:v>
                </c:pt>
                <c:pt idx="1523">
                  <c:v>-1.6415453803105318E-2</c:v>
                </c:pt>
                <c:pt idx="1524">
                  <c:v>-1.0084615398314626E-2</c:v>
                </c:pt>
                <c:pt idx="1525">
                  <c:v>1.5049072714260149E-3</c:v>
                </c:pt>
                <c:pt idx="1526">
                  <c:v>-3.0568857793430958E-2</c:v>
                </c:pt>
                <c:pt idx="1527">
                  <c:v>-1.0019578824663535E-2</c:v>
                </c:pt>
                <c:pt idx="1528">
                  <c:v>2.53054624545807E-2</c:v>
                </c:pt>
                <c:pt idx="1529">
                  <c:v>5.819936114544377E-3</c:v>
                </c:pt>
                <c:pt idx="1530">
                  <c:v>-1.8270013058341389E-2</c:v>
                </c:pt>
                <c:pt idx="1531">
                  <c:v>1.1635858438109328E-3</c:v>
                </c:pt>
                <c:pt idx="1532">
                  <c:v>3.20519892577854E-2</c:v>
                </c:pt>
                <c:pt idx="1533">
                  <c:v>-3.8068235354830372E-2</c:v>
                </c:pt>
                <c:pt idx="1534">
                  <c:v>-2.7913948051229986E-2</c:v>
                </c:pt>
                <c:pt idx="1535">
                  <c:v>1.7132788830471521E-2</c:v>
                </c:pt>
                <c:pt idx="1536">
                  <c:v>-2.6807862485145943E-2</c:v>
                </c:pt>
                <c:pt idx="1537">
                  <c:v>-3.6148082920483118E-2</c:v>
                </c:pt>
                <c:pt idx="1538">
                  <c:v>1.0305537183823975E-2</c:v>
                </c:pt>
                <c:pt idx="1539">
                  <c:v>-2.992008699898855E-2</c:v>
                </c:pt>
                <c:pt idx="1540">
                  <c:v>1.7181251847640338E-2</c:v>
                </c:pt>
                <c:pt idx="1541">
                  <c:v>-2.4497965550765163E-2</c:v>
                </c:pt>
                <c:pt idx="1542">
                  <c:v>-1.08106081464806E-2</c:v>
                </c:pt>
                <c:pt idx="1543">
                  <c:v>4.7729120729906163E-2</c:v>
                </c:pt>
                <c:pt idx="1544">
                  <c:v>-9.0483828554730986E-2</c:v>
                </c:pt>
                <c:pt idx="1545">
                  <c:v>0</c:v>
                </c:pt>
                <c:pt idx="1546">
                  <c:v>-7.2614737406721128E-2</c:v>
                </c:pt>
                <c:pt idx="1547">
                  <c:v>5.106304467013123E-2</c:v>
                </c:pt>
                <c:pt idx="1548">
                  <c:v>-5.9044173801157875E-2</c:v>
                </c:pt>
                <c:pt idx="1549">
                  <c:v>1.6766428758498826E-2</c:v>
                </c:pt>
                <c:pt idx="1550">
                  <c:v>7.4230488018449448E-2</c:v>
                </c:pt>
                <c:pt idx="1551">
                  <c:v>-2.6301528260036618E-2</c:v>
                </c:pt>
                <c:pt idx="1552">
                  <c:v>8.6910899261468583E-2</c:v>
                </c:pt>
                <c:pt idx="1553">
                  <c:v>2.8444511844131449E-3</c:v>
                </c:pt>
                <c:pt idx="1554">
                  <c:v>0.10226819338964734</c:v>
                </c:pt>
                <c:pt idx="1555">
                  <c:v>7.9545701002004931E-3</c:v>
                </c:pt>
                <c:pt idx="1556">
                  <c:v>-1.3154919655908471E-2</c:v>
                </c:pt>
                <c:pt idx="1557">
                  <c:v>6.4356712685845335E-2</c:v>
                </c:pt>
                <c:pt idx="1558">
                  <c:v>1.6601177121086268E-2</c:v>
                </c:pt>
                <c:pt idx="1559">
                  <c:v>-1.7985506224283676E-4</c:v>
                </c:pt>
                <c:pt idx="1560">
                  <c:v>5.8743199472483638E-4</c:v>
                </c:pt>
                <c:pt idx="1561">
                  <c:v>-2.1332525974324897E-2</c:v>
                </c:pt>
                <c:pt idx="1562">
                  <c:v>-1.5589808060071432E-2</c:v>
                </c:pt>
                <c:pt idx="1563">
                  <c:v>4.6075926787182357E-2</c:v>
                </c:pt>
                <c:pt idx="1564">
                  <c:v>2.9541092142443177E-2</c:v>
                </c:pt>
                <c:pt idx="1565">
                  <c:v>-4.3272799795713484E-3</c:v>
                </c:pt>
                <c:pt idx="1566">
                  <c:v>1.3136896259989636E-3</c:v>
                </c:pt>
                <c:pt idx="1567">
                  <c:v>4.3754952635648797E-2</c:v>
                </c:pt>
                <c:pt idx="1568">
                  <c:v>7.9358188664379326E-3</c:v>
                </c:pt>
                <c:pt idx="1569">
                  <c:v>2.5565534860552343E-3</c:v>
                </c:pt>
                <c:pt idx="1570">
                  <c:v>-3.9135196244238502E-3</c:v>
                </c:pt>
                <c:pt idx="1571">
                  <c:v>8.1672464506951491E-3</c:v>
                </c:pt>
                <c:pt idx="1572">
                  <c:v>-5.6217431477042813E-3</c:v>
                </c:pt>
                <c:pt idx="1573">
                  <c:v>-4.5065816820027055E-4</c:v>
                </c:pt>
                <c:pt idx="1574">
                  <c:v>-1.584359954061253E-3</c:v>
                </c:pt>
                <c:pt idx="1575">
                  <c:v>-1.3300310344989493E-2</c:v>
                </c:pt>
                <c:pt idx="1576">
                  <c:v>-2.3449232006256177E-3</c:v>
                </c:pt>
                <c:pt idx="1577">
                  <c:v>7.5137771734226392E-3</c:v>
                </c:pt>
                <c:pt idx="1578">
                  <c:v>4.4422072286346079E-3</c:v>
                </c:pt>
                <c:pt idx="1579">
                  <c:v>-1.8318048917265722E-3</c:v>
                </c:pt>
                <c:pt idx="1580">
                  <c:v>-1.0664540446216838E-2</c:v>
                </c:pt>
                <c:pt idx="1581">
                  <c:v>-1.7551792166871624E-2</c:v>
                </c:pt>
                <c:pt idx="1582">
                  <c:v>4.4867275592535968E-3</c:v>
                </c:pt>
                <c:pt idx="1583">
                  <c:v>9.0776848934023564E-3</c:v>
                </c:pt>
                <c:pt idx="1584">
                  <c:v>-3.898850254959214E-3</c:v>
                </c:pt>
                <c:pt idx="1585">
                  <c:v>-1.1104034428202061E-2</c:v>
                </c:pt>
                <c:pt idx="1586">
                  <c:v>2.7711323605778128E-3</c:v>
                </c:pt>
                <c:pt idx="1587">
                  <c:v>2.4003489575604962E-2</c:v>
                </c:pt>
                <c:pt idx="1588">
                  <c:v>-6.4187986373922378E-3</c:v>
                </c:pt>
                <c:pt idx="1589">
                  <c:v>1.7841919895216524E-2</c:v>
                </c:pt>
                <c:pt idx="1590">
                  <c:v>9.9227517665806658E-4</c:v>
                </c:pt>
                <c:pt idx="1591">
                  <c:v>1.4962941841088576E-2</c:v>
                </c:pt>
                <c:pt idx="1592">
                  <c:v>2.5703377717724994E-3</c:v>
                </c:pt>
                <c:pt idx="1593">
                  <c:v>-1.3384343881767954E-2</c:v>
                </c:pt>
                <c:pt idx="1594">
                  <c:v>-2.6460051650254238E-3</c:v>
                </c:pt>
                <c:pt idx="1595">
                  <c:v>-1.6626635122417525E-3</c:v>
                </c:pt>
                <c:pt idx="1596">
                  <c:v>-6.8272813580972846E-3</c:v>
                </c:pt>
                <c:pt idx="1597">
                  <c:v>-1.5275835345211252E-3</c:v>
                </c:pt>
                <c:pt idx="1598">
                  <c:v>-6.2149935962747859E-3</c:v>
                </c:pt>
                <c:pt idx="1599">
                  <c:v>3.3839838511879076E-3</c:v>
                </c:pt>
                <c:pt idx="1600">
                  <c:v>1.0824125253871785E-3</c:v>
                </c:pt>
                <c:pt idx="1601">
                  <c:v>-3.3000622724012941E-3</c:v>
                </c:pt>
                <c:pt idx="1602">
                  <c:v>1.0689169719438726E-2</c:v>
                </c:pt>
                <c:pt idx="1603">
                  <c:v>-1.592687823690952E-3</c:v>
                </c:pt>
                <c:pt idx="1604">
                  <c:v>-1.1043464229725023E-2</c:v>
                </c:pt>
                <c:pt idx="1605">
                  <c:v>1.0793251010022518E-2</c:v>
                </c:pt>
                <c:pt idx="1606">
                  <c:v>-4.7398664975449182E-3</c:v>
                </c:pt>
                <c:pt idx="1607">
                  <c:v>-3.2409721209428546E-3</c:v>
                </c:pt>
                <c:pt idx="1608">
                  <c:v>-2.6591415252675264E-3</c:v>
                </c:pt>
                <c:pt idx="1609">
                  <c:v>5.5606905177181636E-3</c:v>
                </c:pt>
                <c:pt idx="1610">
                  <c:v>2.5695383883032612E-3</c:v>
                </c:pt>
                <c:pt idx="1611">
                  <c:v>3.6225813120727445E-3</c:v>
                </c:pt>
                <c:pt idx="1612">
                  <c:v>-7.6742872059519301E-3</c:v>
                </c:pt>
                <c:pt idx="1613">
                  <c:v>-1.0117263286024266E-2</c:v>
                </c:pt>
                <c:pt idx="1614">
                  <c:v>-1.6434832114582708E-2</c:v>
                </c:pt>
                <c:pt idx="1615">
                  <c:v>-1.0328834377530999E-3</c:v>
                </c:pt>
                <c:pt idx="1616">
                  <c:v>-6.2692464805305954E-3</c:v>
                </c:pt>
                <c:pt idx="1617">
                  <c:v>-2.6873962584789929E-3</c:v>
                </c:pt>
                <c:pt idx="1618">
                  <c:v>6.8929651530753075E-4</c:v>
                </c:pt>
                <c:pt idx="1619">
                  <c:v>-9.58430519298893E-3</c:v>
                </c:pt>
                <c:pt idx="1620">
                  <c:v>4.428134321540083E-3</c:v>
                </c:pt>
                <c:pt idx="1621">
                  <c:v>-9.8159575784477603E-3</c:v>
                </c:pt>
                <c:pt idx="1622">
                  <c:v>6.0139534162589178E-3</c:v>
                </c:pt>
                <c:pt idx="1623">
                  <c:v>9.7118599921461567E-3</c:v>
                </c:pt>
                <c:pt idx="1624">
                  <c:v>6.3653587874169162E-3</c:v>
                </c:pt>
                <c:pt idx="1625">
                  <c:v>8.4273925372643204E-3</c:v>
                </c:pt>
                <c:pt idx="1626">
                  <c:v>-2.1470731398834197E-3</c:v>
                </c:pt>
                <c:pt idx="1627">
                  <c:v>1.2313847834912036E-2</c:v>
                </c:pt>
                <c:pt idx="1628">
                  <c:v>2.0685857836478603E-4</c:v>
                </c:pt>
                <c:pt idx="1629">
                  <c:v>-3.8723835098398479E-3</c:v>
                </c:pt>
                <c:pt idx="1630">
                  <c:v>1.3582377286739448E-2</c:v>
                </c:pt>
                <c:pt idx="1631">
                  <c:v>1.0308147531201011E-3</c:v>
                </c:pt>
                <c:pt idx="1632">
                  <c:v>-1.5909037940159299E-2</c:v>
                </c:pt>
                <c:pt idx="1633">
                  <c:v>-7.3276795196343452E-3</c:v>
                </c:pt>
                <c:pt idx="1634">
                  <c:v>3.2268058007525967E-3</c:v>
                </c:pt>
                <c:pt idx="1635">
                  <c:v>1.8190662614832971E-3</c:v>
                </c:pt>
                <c:pt idx="1636">
                  <c:v>1.0780803835224177E-3</c:v>
                </c:pt>
                <c:pt idx="1637">
                  <c:v>-3.982628965185757E-3</c:v>
                </c:pt>
                <c:pt idx="1638">
                  <c:v>7.839074755018445E-3</c:v>
                </c:pt>
                <c:pt idx="1639">
                  <c:v>1.5179605195955443E-2</c:v>
                </c:pt>
                <c:pt idx="1640">
                  <c:v>2.9457466167527838E-3</c:v>
                </c:pt>
                <c:pt idx="1641">
                  <c:v>-7.0613313538397263E-3</c:v>
                </c:pt>
                <c:pt idx="1642">
                  <c:v>-5.5710733498781015E-3</c:v>
                </c:pt>
                <c:pt idx="1643">
                  <c:v>-4.9104298322000441E-3</c:v>
                </c:pt>
                <c:pt idx="1644">
                  <c:v>-3.9778918043331416E-3</c:v>
                </c:pt>
                <c:pt idx="1645">
                  <c:v>-9.8401732010819087E-3</c:v>
                </c:pt>
                <c:pt idx="1646">
                  <c:v>-2.7943560076589967E-3</c:v>
                </c:pt>
                <c:pt idx="1647">
                  <c:v>8.1253216407657679E-4</c:v>
                </c:pt>
                <c:pt idx="1648">
                  <c:v>-1.1180961600255954E-2</c:v>
                </c:pt>
                <c:pt idx="1649">
                  <c:v>6.0833435134308523E-3</c:v>
                </c:pt>
                <c:pt idx="1650">
                  <c:v>1.6749231064879947E-3</c:v>
                </c:pt>
                <c:pt idx="1651">
                  <c:v>6.5534381425385695E-3</c:v>
                </c:pt>
                <c:pt idx="1652">
                  <c:v>3.1049326219202314E-3</c:v>
                </c:pt>
                <c:pt idx="1653">
                  <c:v>-6.9387314860666852E-3</c:v>
                </c:pt>
                <c:pt idx="1654">
                  <c:v>4.8449643859196506E-3</c:v>
                </c:pt>
                <c:pt idx="1655">
                  <c:v>1.7324521772880493E-3</c:v>
                </c:pt>
                <c:pt idx="1656">
                  <c:v>-9.2549487752000194E-3</c:v>
                </c:pt>
                <c:pt idx="1657">
                  <c:v>-6.4007872446215572E-3</c:v>
                </c:pt>
                <c:pt idx="1658">
                  <c:v>5.7389254268147881E-3</c:v>
                </c:pt>
                <c:pt idx="1659">
                  <c:v>-8.4125817463155065E-3</c:v>
                </c:pt>
                <c:pt idx="1660">
                  <c:v>-1.3386393123302491E-2</c:v>
                </c:pt>
                <c:pt idx="1661">
                  <c:v>3.5493044425264795E-3</c:v>
                </c:pt>
                <c:pt idx="1662">
                  <c:v>3.3331707403434453E-3</c:v>
                </c:pt>
                <c:pt idx="1663">
                  <c:v>-1.3262804126975265E-2</c:v>
                </c:pt>
                <c:pt idx="1664">
                  <c:v>-4.9494555053635984E-3</c:v>
                </c:pt>
                <c:pt idx="1665">
                  <c:v>5.1337187063291261E-3</c:v>
                </c:pt>
                <c:pt idx="1666">
                  <c:v>1.7294097980891928E-2</c:v>
                </c:pt>
                <c:pt idx="1667">
                  <c:v>-2.2031356757191388E-3</c:v>
                </c:pt>
                <c:pt idx="1668">
                  <c:v>6.9807797525045408E-3</c:v>
                </c:pt>
                <c:pt idx="1669">
                  <c:v>1.1287070100369954E-3</c:v>
                </c:pt>
                <c:pt idx="1670">
                  <c:v>-7.164014512073112E-3</c:v>
                </c:pt>
                <c:pt idx="1671">
                  <c:v>1.350196978381444E-2</c:v>
                </c:pt>
                <c:pt idx="1672">
                  <c:v>1.3998125020811724E-2</c:v>
                </c:pt>
                <c:pt idx="1673">
                  <c:v>-5.0308146433105565E-3</c:v>
                </c:pt>
                <c:pt idx="1674">
                  <c:v>1.7193587102006657E-3</c:v>
                </c:pt>
                <c:pt idx="1675">
                  <c:v>1.193164810513E-2</c:v>
                </c:pt>
                <c:pt idx="1676">
                  <c:v>1.6709360762390182E-2</c:v>
                </c:pt>
                <c:pt idx="1677">
                  <c:v>-1.2700374785333366E-2</c:v>
                </c:pt>
                <c:pt idx="1678">
                  <c:v>-6.0021748910059607E-3</c:v>
                </c:pt>
                <c:pt idx="1679">
                  <c:v>-9.5228602287666213E-3</c:v>
                </c:pt>
                <c:pt idx="1680">
                  <c:v>-1.6275199469656183E-2</c:v>
                </c:pt>
                <c:pt idx="1681">
                  <c:v>3.3783523359420921E-3</c:v>
                </c:pt>
                <c:pt idx="1682">
                  <c:v>1.2243265574196018E-3</c:v>
                </c:pt>
                <c:pt idx="1683">
                  <c:v>-2.0659525505836115E-3</c:v>
                </c:pt>
                <c:pt idx="1684">
                  <c:v>-1.0313042984899648E-2</c:v>
                </c:pt>
                <c:pt idx="1685">
                  <c:v>-3.0114230571911967E-3</c:v>
                </c:pt>
                <c:pt idx="1686">
                  <c:v>7.8720139921761086E-4</c:v>
                </c:pt>
                <c:pt idx="1687">
                  <c:v>8.6218186451359584E-3</c:v>
                </c:pt>
                <c:pt idx="1688">
                  <c:v>-1.5466560842637861E-2</c:v>
                </c:pt>
                <c:pt idx="1689">
                  <c:v>-2.8683957002466356E-3</c:v>
                </c:pt>
                <c:pt idx="1690">
                  <c:v>-6.6549564406366678E-3</c:v>
                </c:pt>
                <c:pt idx="1691">
                  <c:v>-1.5571786169550762E-3</c:v>
                </c:pt>
                <c:pt idx="1692">
                  <c:v>3.4121896932721198E-3</c:v>
                </c:pt>
                <c:pt idx="1693">
                  <c:v>3.5515537579743402E-3</c:v>
                </c:pt>
                <c:pt idx="1694">
                  <c:v>8.2719705210667713E-3</c:v>
                </c:pt>
                <c:pt idx="1695">
                  <c:v>-6.5595871882255588E-3</c:v>
                </c:pt>
                <c:pt idx="1696">
                  <c:v>1.9418945282727021E-3</c:v>
                </c:pt>
                <c:pt idx="1697">
                  <c:v>-9.4548289083864895E-3</c:v>
                </c:pt>
                <c:pt idx="1698">
                  <c:v>-6.2368028149741267E-4</c:v>
                </c:pt>
                <c:pt idx="1699">
                  <c:v>3.4949395157485071E-3</c:v>
                </c:pt>
                <c:pt idx="1700">
                  <c:v>2.1288573580910672E-2</c:v>
                </c:pt>
                <c:pt idx="1701">
                  <c:v>3.2480910583431734E-3</c:v>
                </c:pt>
                <c:pt idx="1702">
                  <c:v>2.9522114637710946E-3</c:v>
                </c:pt>
                <c:pt idx="1703">
                  <c:v>-5.5962304422049062E-3</c:v>
                </c:pt>
                <c:pt idx="1704">
                  <c:v>-2.961539088163385E-3</c:v>
                </c:pt>
                <c:pt idx="1705">
                  <c:v>-1.5745560285999939E-3</c:v>
                </c:pt>
                <c:pt idx="1706">
                  <c:v>2.3345746488411243E-2</c:v>
                </c:pt>
                <c:pt idx="1707">
                  <c:v>1.6735380322436117E-2</c:v>
                </c:pt>
                <c:pt idx="1708">
                  <c:v>-7.701237151509565E-3</c:v>
                </c:pt>
                <c:pt idx="1709">
                  <c:v>8.014694978273432E-3</c:v>
                </c:pt>
                <c:pt idx="1710">
                  <c:v>1.3762280399652849E-2</c:v>
                </c:pt>
                <c:pt idx="1711">
                  <c:v>-8.0313351579483338E-3</c:v>
                </c:pt>
                <c:pt idx="1712">
                  <c:v>1.6028338264544291E-3</c:v>
                </c:pt>
                <c:pt idx="1713">
                  <c:v>9.5700347541993703E-4</c:v>
                </c:pt>
                <c:pt idx="1714">
                  <c:v>1.0195757994403511E-2</c:v>
                </c:pt>
                <c:pt idx="1715">
                  <c:v>-5.0634247041229635E-3</c:v>
                </c:pt>
                <c:pt idx="1716">
                  <c:v>4.0191405117839521E-3</c:v>
                </c:pt>
                <c:pt idx="1717">
                  <c:v>-6.4794563231098173E-3</c:v>
                </c:pt>
                <c:pt idx="1718">
                  <c:v>-4.0952873365687264E-3</c:v>
                </c:pt>
                <c:pt idx="1719">
                  <c:v>7.2040172313244805E-3</c:v>
                </c:pt>
                <c:pt idx="1720">
                  <c:v>-8.9193466641074078E-3</c:v>
                </c:pt>
                <c:pt idx="1721">
                  <c:v>-4.5269589248623301E-3</c:v>
                </c:pt>
                <c:pt idx="1722">
                  <c:v>-7.350470525080664E-5</c:v>
                </c:pt>
                <c:pt idx="1723">
                  <c:v>5.653834940984202E-3</c:v>
                </c:pt>
                <c:pt idx="1724">
                  <c:v>-1.1069609489811732E-2</c:v>
                </c:pt>
                <c:pt idx="1725">
                  <c:v>1.3385241239970515E-2</c:v>
                </c:pt>
                <c:pt idx="1726">
                  <c:v>-2.4554036305240085E-3</c:v>
                </c:pt>
                <c:pt idx="1727">
                  <c:v>4.1526913637025473E-3</c:v>
                </c:pt>
                <c:pt idx="1728">
                  <c:v>3.1544811647356862E-3</c:v>
                </c:pt>
                <c:pt idx="1729">
                  <c:v>1.3832349675443592E-3</c:v>
                </c:pt>
                <c:pt idx="1730">
                  <c:v>6.520676816933582E-3</c:v>
                </c:pt>
                <c:pt idx="1731">
                  <c:v>-4.6055683416921711E-3</c:v>
                </c:pt>
                <c:pt idx="1732">
                  <c:v>-2.3598432184465772E-3</c:v>
                </c:pt>
                <c:pt idx="1733">
                  <c:v>6.0962497742707766E-3</c:v>
                </c:pt>
                <c:pt idx="1734">
                  <c:v>-1.3444104899999196E-3</c:v>
                </c:pt>
                <c:pt idx="1735">
                  <c:v>7.0501176564221751E-3</c:v>
                </c:pt>
                <c:pt idx="1736">
                  <c:v>3.1514719515754689E-3</c:v>
                </c:pt>
                <c:pt idx="1737">
                  <c:v>5.4530765819168505E-4</c:v>
                </c:pt>
                <c:pt idx="1738">
                  <c:v>-6.9577577764467161E-3</c:v>
                </c:pt>
                <c:pt idx="1739">
                  <c:v>1.0985222935104033E-3</c:v>
                </c:pt>
                <c:pt idx="1740">
                  <c:v>-7.4525136175208609E-3</c:v>
                </c:pt>
                <c:pt idx="1741">
                  <c:v>8.6208750580659636E-3</c:v>
                </c:pt>
                <c:pt idx="1742">
                  <c:v>2.2008688069542005E-4</c:v>
                </c:pt>
                <c:pt idx="1743">
                  <c:v>9.7175500151170182E-4</c:v>
                </c:pt>
                <c:pt idx="1744">
                  <c:v>-4.8884229774236523E-3</c:v>
                </c:pt>
                <c:pt idx="1745">
                  <c:v>-6.5398601552575809E-3</c:v>
                </c:pt>
                <c:pt idx="1746">
                  <c:v>-1.7524656461046364E-2</c:v>
                </c:pt>
                <c:pt idx="1747">
                  <c:v>-3.0044521301006633E-4</c:v>
                </c:pt>
                <c:pt idx="1748">
                  <c:v>-1.0090444513888913E-2</c:v>
                </c:pt>
                <c:pt idx="1749">
                  <c:v>-3.7960198505367047E-3</c:v>
                </c:pt>
                <c:pt idx="1750">
                  <c:v>-1.1361898773251944E-2</c:v>
                </c:pt>
                <c:pt idx="1751">
                  <c:v>9.0129416703747453E-4</c:v>
                </c:pt>
                <c:pt idx="1752">
                  <c:v>-1.2705918910194767E-2</c:v>
                </c:pt>
                <c:pt idx="1753">
                  <c:v>-1.0339401708275783E-2</c:v>
                </c:pt>
                <c:pt idx="1754">
                  <c:v>1.0378281166761524E-3</c:v>
                </c:pt>
                <c:pt idx="1755">
                  <c:v>-1.1860984933991614E-3</c:v>
                </c:pt>
                <c:pt idx="1756">
                  <c:v>-2.8027118078983782E-3</c:v>
                </c:pt>
                <c:pt idx="1757">
                  <c:v>1.7530858605574233E-2</c:v>
                </c:pt>
                <c:pt idx="1758">
                  <c:v>5.2891640617410123E-3</c:v>
                </c:pt>
                <c:pt idx="1759">
                  <c:v>1.6739113140328051E-3</c:v>
                </c:pt>
                <c:pt idx="1760">
                  <c:v>1.0129587300246518E-2</c:v>
                </c:pt>
                <c:pt idx="1761">
                  <c:v>6.2900682037843924E-3</c:v>
                </c:pt>
                <c:pt idx="1762">
                  <c:v>-8.785025676771788E-3</c:v>
                </c:pt>
                <c:pt idx="1763">
                  <c:v>3.4035350175179772E-3</c:v>
                </c:pt>
                <c:pt idx="1764">
                  <c:v>2.475847554792349E-3</c:v>
                </c:pt>
                <c:pt idx="1765">
                  <c:v>7.1949769193844111E-3</c:v>
                </c:pt>
                <c:pt idx="1766">
                  <c:v>-5.0261046194721402E-3</c:v>
                </c:pt>
                <c:pt idx="1767">
                  <c:v>2.7023197066796453E-2</c:v>
                </c:pt>
                <c:pt idx="1768">
                  <c:v>1.146381966493944E-2</c:v>
                </c:pt>
                <c:pt idx="1769">
                  <c:v>1.0556247169105828E-2</c:v>
                </c:pt>
                <c:pt idx="1770">
                  <c:v>-1.0032989120716047E-2</c:v>
                </c:pt>
                <c:pt idx="1771">
                  <c:v>-3.6694234738031111E-3</c:v>
                </c:pt>
                <c:pt idx="1772">
                  <c:v>2.2916429947691065E-3</c:v>
                </c:pt>
                <c:pt idx="1773">
                  <c:v>3.9386945108448356E-3</c:v>
                </c:pt>
                <c:pt idx="1774">
                  <c:v>-1.480358254618638E-3</c:v>
                </c:pt>
                <c:pt idx="1775">
                  <c:v>5.0141844818277987E-3</c:v>
                </c:pt>
                <c:pt idx="1776">
                  <c:v>7.4527001564261E-3</c:v>
                </c:pt>
                <c:pt idx="1777">
                  <c:v>-5.4279397242643409E-3</c:v>
                </c:pt>
                <c:pt idx="1778">
                  <c:v>-5.3188633925876846E-3</c:v>
                </c:pt>
                <c:pt idx="1779">
                  <c:v>-9.6255908374811655E-5</c:v>
                </c:pt>
                <c:pt idx="1780">
                  <c:v>-1.1152977799559099E-2</c:v>
                </c:pt>
                <c:pt idx="1781">
                  <c:v>2.6737055557292198E-3</c:v>
                </c:pt>
                <c:pt idx="1782">
                  <c:v>-3.7585977835643929E-3</c:v>
                </c:pt>
                <c:pt idx="1783">
                  <c:v>3.8673148833732376E-3</c:v>
                </c:pt>
                <c:pt idx="1784">
                  <c:v>-9.8629599768809053E-3</c:v>
                </c:pt>
                <c:pt idx="1785">
                  <c:v>2.5454118090328737E-3</c:v>
                </c:pt>
                <c:pt idx="1786">
                  <c:v>-3.6181125963144628E-3</c:v>
                </c:pt>
                <c:pt idx="1787">
                  <c:v>-1.1315523301652702E-3</c:v>
                </c:pt>
                <c:pt idx="1788">
                  <c:v>3.7183633600467521E-3</c:v>
                </c:pt>
                <c:pt idx="1789">
                  <c:v>-1.3347143560152985E-2</c:v>
                </c:pt>
                <c:pt idx="1790">
                  <c:v>-8.464339140511868E-4</c:v>
                </c:pt>
                <c:pt idx="1791">
                  <c:v>-1.1395342508486676E-2</c:v>
                </c:pt>
                <c:pt idx="1792">
                  <c:v>-7.1639598423059395E-3</c:v>
                </c:pt>
                <c:pt idx="1793">
                  <c:v>1.6005878179146825E-3</c:v>
                </c:pt>
                <c:pt idx="1794">
                  <c:v>-9.1400649523023375E-3</c:v>
                </c:pt>
                <c:pt idx="1795">
                  <c:v>-4.8884144034938484E-3</c:v>
                </c:pt>
                <c:pt idx="1796">
                  <c:v>1.3283401830239841E-2</c:v>
                </c:pt>
                <c:pt idx="1797">
                  <c:v>6.8042636618094367E-4</c:v>
                </c:pt>
                <c:pt idx="1798">
                  <c:v>1.2460852090290915E-2</c:v>
                </c:pt>
                <c:pt idx="1799">
                  <c:v>-1.4048643420083351E-3</c:v>
                </c:pt>
                <c:pt idx="1800">
                  <c:v>-1.2936082303223136E-2</c:v>
                </c:pt>
                <c:pt idx="1801">
                  <c:v>-4.484685373845154E-3</c:v>
                </c:pt>
                <c:pt idx="1802">
                  <c:v>7.1045541565936329E-4</c:v>
                </c:pt>
                <c:pt idx="1803">
                  <c:v>-2.3186825644205171E-3</c:v>
                </c:pt>
                <c:pt idx="1804">
                  <c:v>-2.1414371622815649E-3</c:v>
                </c:pt>
                <c:pt idx="1805">
                  <c:v>-1.6541007309383937E-3</c:v>
                </c:pt>
                <c:pt idx="1806">
                  <c:v>6.6297684303752245E-3</c:v>
                </c:pt>
                <c:pt idx="1807">
                  <c:v>3.8589634846501507E-3</c:v>
                </c:pt>
                <c:pt idx="1808">
                  <c:v>-4.6193958250885488E-3</c:v>
                </c:pt>
                <c:pt idx="1809">
                  <c:v>7.1711602674875983E-3</c:v>
                </c:pt>
                <c:pt idx="1810">
                  <c:v>-2.494212798812467E-4</c:v>
                </c:pt>
                <c:pt idx="1811">
                  <c:v>-3.5832605443290051E-3</c:v>
                </c:pt>
                <c:pt idx="1812">
                  <c:v>5.2692895020428456E-3</c:v>
                </c:pt>
                <c:pt idx="1813">
                  <c:v>-9.8008951272562342E-4</c:v>
                </c:pt>
                <c:pt idx="1814">
                  <c:v>-6.5037109044888738E-3</c:v>
                </c:pt>
                <c:pt idx="1815">
                  <c:v>2.0518251532546613E-3</c:v>
                </c:pt>
                <c:pt idx="1816">
                  <c:v>-9.1352411216341339E-3</c:v>
                </c:pt>
                <c:pt idx="1817">
                  <c:v>3.7380625215101722E-3</c:v>
                </c:pt>
                <c:pt idx="1818">
                  <c:v>-8.9634837754402012E-3</c:v>
                </c:pt>
                <c:pt idx="1819">
                  <c:v>1.1834728047295617E-3</c:v>
                </c:pt>
                <c:pt idx="1820">
                  <c:v>-1.1494880473115324E-2</c:v>
                </c:pt>
                <c:pt idx="1821">
                  <c:v>-1.8560679126706637E-3</c:v>
                </c:pt>
                <c:pt idx="1822">
                  <c:v>2.9540572797672236E-4</c:v>
                </c:pt>
                <c:pt idx="1823">
                  <c:v>-1.0740932171546608E-2</c:v>
                </c:pt>
                <c:pt idx="1824">
                  <c:v>-1.0270590371948518E-2</c:v>
                </c:pt>
                <c:pt idx="1825">
                  <c:v>-3.0933895267890696E-3</c:v>
                </c:pt>
                <c:pt idx="1826">
                  <c:v>1.2035089109850626E-2</c:v>
                </c:pt>
                <c:pt idx="1827">
                  <c:v>1.2639117543591436E-2</c:v>
                </c:pt>
                <c:pt idx="1828">
                  <c:v>-6.708199882901866E-3</c:v>
                </c:pt>
                <c:pt idx="1829">
                  <c:v>-1.5196771605861744E-2</c:v>
                </c:pt>
                <c:pt idx="1830">
                  <c:v>1.0031767297142518E-2</c:v>
                </c:pt>
                <c:pt idx="1831">
                  <c:v>4.1931141144908269E-3</c:v>
                </c:pt>
                <c:pt idx="1832">
                  <c:v>-4.6320743156898312E-4</c:v>
                </c:pt>
                <c:pt idx="1833">
                  <c:v>4.7186133691858164E-3</c:v>
                </c:pt>
                <c:pt idx="1834">
                  <c:v>-1.1469387900626668E-2</c:v>
                </c:pt>
                <c:pt idx="1835">
                  <c:v>5.2451619403423421E-3</c:v>
                </c:pt>
                <c:pt idx="1836">
                  <c:v>-7.6357060772698979E-3</c:v>
                </c:pt>
                <c:pt idx="1837">
                  <c:v>5.133421169221975E-3</c:v>
                </c:pt>
                <c:pt idx="1838">
                  <c:v>3.0227762606646292E-3</c:v>
                </c:pt>
                <c:pt idx="1839">
                  <c:v>1.1214461841627913E-3</c:v>
                </c:pt>
                <c:pt idx="1840">
                  <c:v>-7.5563152164436782E-3</c:v>
                </c:pt>
                <c:pt idx="1841">
                  <c:v>-5.5108156609297056E-3</c:v>
                </c:pt>
                <c:pt idx="1842">
                  <c:v>6.5383623332048585E-3</c:v>
                </c:pt>
                <c:pt idx="1843">
                  <c:v>-4.7185950277851213E-3</c:v>
                </c:pt>
                <c:pt idx="1844">
                  <c:v>-8.9610153266342059E-4</c:v>
                </c:pt>
                <c:pt idx="1845">
                  <c:v>3.1321961967234061E-3</c:v>
                </c:pt>
                <c:pt idx="1846">
                  <c:v>-7.1519995406676218E-3</c:v>
                </c:pt>
                <c:pt idx="1847">
                  <c:v>-9.0390151468754392E-4</c:v>
                </c:pt>
                <c:pt idx="1848">
                  <c:v>-2.0067785216979432E-2</c:v>
                </c:pt>
                <c:pt idx="1849">
                  <c:v>-3.960061941674628E-3</c:v>
                </c:pt>
                <c:pt idx="1850">
                  <c:v>4.6782868915428363E-3</c:v>
                </c:pt>
                <c:pt idx="1851">
                  <c:v>-1.026282561871843E-2</c:v>
                </c:pt>
                <c:pt idx="1852">
                  <c:v>-7.8862592258195051E-3</c:v>
                </c:pt>
                <c:pt idx="1853">
                  <c:v>2.8324719942475363E-2</c:v>
                </c:pt>
                <c:pt idx="1854">
                  <c:v>-5.5517378237102911E-3</c:v>
                </c:pt>
                <c:pt idx="1855">
                  <c:v>-1.7177522385175573E-2</c:v>
                </c:pt>
                <c:pt idx="1856">
                  <c:v>1.0216929446459093E-2</c:v>
                </c:pt>
                <c:pt idx="1857">
                  <c:v>-1.2573651469355358E-2</c:v>
                </c:pt>
                <c:pt idx="1858">
                  <c:v>-1.6110466110104736E-3</c:v>
                </c:pt>
                <c:pt idx="1859">
                  <c:v>4.318035138705564E-3</c:v>
                </c:pt>
                <c:pt idx="1860">
                  <c:v>-6.4721594199719686E-3</c:v>
                </c:pt>
                <c:pt idx="1861">
                  <c:v>6.2918049473128894E-3</c:v>
                </c:pt>
                <c:pt idx="1862">
                  <c:v>3.5562819129418277E-3</c:v>
                </c:pt>
                <c:pt idx="1863">
                  <c:v>-2.8267254317099403E-3</c:v>
                </c:pt>
                <c:pt idx="1864">
                  <c:v>-7.9799158871117857E-3</c:v>
                </c:pt>
                <c:pt idx="1865">
                  <c:v>-1.4831650558840491E-2</c:v>
                </c:pt>
                <c:pt idx="1866">
                  <c:v>1.1891095733439733E-2</c:v>
                </c:pt>
                <c:pt idx="1867">
                  <c:v>-4.5487405832696391E-3</c:v>
                </c:pt>
                <c:pt idx="1868">
                  <c:v>1.7619303027668017E-2</c:v>
                </c:pt>
                <c:pt idx="1869">
                  <c:v>1.0109211502949713E-2</c:v>
                </c:pt>
                <c:pt idx="1870">
                  <c:v>-2.9781325093578264E-3</c:v>
                </c:pt>
                <c:pt idx="1871">
                  <c:v>-2.7551605889061262E-2</c:v>
                </c:pt>
                <c:pt idx="1872">
                  <c:v>2.0969601834017432E-2</c:v>
                </c:pt>
                <c:pt idx="1873">
                  <c:v>3.0407420014890922E-3</c:v>
                </c:pt>
                <c:pt idx="1874">
                  <c:v>-1.0482318102222813E-2</c:v>
                </c:pt>
                <c:pt idx="1875">
                  <c:v>6.5242200636093017E-3</c:v>
                </c:pt>
                <c:pt idx="1876">
                  <c:v>-1.9386116060863576E-2</c:v>
                </c:pt>
                <c:pt idx="1877">
                  <c:v>9.6118865294633309E-3</c:v>
                </c:pt>
                <c:pt idx="1878">
                  <c:v>2.5618026614699653E-3</c:v>
                </c:pt>
                <c:pt idx="1879">
                  <c:v>-4.900463900224002E-3</c:v>
                </c:pt>
                <c:pt idx="1880">
                  <c:v>2.620176637031912E-2</c:v>
                </c:pt>
                <c:pt idx="1881">
                  <c:v>-6.2665981445810736E-3</c:v>
                </c:pt>
                <c:pt idx="1882">
                  <c:v>9.5930556708868507E-4</c:v>
                </c:pt>
                <c:pt idx="1883">
                  <c:v>-2.8151021577223711E-3</c:v>
                </c:pt>
                <c:pt idx="1884">
                  <c:v>2.1198892764175206E-3</c:v>
                </c:pt>
                <c:pt idx="1885">
                  <c:v>2.8680875625143841E-3</c:v>
                </c:pt>
                <c:pt idx="1886">
                  <c:v>1.9627966898379232E-2</c:v>
                </c:pt>
                <c:pt idx="1887">
                  <c:v>1.4334611726421195E-2</c:v>
                </c:pt>
                <c:pt idx="1888">
                  <c:v>1.1691712476157638E-2</c:v>
                </c:pt>
                <c:pt idx="1889">
                  <c:v>-4.582459204248583E-3</c:v>
                </c:pt>
                <c:pt idx="1890">
                  <c:v>8.5056034041912486E-3</c:v>
                </c:pt>
                <c:pt idx="1891">
                  <c:v>-1.1805038507298473E-2</c:v>
                </c:pt>
                <c:pt idx="1892">
                  <c:v>-1.2840794350080648E-2</c:v>
                </c:pt>
                <c:pt idx="1893">
                  <c:v>-2.2458556699071538E-2</c:v>
                </c:pt>
                <c:pt idx="1894">
                  <c:v>-3.1652702477220206E-2</c:v>
                </c:pt>
                <c:pt idx="1895">
                  <c:v>1.1049210489474687E-2</c:v>
                </c:pt>
                <c:pt idx="1896">
                  <c:v>-9.4550240293390844E-3</c:v>
                </c:pt>
                <c:pt idx="1897">
                  <c:v>1.5367691244401275E-2</c:v>
                </c:pt>
                <c:pt idx="1898">
                  <c:v>-1.4585701622100385E-2</c:v>
                </c:pt>
                <c:pt idx="1899">
                  <c:v>5.7064705451208573E-3</c:v>
                </c:pt>
                <c:pt idx="1900">
                  <c:v>2.003807686369254E-2</c:v>
                </c:pt>
                <c:pt idx="1901">
                  <c:v>-2.1319864017904019E-3</c:v>
                </c:pt>
                <c:pt idx="1902">
                  <c:v>7.6027404996775825E-4</c:v>
                </c:pt>
                <c:pt idx="1903">
                  <c:v>4.9447297469819157E-3</c:v>
                </c:pt>
                <c:pt idx="1904">
                  <c:v>1.6100147484975888E-2</c:v>
                </c:pt>
                <c:pt idx="1905">
                  <c:v>-1.4651330736857269E-2</c:v>
                </c:pt>
                <c:pt idx="1906">
                  <c:v>1.8994891382251643E-2</c:v>
                </c:pt>
                <c:pt idx="1907">
                  <c:v>-2.3534696236125332E-2</c:v>
                </c:pt>
                <c:pt idx="1908">
                  <c:v>1.1120163865258846E-2</c:v>
                </c:pt>
                <c:pt idx="1909">
                  <c:v>2.569178158982633E-2</c:v>
                </c:pt>
                <c:pt idx="1910">
                  <c:v>5.7892931429054709E-4</c:v>
                </c:pt>
                <c:pt idx="1911">
                  <c:v>3.5031303353252486E-3</c:v>
                </c:pt>
                <c:pt idx="1912">
                  <c:v>1.1351174562037001E-2</c:v>
                </c:pt>
                <c:pt idx="1913">
                  <c:v>2.5571214482704415E-3</c:v>
                </c:pt>
                <c:pt idx="1914">
                  <c:v>5.442148739919897E-3</c:v>
                </c:pt>
                <c:pt idx="1915">
                  <c:v>5.7014964134370376E-3</c:v>
                </c:pt>
                <c:pt idx="1916">
                  <c:v>-1.4579607530547216E-3</c:v>
                </c:pt>
                <c:pt idx="1917">
                  <c:v>5.0153627550534102E-3</c:v>
                </c:pt>
                <c:pt idx="1918">
                  <c:v>1.0333898174065062E-2</c:v>
                </c:pt>
                <c:pt idx="1919">
                  <c:v>5.5106707906589728E-3</c:v>
                </c:pt>
                <c:pt idx="1920">
                  <c:v>4.9365712675151973E-3</c:v>
                </c:pt>
                <c:pt idx="1921">
                  <c:v>-1.0860089121884036E-2</c:v>
                </c:pt>
                <c:pt idx="1922">
                  <c:v>-1.7918028816234714E-3</c:v>
                </c:pt>
                <c:pt idx="1923">
                  <c:v>-1.1392677462647124E-3</c:v>
                </c:pt>
                <c:pt idx="1924">
                  <c:v>-1.4669870695230324E-3</c:v>
                </c:pt>
                <c:pt idx="1925">
                  <c:v>5.0182364376630201E-3</c:v>
                </c:pt>
                <c:pt idx="1926">
                  <c:v>-7.3618893553204934E-3</c:v>
                </c:pt>
                <c:pt idx="1927">
                  <c:v>-3.8318293111548039E-3</c:v>
                </c:pt>
                <c:pt idx="1928">
                  <c:v>3.9591204743735838E-3</c:v>
                </c:pt>
                <c:pt idx="1929">
                  <c:v>9.5891159075323501E-3</c:v>
                </c:pt>
                <c:pt idx="1930">
                  <c:v>6.2081142256285088E-3</c:v>
                </c:pt>
                <c:pt idx="1931">
                  <c:v>1.086350040239872E-3</c:v>
                </c:pt>
                <c:pt idx="1932">
                  <c:v>-4.9635564804223725E-4</c:v>
                </c:pt>
                <c:pt idx="1933">
                  <c:v>1.3734677589174569E-2</c:v>
                </c:pt>
                <c:pt idx="1934">
                  <c:v>1.4053561156085451E-2</c:v>
                </c:pt>
                <c:pt idx="1935">
                  <c:v>-7.2704270544356729E-4</c:v>
                </c:pt>
                <c:pt idx="1936">
                  <c:v>2.2849871742043923E-3</c:v>
                </c:pt>
                <c:pt idx="1937">
                  <c:v>2.2911662385824583E-2</c:v>
                </c:pt>
                <c:pt idx="1938">
                  <c:v>-2.1004164129180126E-3</c:v>
                </c:pt>
                <c:pt idx="1939">
                  <c:v>-6.4114935363149099E-3</c:v>
                </c:pt>
                <c:pt idx="1940">
                  <c:v>-1.4484956250202543E-2</c:v>
                </c:pt>
                <c:pt idx="1941">
                  <c:v>-1.0135947238518211E-2</c:v>
                </c:pt>
                <c:pt idx="1942">
                  <c:v>-1.3542432453714903E-3</c:v>
                </c:pt>
                <c:pt idx="1943">
                  <c:v>-1.6291553456706125E-2</c:v>
                </c:pt>
                <c:pt idx="1944">
                  <c:v>-7.1790751942737475E-4</c:v>
                </c:pt>
                <c:pt idx="1945">
                  <c:v>-8.7545379497378471E-3</c:v>
                </c:pt>
                <c:pt idx="1946">
                  <c:v>-1.5048162072450991E-3</c:v>
                </c:pt>
                <c:pt idx="1947">
                  <c:v>-1.6330499788457395E-2</c:v>
                </c:pt>
                <c:pt idx="1948">
                  <c:v>3.4664871053206849E-2</c:v>
                </c:pt>
                <c:pt idx="1949">
                  <c:v>4.7850113204997644E-3</c:v>
                </c:pt>
                <c:pt idx="1950">
                  <c:v>-3.1532634796898307E-3</c:v>
                </c:pt>
                <c:pt idx="1951">
                  <c:v>1.4423845811595472E-3</c:v>
                </c:pt>
                <c:pt idx="1952">
                  <c:v>-1.3969807093798109E-3</c:v>
                </c:pt>
                <c:pt idx="1953">
                  <c:v>-1.4741529370099444E-2</c:v>
                </c:pt>
                <c:pt idx="1954">
                  <c:v>4.5064423069565472E-3</c:v>
                </c:pt>
                <c:pt idx="1955">
                  <c:v>-1.1397554904781533E-2</c:v>
                </c:pt>
                <c:pt idx="1956">
                  <c:v>1.6313841402410569E-2</c:v>
                </c:pt>
                <c:pt idx="1957">
                  <c:v>5.7353357549006249E-4</c:v>
                </c:pt>
                <c:pt idx="1958">
                  <c:v>-2.0797319114240131E-3</c:v>
                </c:pt>
                <c:pt idx="1959">
                  <c:v>-2.6339270991566069E-3</c:v>
                </c:pt>
                <c:pt idx="1960">
                  <c:v>-7.3592831476100764E-3</c:v>
                </c:pt>
                <c:pt idx="1961">
                  <c:v>-6.282642105026842E-3</c:v>
                </c:pt>
                <c:pt idx="1962">
                  <c:v>1.1758846120121564E-2</c:v>
                </c:pt>
                <c:pt idx="1963">
                  <c:v>-8.7672908562056798E-3</c:v>
                </c:pt>
                <c:pt idx="1964">
                  <c:v>7.6337035134861342E-3</c:v>
                </c:pt>
                <c:pt idx="1965">
                  <c:v>-1.2598372708949934E-2</c:v>
                </c:pt>
                <c:pt idx="1966">
                  <c:v>-7.0249088513214309E-4</c:v>
                </c:pt>
                <c:pt idx="1967">
                  <c:v>-2.2098756250376341E-3</c:v>
                </c:pt>
                <c:pt idx="1968">
                  <c:v>-1.2030433267774041E-2</c:v>
                </c:pt>
                <c:pt idx="1969">
                  <c:v>1.6494989943247974E-2</c:v>
                </c:pt>
                <c:pt idx="1970">
                  <c:v>8.5718217527698155E-3</c:v>
                </c:pt>
                <c:pt idx="1971">
                  <c:v>6.6909219144669109E-3</c:v>
                </c:pt>
                <c:pt idx="1972">
                  <c:v>1.3814430783770208E-2</c:v>
                </c:pt>
                <c:pt idx="1973">
                  <c:v>3.3170773200299352E-3</c:v>
                </c:pt>
                <c:pt idx="1974">
                  <c:v>-1.5684564212049709E-2</c:v>
                </c:pt>
                <c:pt idx="1975">
                  <c:v>1.745347781477069E-3</c:v>
                </c:pt>
                <c:pt idx="1976">
                  <c:v>3.2347388988265943E-3</c:v>
                </c:pt>
                <c:pt idx="1977">
                  <c:v>-1.9334644899376447E-3</c:v>
                </c:pt>
                <c:pt idx="1978">
                  <c:v>-5.7422702462737269E-3</c:v>
                </c:pt>
                <c:pt idx="1979">
                  <c:v>7.8659943474130023E-3</c:v>
                </c:pt>
                <c:pt idx="1980">
                  <c:v>-3.2025330353381995E-2</c:v>
                </c:pt>
                <c:pt idx="1981">
                  <c:v>-7.6632780741491963E-3</c:v>
                </c:pt>
                <c:pt idx="1982">
                  <c:v>-2.0717043949647108E-3</c:v>
                </c:pt>
                <c:pt idx="1983">
                  <c:v>1.1419371187806903E-2</c:v>
                </c:pt>
                <c:pt idx="1984">
                  <c:v>1.7161130830231956E-2</c:v>
                </c:pt>
                <c:pt idx="1985">
                  <c:v>-1.1004160962412957E-2</c:v>
                </c:pt>
                <c:pt idx="1986">
                  <c:v>7.3920870124586351E-3</c:v>
                </c:pt>
                <c:pt idx="1987">
                  <c:v>-7.0564059830899722E-3</c:v>
                </c:pt>
                <c:pt idx="1988">
                  <c:v>1.7332863217081159E-2</c:v>
                </c:pt>
                <c:pt idx="1989">
                  <c:v>7.3746166805893423E-3</c:v>
                </c:pt>
                <c:pt idx="1990">
                  <c:v>1.4380370709015268E-2</c:v>
                </c:pt>
                <c:pt idx="1991">
                  <c:v>-9.9954768701697406E-4</c:v>
                </c:pt>
                <c:pt idx="1992">
                  <c:v>-3.9334767448848387E-3</c:v>
                </c:pt>
                <c:pt idx="1993">
                  <c:v>-1.0609011847452882E-3</c:v>
                </c:pt>
                <c:pt idx="1994">
                  <c:v>1.3340230570290459E-3</c:v>
                </c:pt>
                <c:pt idx="1995">
                  <c:v>2.8798970574371507E-3</c:v>
                </c:pt>
                <c:pt idx="1996">
                  <c:v>-5.3191619342862987E-3</c:v>
                </c:pt>
                <c:pt idx="1997">
                  <c:v>-5.2262753021894625E-3</c:v>
                </c:pt>
                <c:pt idx="1998">
                  <c:v>1.5872031001778017E-3</c:v>
                </c:pt>
                <c:pt idx="1999">
                  <c:v>-1.0225612476208902E-2</c:v>
                </c:pt>
                <c:pt idx="2000">
                  <c:v>-1.9821694503037418E-2</c:v>
                </c:pt>
                <c:pt idx="2001">
                  <c:v>-9.9546704130906265E-3</c:v>
                </c:pt>
                <c:pt idx="2002">
                  <c:v>5.9911932559120621E-3</c:v>
                </c:pt>
                <c:pt idx="2003">
                  <c:v>1.6339854140888628E-2</c:v>
                </c:pt>
                <c:pt idx="2004">
                  <c:v>1.0499744271997165E-3</c:v>
                </c:pt>
                <c:pt idx="2005">
                  <c:v>-3.8334379108522477E-3</c:v>
                </c:pt>
                <c:pt idx="2006">
                  <c:v>6.0526309461738769E-3</c:v>
                </c:pt>
                <c:pt idx="2007">
                  <c:v>1.8728764605360559E-2</c:v>
                </c:pt>
                <c:pt idx="2008">
                  <c:v>-5.1860064010851642E-3</c:v>
                </c:pt>
                <c:pt idx="2009">
                  <c:v>-2.918040699091136E-4</c:v>
                </c:pt>
                <c:pt idx="2010">
                  <c:v>6.551013189616095E-3</c:v>
                </c:pt>
                <c:pt idx="2011">
                  <c:v>7.4914297428966548E-3</c:v>
                </c:pt>
                <c:pt idx="2012">
                  <c:v>-1.2530896447395801E-2</c:v>
                </c:pt>
                <c:pt idx="2013">
                  <c:v>1.2406020363715985E-2</c:v>
                </c:pt>
                <c:pt idx="2014">
                  <c:v>-3.2740016177595505E-3</c:v>
                </c:pt>
                <c:pt idx="2015">
                  <c:v>-7.1673491943633144E-3</c:v>
                </c:pt>
                <c:pt idx="2016">
                  <c:v>-1.561239353274502E-3</c:v>
                </c:pt>
                <c:pt idx="2017">
                  <c:v>-4.3240974114612226E-3</c:v>
                </c:pt>
                <c:pt idx="2018">
                  <c:v>3.7297755767349105E-3</c:v>
                </c:pt>
                <c:pt idx="2019">
                  <c:v>-4.013695733773086E-3</c:v>
                </c:pt>
                <c:pt idx="2020">
                  <c:v>-6.5259721134122038E-3</c:v>
                </c:pt>
                <c:pt idx="2021">
                  <c:v>2.0334542322493689E-2</c:v>
                </c:pt>
                <c:pt idx="2022">
                  <c:v>-3.3987290579645304E-3</c:v>
                </c:pt>
                <c:pt idx="2023">
                  <c:v>-1.3812568159769934E-2</c:v>
                </c:pt>
                <c:pt idx="2024">
                  <c:v>-8.1414127382124189E-3</c:v>
                </c:pt>
                <c:pt idx="2025">
                  <c:v>1.2000939410179767E-2</c:v>
                </c:pt>
                <c:pt idx="2026">
                  <c:v>7.4552649462313492E-5</c:v>
                </c:pt>
                <c:pt idx="2027">
                  <c:v>-1.6966679077278289E-3</c:v>
                </c:pt>
                <c:pt idx="2028">
                  <c:v>-9.5457754424891554E-4</c:v>
                </c:pt>
                <c:pt idx="2029">
                  <c:v>3.2367239387616187E-3</c:v>
                </c:pt>
                <c:pt idx="2030">
                  <c:v>-1.5480486686388415E-2</c:v>
                </c:pt>
                <c:pt idx="2031">
                  <c:v>-1.6426531964427444E-3</c:v>
                </c:pt>
                <c:pt idx="2032">
                  <c:v>-3.0062697050752705E-3</c:v>
                </c:pt>
                <c:pt idx="2033">
                  <c:v>-1.4541223846146467E-3</c:v>
                </c:pt>
                <c:pt idx="2034">
                  <c:v>-5.5198915488360294E-3</c:v>
                </c:pt>
                <c:pt idx="2035">
                  <c:v>1.0222968057183004E-2</c:v>
                </c:pt>
                <c:pt idx="2036">
                  <c:v>-1.1621665239817053E-2</c:v>
                </c:pt>
                <c:pt idx="2037">
                  <c:v>-3.8001170492671472E-3</c:v>
                </c:pt>
                <c:pt idx="2038">
                  <c:v>-2.1078481856110689E-3</c:v>
                </c:pt>
                <c:pt idx="2039">
                  <c:v>-2.0994424547543182E-2</c:v>
                </c:pt>
                <c:pt idx="2040">
                  <c:v>4.7888290633066703E-3</c:v>
                </c:pt>
                <c:pt idx="2041">
                  <c:v>1.1052021376374283E-2</c:v>
                </c:pt>
                <c:pt idx="2042">
                  <c:v>-1.2891320268799947E-2</c:v>
                </c:pt>
                <c:pt idx="2043">
                  <c:v>2.3225748011039472E-2</c:v>
                </c:pt>
                <c:pt idx="2044">
                  <c:v>2.2390299338926798E-3</c:v>
                </c:pt>
                <c:pt idx="2045">
                  <c:v>4.0718795931824342E-3</c:v>
                </c:pt>
                <c:pt idx="2046">
                  <c:v>1.4414722357909911E-2</c:v>
                </c:pt>
                <c:pt idx="2047">
                  <c:v>1.842729017782108E-2</c:v>
                </c:pt>
                <c:pt idx="2048">
                  <c:v>-3.4448335792365897E-3</c:v>
                </c:pt>
                <c:pt idx="2049">
                  <c:v>2.1688718095880404E-4</c:v>
                </c:pt>
                <c:pt idx="2050">
                  <c:v>1.7669096299793806E-3</c:v>
                </c:pt>
                <c:pt idx="2051">
                  <c:v>3.7624284546330352E-3</c:v>
                </c:pt>
                <c:pt idx="2052">
                  <c:v>1.1256234193172628E-2</c:v>
                </c:pt>
                <c:pt idx="2053">
                  <c:v>1.8589955755693084E-3</c:v>
                </c:pt>
                <c:pt idx="2054">
                  <c:v>-4.2614424258609622E-4</c:v>
                </c:pt>
                <c:pt idx="2055">
                  <c:v>-4.1190541445150905E-3</c:v>
                </c:pt>
                <c:pt idx="2056">
                  <c:v>6.2160348891539925E-4</c:v>
                </c:pt>
                <c:pt idx="2057">
                  <c:v>4.7410738276873034E-3</c:v>
                </c:pt>
                <c:pt idx="2058">
                  <c:v>-2.2713742426310756E-2</c:v>
                </c:pt>
                <c:pt idx="2059">
                  <c:v>-2.8999536997898717E-3</c:v>
                </c:pt>
                <c:pt idx="2060">
                  <c:v>3.0857343017216786E-3</c:v>
                </c:pt>
                <c:pt idx="2061">
                  <c:v>6.9150563836090527E-3</c:v>
                </c:pt>
                <c:pt idx="2062">
                  <c:v>1.1966332462110867E-2</c:v>
                </c:pt>
                <c:pt idx="2063">
                  <c:v>-2.6852462122489719E-3</c:v>
                </c:pt>
                <c:pt idx="2064">
                  <c:v>-2.6103819928237075E-3</c:v>
                </c:pt>
                <c:pt idx="2065">
                  <c:v>-9.5896578627778818E-3</c:v>
                </c:pt>
                <c:pt idx="2066">
                  <c:v>7.7231611488038946E-3</c:v>
                </c:pt>
                <c:pt idx="2067">
                  <c:v>-1.1622243540059298E-2</c:v>
                </c:pt>
                <c:pt idx="2068">
                  <c:v>1.3248740586734684E-2</c:v>
                </c:pt>
                <c:pt idx="2069">
                  <c:v>7.1457907972414525E-3</c:v>
                </c:pt>
                <c:pt idx="2070">
                  <c:v>6.9236040228411828E-3</c:v>
                </c:pt>
                <c:pt idx="2071">
                  <c:v>-3.6495996820172183E-2</c:v>
                </c:pt>
                <c:pt idx="2072">
                  <c:v>-3.3257593006509722E-3</c:v>
                </c:pt>
                <c:pt idx="2073">
                  <c:v>-1.7673669909354532E-2</c:v>
                </c:pt>
                <c:pt idx="2074">
                  <c:v>-5.4257858911530331E-3</c:v>
                </c:pt>
                <c:pt idx="2075">
                  <c:v>1.30281033849754E-2</c:v>
                </c:pt>
                <c:pt idx="2076">
                  <c:v>4.4178238331940862E-3</c:v>
                </c:pt>
                <c:pt idx="2077">
                  <c:v>-8.9921768622378724E-3</c:v>
                </c:pt>
                <c:pt idx="2078">
                  <c:v>1.2979719359641697E-2</c:v>
                </c:pt>
                <c:pt idx="2079">
                  <c:v>2.6659133186138981E-2</c:v>
                </c:pt>
                <c:pt idx="2080">
                  <c:v>1.0203184486859156E-2</c:v>
                </c:pt>
                <c:pt idx="2081">
                  <c:v>4.1721285440592991E-3</c:v>
                </c:pt>
                <c:pt idx="2082">
                  <c:v>6.7382124783960703E-4</c:v>
                </c:pt>
                <c:pt idx="2083">
                  <c:v>2.0950283722234651E-2</c:v>
                </c:pt>
                <c:pt idx="2084">
                  <c:v>1.2891391113639397E-2</c:v>
                </c:pt>
                <c:pt idx="2085">
                  <c:v>1.4424004065343025E-3</c:v>
                </c:pt>
                <c:pt idx="2086">
                  <c:v>-9.9977382040144537E-4</c:v>
                </c:pt>
                <c:pt idx="2087">
                  <c:v>-2.3995416171627274E-3</c:v>
                </c:pt>
                <c:pt idx="2088">
                  <c:v>-6.7761725080182147E-3</c:v>
                </c:pt>
                <c:pt idx="2089">
                  <c:v>-2.4169263427050412E-3</c:v>
                </c:pt>
                <c:pt idx="2090">
                  <c:v>1.5873871861929215E-4</c:v>
                </c:pt>
                <c:pt idx="2091">
                  <c:v>3.135078981660537E-5</c:v>
                </c:pt>
                <c:pt idx="2092">
                  <c:v>-4.5216959655602585E-3</c:v>
                </c:pt>
                <c:pt idx="2093">
                  <c:v>-6.7605205302064863E-3</c:v>
                </c:pt>
                <c:pt idx="2094">
                  <c:v>-2.6234163170420449E-3</c:v>
                </c:pt>
                <c:pt idx="2095">
                  <c:v>-7.9725276207164384E-3</c:v>
                </c:pt>
                <c:pt idx="2096">
                  <c:v>6.2484288970497022E-3</c:v>
                </c:pt>
                <c:pt idx="2097">
                  <c:v>2.2319326382843909E-3</c:v>
                </c:pt>
                <c:pt idx="2098">
                  <c:v>-1.2527462678550479E-3</c:v>
                </c:pt>
                <c:pt idx="2099">
                  <c:v>-5.3641048430318524E-3</c:v>
                </c:pt>
                <c:pt idx="2100">
                  <c:v>-4.0342699566058857E-3</c:v>
                </c:pt>
                <c:pt idx="2101">
                  <c:v>2.5669497374878614E-3</c:v>
                </c:pt>
                <c:pt idx="2102">
                  <c:v>1.7010613950298671E-3</c:v>
                </c:pt>
                <c:pt idx="2103">
                  <c:v>-3.7990304156702171E-3</c:v>
                </c:pt>
                <c:pt idx="2104">
                  <c:v>-9.3161464877377902E-3</c:v>
                </c:pt>
                <c:pt idx="2105">
                  <c:v>-1.8486060500182463E-3</c:v>
                </c:pt>
                <c:pt idx="2106">
                  <c:v>-7.4427786725454943E-4</c:v>
                </c:pt>
                <c:pt idx="2107">
                  <c:v>-4.8378858430273193E-4</c:v>
                </c:pt>
                <c:pt idx="2108">
                  <c:v>-1.2665844469424066E-2</c:v>
                </c:pt>
                <c:pt idx="2109">
                  <c:v>2.3811885226775373E-3</c:v>
                </c:pt>
                <c:pt idx="2110">
                  <c:v>-7.9915604970598568E-3</c:v>
                </c:pt>
                <c:pt idx="2111">
                  <c:v>-5.1191831612656096E-3</c:v>
                </c:pt>
                <c:pt idx="2112">
                  <c:v>7.5102950800787311E-3</c:v>
                </c:pt>
                <c:pt idx="2113">
                  <c:v>-8.701506192766488E-3</c:v>
                </c:pt>
                <c:pt idx="2114">
                  <c:v>3.1202789044282469E-3</c:v>
                </c:pt>
                <c:pt idx="2115">
                  <c:v>8.2013289401183832E-3</c:v>
                </c:pt>
                <c:pt idx="2116">
                  <c:v>2.582544016730231E-4</c:v>
                </c:pt>
                <c:pt idx="2117">
                  <c:v>1.4996704603720942E-5</c:v>
                </c:pt>
                <c:pt idx="2118">
                  <c:v>-5.1713723868526051E-5</c:v>
                </c:pt>
                <c:pt idx="2119">
                  <c:v>1.6532924824880862E-2</c:v>
                </c:pt>
                <c:pt idx="2120">
                  <c:v>1.062728363951356E-2</c:v>
                </c:pt>
                <c:pt idx="2121">
                  <c:v>-2.6535267003106669E-3</c:v>
                </c:pt>
                <c:pt idx="2122">
                  <c:v>5.4260157327172742E-3</c:v>
                </c:pt>
                <c:pt idx="2123">
                  <c:v>1.0742318914549093E-2</c:v>
                </c:pt>
                <c:pt idx="2124">
                  <c:v>-5.5700843375784464E-3</c:v>
                </c:pt>
                <c:pt idx="2125">
                  <c:v>1.243675848205816E-3</c:v>
                </c:pt>
                <c:pt idx="2126">
                  <c:v>2.7620853321646309E-3</c:v>
                </c:pt>
                <c:pt idx="2127">
                  <c:v>-4.2761646920260452E-4</c:v>
                </c:pt>
                <c:pt idx="2128">
                  <c:v>7.4849167289400623E-3</c:v>
                </c:pt>
                <c:pt idx="2129">
                  <c:v>7.5489011980281583E-3</c:v>
                </c:pt>
                <c:pt idx="2130">
                  <c:v>-1.168195946776354E-2</c:v>
                </c:pt>
                <c:pt idx="2131">
                  <c:v>-6.1710056361987276E-3</c:v>
                </c:pt>
                <c:pt idx="2132">
                  <c:v>-9.679244515645051E-3</c:v>
                </c:pt>
                <c:pt idx="2133">
                  <c:v>-6.1315178828550915E-3</c:v>
                </c:pt>
                <c:pt idx="2134">
                  <c:v>5.6222295753660615E-3</c:v>
                </c:pt>
                <c:pt idx="2135">
                  <c:v>5.0710517778456326E-3</c:v>
                </c:pt>
                <c:pt idx="2136">
                  <c:v>-7.5871085009814184E-4</c:v>
                </c:pt>
                <c:pt idx="2137">
                  <c:v>1.4375006184483292E-3</c:v>
                </c:pt>
                <c:pt idx="2138">
                  <c:v>3.6004665869824037E-3</c:v>
                </c:pt>
                <c:pt idx="2139">
                  <c:v>1.7390566863720938E-3</c:v>
                </c:pt>
                <c:pt idx="2140">
                  <c:v>-3.4442940060686556E-3</c:v>
                </c:pt>
                <c:pt idx="2141">
                  <c:v>-5.6425039524335393E-3</c:v>
                </c:pt>
                <c:pt idx="2142">
                  <c:v>-5.1611701109128393E-3</c:v>
                </c:pt>
                <c:pt idx="2143">
                  <c:v>3.0781213734071256E-3</c:v>
                </c:pt>
                <c:pt idx="2144">
                  <c:v>-9.0131588704168899E-3</c:v>
                </c:pt>
                <c:pt idx="2145">
                  <c:v>-1.7134000886956759E-3</c:v>
                </c:pt>
                <c:pt idx="2146">
                  <c:v>-2.807987818368897E-3</c:v>
                </c:pt>
                <c:pt idx="2147">
                  <c:v>-2.348873318591958E-3</c:v>
                </c:pt>
                <c:pt idx="2148">
                  <c:v>-7.7663158517524769E-3</c:v>
                </c:pt>
                <c:pt idx="2149">
                  <c:v>-3.7647902287613719E-3</c:v>
                </c:pt>
                <c:pt idx="2150">
                  <c:v>1.6372128526969023E-3</c:v>
                </c:pt>
                <c:pt idx="2151">
                  <c:v>-8.7866783472868989E-4</c:v>
                </c:pt>
                <c:pt idx="2152">
                  <c:v>-8.94812624269037E-4</c:v>
                </c:pt>
                <c:pt idx="2153">
                  <c:v>4.4046891339388017E-3</c:v>
                </c:pt>
                <c:pt idx="2154">
                  <c:v>-4.6492920225435263E-3</c:v>
                </c:pt>
                <c:pt idx="2155">
                  <c:v>4.8410111825891895E-3</c:v>
                </c:pt>
                <c:pt idx="2156">
                  <c:v>-4.9458839933034628E-3</c:v>
                </c:pt>
                <c:pt idx="2157">
                  <c:v>-2.2358700775773478E-3</c:v>
                </c:pt>
                <c:pt idx="2158">
                  <c:v>4.0495829474389137E-4</c:v>
                </c:pt>
                <c:pt idx="2159">
                  <c:v>-2.4401952270766422E-3</c:v>
                </c:pt>
                <c:pt idx="2160">
                  <c:v>-1.7335878834240084E-3</c:v>
                </c:pt>
                <c:pt idx="2161">
                  <c:v>-5.1975518617088275E-3</c:v>
                </c:pt>
                <c:pt idx="2162">
                  <c:v>-4.0633274403172577E-3</c:v>
                </c:pt>
                <c:pt idx="2163">
                  <c:v>-4.3913986215036198E-3</c:v>
                </c:pt>
                <c:pt idx="2164">
                  <c:v>-6.9273714013794001E-3</c:v>
                </c:pt>
                <c:pt idx="2165">
                  <c:v>-1.03444465765866E-2</c:v>
                </c:pt>
                <c:pt idx="2166">
                  <c:v>-3.5623820711244646E-3</c:v>
                </c:pt>
                <c:pt idx="2167">
                  <c:v>-1.0591532263707132E-2</c:v>
                </c:pt>
                <c:pt idx="2168">
                  <c:v>3.9873594251920693E-3</c:v>
                </c:pt>
                <c:pt idx="2169">
                  <c:v>-2.6058085488468597E-3</c:v>
                </c:pt>
                <c:pt idx="2170">
                  <c:v>1.3873619639593283E-2</c:v>
                </c:pt>
                <c:pt idx="2171">
                  <c:v>4.9432861433438722E-4</c:v>
                </c:pt>
                <c:pt idx="2172">
                  <c:v>2.1479431655433839E-6</c:v>
                </c:pt>
                <c:pt idx="2173">
                  <c:v>2.5688568383008138E-3</c:v>
                </c:pt>
                <c:pt idx="2174">
                  <c:v>6.9497704322264795E-4</c:v>
                </c:pt>
                <c:pt idx="2175">
                  <c:v>-7.2510115561549814E-3</c:v>
                </c:pt>
                <c:pt idx="2176">
                  <c:v>3.6803330499983076E-3</c:v>
                </c:pt>
                <c:pt idx="2177">
                  <c:v>5.3966610046622928E-3</c:v>
                </c:pt>
                <c:pt idx="2178">
                  <c:v>3.797062295577803E-3</c:v>
                </c:pt>
                <c:pt idx="2179">
                  <c:v>-6.3606928155930014E-3</c:v>
                </c:pt>
                <c:pt idx="2180">
                  <c:v>-5.0853283000789418E-3</c:v>
                </c:pt>
                <c:pt idx="2181">
                  <c:v>2.7511857103486824E-3</c:v>
                </c:pt>
                <c:pt idx="2182">
                  <c:v>-7.147942683856841E-3</c:v>
                </c:pt>
                <c:pt idx="2183">
                  <c:v>1.1907867470351623E-2</c:v>
                </c:pt>
                <c:pt idx="2184">
                  <c:v>2.9886828524043558E-3</c:v>
                </c:pt>
                <c:pt idx="2185">
                  <c:v>3.556089203052404E-3</c:v>
                </c:pt>
                <c:pt idx="2186">
                  <c:v>1.5304916880396247E-4</c:v>
                </c:pt>
                <c:pt idx="2187">
                  <c:v>-6.2846893224654497E-3</c:v>
                </c:pt>
                <c:pt idx="2188">
                  <c:v>4.2925116199911163E-3</c:v>
                </c:pt>
                <c:pt idx="2189">
                  <c:v>2.5848673679097658E-3</c:v>
                </c:pt>
                <c:pt idx="2190">
                  <c:v>1.7711986187063824E-3</c:v>
                </c:pt>
                <c:pt idx="2191">
                  <c:v>-1.1813340026621763E-3</c:v>
                </c:pt>
                <c:pt idx="2192">
                  <c:v>-7.5687300239918988E-3</c:v>
                </c:pt>
                <c:pt idx="2193">
                  <c:v>-2.287777791823908E-3</c:v>
                </c:pt>
                <c:pt idx="2194">
                  <c:v>-1.046666359187496E-2</c:v>
                </c:pt>
                <c:pt idx="2195">
                  <c:v>-2.6418744456983842E-3</c:v>
                </c:pt>
                <c:pt idx="2196">
                  <c:v>2.0057900772303006E-3</c:v>
                </c:pt>
                <c:pt idx="2197">
                  <c:v>2.1510623854241783E-3</c:v>
                </c:pt>
                <c:pt idx="2198">
                  <c:v>-9.9763834194331984E-3</c:v>
                </c:pt>
                <c:pt idx="2199">
                  <c:v>8.7340437153665754E-3</c:v>
                </c:pt>
                <c:pt idx="2200">
                  <c:v>-5.6141498115978286E-3</c:v>
                </c:pt>
                <c:pt idx="2201">
                  <c:v>9.8418765804071332E-3</c:v>
                </c:pt>
                <c:pt idx="2202">
                  <c:v>5.0037402701424505E-3</c:v>
                </c:pt>
                <c:pt idx="2203">
                  <c:v>3.2734829641337141E-3</c:v>
                </c:pt>
                <c:pt idx="2204">
                  <c:v>-3.9028336708308961E-3</c:v>
                </c:pt>
                <c:pt idx="2205">
                  <c:v>-4.655036129723367E-3</c:v>
                </c:pt>
                <c:pt idx="2206">
                  <c:v>-8.7391603713772113E-3</c:v>
                </c:pt>
                <c:pt idx="2207">
                  <c:v>3.4285057549916318E-3</c:v>
                </c:pt>
                <c:pt idx="2208">
                  <c:v>-3.303152406018083E-3</c:v>
                </c:pt>
                <c:pt idx="2209">
                  <c:v>-5.8897104434912344E-3</c:v>
                </c:pt>
                <c:pt idx="2210">
                  <c:v>1.0348713389037696E-4</c:v>
                </c:pt>
                <c:pt idx="2211">
                  <c:v>-9.6058264987857345E-4</c:v>
                </c:pt>
                <c:pt idx="2212">
                  <c:v>-6.1660061841106251E-3</c:v>
                </c:pt>
                <c:pt idx="2213">
                  <c:v>-2.3972220692077672E-3</c:v>
                </c:pt>
                <c:pt idx="2214">
                  <c:v>-3.7944849115847047E-3</c:v>
                </c:pt>
                <c:pt idx="2215">
                  <c:v>2.2980178952019432E-3</c:v>
                </c:pt>
                <c:pt idx="2216">
                  <c:v>-3.6208351489625734E-3</c:v>
                </c:pt>
                <c:pt idx="2217">
                  <c:v>-1.5453474774897027E-2</c:v>
                </c:pt>
                <c:pt idx="2218">
                  <c:v>1.0566444729820601E-2</c:v>
                </c:pt>
                <c:pt idx="2219">
                  <c:v>-4.2718093300241917E-3</c:v>
                </c:pt>
                <c:pt idx="2220">
                  <c:v>-5.5566653843411576E-3</c:v>
                </c:pt>
                <c:pt idx="2221">
                  <c:v>-7.4379663130516695E-3</c:v>
                </c:pt>
                <c:pt idx="2222">
                  <c:v>-1.0060649609707288E-2</c:v>
                </c:pt>
                <c:pt idx="2223">
                  <c:v>-3.6046758609932228E-3</c:v>
                </c:pt>
                <c:pt idx="2224">
                  <c:v>-5.5272506896753889E-3</c:v>
                </c:pt>
                <c:pt idx="2225">
                  <c:v>7.3872533317229433E-3</c:v>
                </c:pt>
                <c:pt idx="2226">
                  <c:v>3.795402774144487E-3</c:v>
                </c:pt>
                <c:pt idx="2227">
                  <c:v>-8.3160701638114905E-3</c:v>
                </c:pt>
                <c:pt idx="2228">
                  <c:v>2.1983819902382288E-3</c:v>
                </c:pt>
                <c:pt idx="2229">
                  <c:v>-1.0653745905547371E-2</c:v>
                </c:pt>
                <c:pt idx="2230">
                  <c:v>-4.9538312489309693E-3</c:v>
                </c:pt>
                <c:pt idx="2231">
                  <c:v>4.6792397311532785E-3</c:v>
                </c:pt>
                <c:pt idx="2232">
                  <c:v>-3.1952171181007035E-3</c:v>
                </c:pt>
                <c:pt idx="2233">
                  <c:v>-2.7945632007709349E-3</c:v>
                </c:pt>
                <c:pt idx="2234">
                  <c:v>4.1795048652282576E-3</c:v>
                </c:pt>
                <c:pt idx="2235">
                  <c:v>-8.3969141905311049E-3</c:v>
                </c:pt>
                <c:pt idx="2236">
                  <c:v>6.4372650640599919E-3</c:v>
                </c:pt>
                <c:pt idx="2237">
                  <c:v>-4.7213875566749419E-3</c:v>
                </c:pt>
                <c:pt idx="2238">
                  <c:v>8.8606463917788713E-3</c:v>
                </c:pt>
                <c:pt idx="2239">
                  <c:v>-1.5305851023532459E-2</c:v>
                </c:pt>
                <c:pt idx="2240">
                  <c:v>1.2847386543996477E-2</c:v>
                </c:pt>
                <c:pt idx="2241">
                  <c:v>2.6361071348521676E-3</c:v>
                </c:pt>
                <c:pt idx="2242">
                  <c:v>-1.1836526316226124E-3</c:v>
                </c:pt>
                <c:pt idx="2243">
                  <c:v>1.25830172262068E-2</c:v>
                </c:pt>
                <c:pt idx="2244">
                  <c:v>-4.9610638591343001E-3</c:v>
                </c:pt>
                <c:pt idx="2245">
                  <c:v>3.0612168798529603E-3</c:v>
                </c:pt>
                <c:pt idx="2246">
                  <c:v>2.5687548503928962E-3</c:v>
                </c:pt>
                <c:pt idx="2247">
                  <c:v>1.1762660284782962E-2</c:v>
                </c:pt>
                <c:pt idx="2248">
                  <c:v>3.7027294909732698E-4</c:v>
                </c:pt>
                <c:pt idx="2249">
                  <c:v>-9.2726430213072508E-4</c:v>
                </c:pt>
                <c:pt idx="2250">
                  <c:v>1.3569154631698966E-2</c:v>
                </c:pt>
                <c:pt idx="2251">
                  <c:v>1.1055935638130223E-2</c:v>
                </c:pt>
                <c:pt idx="2252">
                  <c:v>-3.9558891523651506E-3</c:v>
                </c:pt>
                <c:pt idx="2253">
                  <c:v>9.6201280047966535E-4</c:v>
                </c:pt>
                <c:pt idx="2254">
                  <c:v>5.9708662390153854E-4</c:v>
                </c:pt>
                <c:pt idx="2255">
                  <c:v>5.1742335507459405E-3</c:v>
                </c:pt>
                <c:pt idx="2256">
                  <c:v>4.413847708731859E-3</c:v>
                </c:pt>
                <c:pt idx="2257">
                  <c:v>-5.8405020200860051E-4</c:v>
                </c:pt>
                <c:pt idx="2258">
                  <c:v>-1.6478139907448648E-3</c:v>
                </c:pt>
                <c:pt idx="2259">
                  <c:v>-4.2380957160561622E-3</c:v>
                </c:pt>
                <c:pt idx="2260">
                  <c:v>-3.6077986575600096E-3</c:v>
                </c:pt>
                <c:pt idx="2261">
                  <c:v>3.9213123827750942E-4</c:v>
                </c:pt>
                <c:pt idx="2262">
                  <c:v>5.3777321368237091E-4</c:v>
                </c:pt>
                <c:pt idx="2263">
                  <c:v>2.0644584680590419E-4</c:v>
                </c:pt>
                <c:pt idx="2264">
                  <c:v>9.3661026798051142E-4</c:v>
                </c:pt>
                <c:pt idx="2265">
                  <c:v>2.5902411261482334E-3</c:v>
                </c:pt>
                <c:pt idx="2266">
                  <c:v>-1.5049744551847994E-3</c:v>
                </c:pt>
                <c:pt idx="2267">
                  <c:v>-8.8327976179656056E-3</c:v>
                </c:pt>
                <c:pt idx="2268">
                  <c:v>-2.1880145625370133E-3</c:v>
                </c:pt>
                <c:pt idx="2269">
                  <c:v>-3.2284831228397738E-3</c:v>
                </c:pt>
                <c:pt idx="2270">
                  <c:v>3.3706928835958556E-3</c:v>
                </c:pt>
                <c:pt idx="2271">
                  <c:v>6.1210061376945372E-3</c:v>
                </c:pt>
                <c:pt idx="2272">
                  <c:v>-1.8254401704374612E-3</c:v>
                </c:pt>
                <c:pt idx="2273">
                  <c:v>-2.5418160999558944E-3</c:v>
                </c:pt>
                <c:pt idx="2274">
                  <c:v>-7.9158333904447622E-3</c:v>
                </c:pt>
                <c:pt idx="2275">
                  <c:v>-6.3295302569598604E-3</c:v>
                </c:pt>
                <c:pt idx="2276">
                  <c:v>-1.3829133211870253E-2</c:v>
                </c:pt>
                <c:pt idx="2277">
                  <c:v>5.7699369017850857E-3</c:v>
                </c:pt>
                <c:pt idx="2278">
                  <c:v>9.2344249907741938E-4</c:v>
                </c:pt>
                <c:pt idx="2279">
                  <c:v>2.4260149458966516E-3</c:v>
                </c:pt>
                <c:pt idx="2280">
                  <c:v>1.5774419678183153E-2</c:v>
                </c:pt>
                <c:pt idx="2281">
                  <c:v>7.6759601730945113E-4</c:v>
                </c:pt>
                <c:pt idx="2282">
                  <c:v>-3.01625408371997E-4</c:v>
                </c:pt>
                <c:pt idx="2283">
                  <c:v>-7.4094467020064982E-3</c:v>
                </c:pt>
                <c:pt idx="2284">
                  <c:v>-5.407901148434105E-3</c:v>
                </c:pt>
                <c:pt idx="2285">
                  <c:v>1.23019595973615E-3</c:v>
                </c:pt>
                <c:pt idx="2286">
                  <c:v>1.3532438083011915E-3</c:v>
                </c:pt>
                <c:pt idx="2287">
                  <c:v>-6.2345198412192106E-3</c:v>
                </c:pt>
                <c:pt idx="2288">
                  <c:v>-3.8619320534259501E-3</c:v>
                </c:pt>
                <c:pt idx="2289">
                  <c:v>-7.6870595307952077E-3</c:v>
                </c:pt>
                <c:pt idx="2290">
                  <c:v>3.932624451288844E-3</c:v>
                </c:pt>
                <c:pt idx="2291">
                  <c:v>3.5069672857570683E-3</c:v>
                </c:pt>
                <c:pt idx="2292">
                  <c:v>-2.5879691985974526E-3</c:v>
                </c:pt>
                <c:pt idx="2293">
                  <c:v>-1.1233160345832818E-2</c:v>
                </c:pt>
                <c:pt idx="2294">
                  <c:v>1.765287581242106E-3</c:v>
                </c:pt>
                <c:pt idx="2295">
                  <c:v>4.0766862222616782E-3</c:v>
                </c:pt>
                <c:pt idx="2296">
                  <c:v>1.3201481796839324E-3</c:v>
                </c:pt>
                <c:pt idx="2297">
                  <c:v>1.2529459257902576E-2</c:v>
                </c:pt>
                <c:pt idx="2298">
                  <c:v>-3.8473218843460082E-3</c:v>
                </c:pt>
                <c:pt idx="2299">
                  <c:v>3.760309752923228E-3</c:v>
                </c:pt>
                <c:pt idx="2300">
                  <c:v>-2.0055517288049583E-2</c:v>
                </c:pt>
                <c:pt idx="2301">
                  <c:v>-4.1392225578791526E-5</c:v>
                </c:pt>
                <c:pt idx="2302">
                  <c:v>3.0113535557928892E-3</c:v>
                </c:pt>
                <c:pt idx="2303">
                  <c:v>-1.1361876494439364E-2</c:v>
                </c:pt>
                <c:pt idx="2304">
                  <c:v>-7.0234996503840963E-3</c:v>
                </c:pt>
                <c:pt idx="2305">
                  <c:v>7.617243248400859E-3</c:v>
                </c:pt>
                <c:pt idx="2306">
                  <c:v>1.5152260296115612E-3</c:v>
                </c:pt>
                <c:pt idx="2307">
                  <c:v>2.3399072380769909E-3</c:v>
                </c:pt>
                <c:pt idx="2308">
                  <c:v>4.0786148534992959E-3</c:v>
                </c:pt>
                <c:pt idx="2309">
                  <c:v>3.5632623235985626E-3</c:v>
                </c:pt>
                <c:pt idx="2310">
                  <c:v>-4.0743329522242308E-3</c:v>
                </c:pt>
                <c:pt idx="2311">
                  <c:v>-1.0427969173189973E-2</c:v>
                </c:pt>
                <c:pt idx="2312">
                  <c:v>6.8413949537433783E-3</c:v>
                </c:pt>
                <c:pt idx="2313">
                  <c:v>2.1860789863234914E-3</c:v>
                </c:pt>
                <c:pt idx="2314">
                  <c:v>1.1045948175054887E-2</c:v>
                </c:pt>
                <c:pt idx="2315">
                  <c:v>-1.8133407659487136E-3</c:v>
                </c:pt>
                <c:pt idx="2316">
                  <c:v>9.5161776859521673E-3</c:v>
                </c:pt>
                <c:pt idx="2317">
                  <c:v>-5.3259673928827023E-4</c:v>
                </c:pt>
                <c:pt idx="2318">
                  <c:v>-6.3955767680748442E-3</c:v>
                </c:pt>
                <c:pt idx="2319">
                  <c:v>6.9236095975071009E-3</c:v>
                </c:pt>
                <c:pt idx="2320">
                  <c:v>-1.9264977164130052E-3</c:v>
                </c:pt>
                <c:pt idx="2321">
                  <c:v>-3.7198382909117413E-4</c:v>
                </c:pt>
                <c:pt idx="2322">
                  <c:v>9.3163081985155691E-3</c:v>
                </c:pt>
                <c:pt idx="2323">
                  <c:v>-5.1005373535772929E-3</c:v>
                </c:pt>
                <c:pt idx="2324">
                  <c:v>-1.4971840962643054E-2</c:v>
                </c:pt>
                <c:pt idx="2325">
                  <c:v>-1.945080550318178E-3</c:v>
                </c:pt>
                <c:pt idx="2326">
                  <c:v>7.2785546254842994E-3</c:v>
                </c:pt>
                <c:pt idx="2327">
                  <c:v>-5.8945837384768497E-4</c:v>
                </c:pt>
                <c:pt idx="2328">
                  <c:v>2.1835675744115188E-3</c:v>
                </c:pt>
                <c:pt idx="2329">
                  <c:v>8.6569312443398883E-3</c:v>
                </c:pt>
                <c:pt idx="2330">
                  <c:v>7.2675911454146459E-3</c:v>
                </c:pt>
                <c:pt idx="2331">
                  <c:v>-5.9683492959295842E-3</c:v>
                </c:pt>
                <c:pt idx="2332">
                  <c:v>-2.4121611262655444E-3</c:v>
                </c:pt>
                <c:pt idx="2333">
                  <c:v>5.9240137512425496E-3</c:v>
                </c:pt>
                <c:pt idx="2334">
                  <c:v>8.1202128052532321E-3</c:v>
                </c:pt>
                <c:pt idx="2335">
                  <c:v>-2.9055906659106396E-3</c:v>
                </c:pt>
                <c:pt idx="2336">
                  <c:v>1.7121230816480105E-3</c:v>
                </c:pt>
                <c:pt idx="2337">
                  <c:v>-5.6693676314722675E-3</c:v>
                </c:pt>
                <c:pt idx="2338">
                  <c:v>-9.6279385355513523E-3</c:v>
                </c:pt>
                <c:pt idx="2339">
                  <c:v>6.9904374490525698E-3</c:v>
                </c:pt>
                <c:pt idx="2340">
                  <c:v>6.143580638279443E-4</c:v>
                </c:pt>
                <c:pt idx="2341">
                  <c:v>-2.1853227876572822E-3</c:v>
                </c:pt>
                <c:pt idx="2342">
                  <c:v>6.4318394089679081E-3</c:v>
                </c:pt>
                <c:pt idx="2343">
                  <c:v>-6.8658787826982055E-3</c:v>
                </c:pt>
                <c:pt idx="2344">
                  <c:v>-6.6600923478073474E-3</c:v>
                </c:pt>
                <c:pt idx="2345">
                  <c:v>-1.2299504974727088E-4</c:v>
                </c:pt>
                <c:pt idx="2346">
                  <c:v>-1.3395340617251067E-2</c:v>
                </c:pt>
                <c:pt idx="2347">
                  <c:v>-1.3434598522201498E-2</c:v>
                </c:pt>
                <c:pt idx="2348">
                  <c:v>3.2521193381588767E-3</c:v>
                </c:pt>
                <c:pt idx="2349">
                  <c:v>-1.4574809618497444E-2</c:v>
                </c:pt>
                <c:pt idx="2350">
                  <c:v>5.6361973583872078E-3</c:v>
                </c:pt>
                <c:pt idx="2351">
                  <c:v>5.1172777660866498E-3</c:v>
                </c:pt>
                <c:pt idx="2352">
                  <c:v>-7.2215290694335266E-3</c:v>
                </c:pt>
                <c:pt idx="2353">
                  <c:v>5.6327677779236343E-4</c:v>
                </c:pt>
                <c:pt idx="2354">
                  <c:v>-7.1157314564711137E-3</c:v>
                </c:pt>
                <c:pt idx="2355">
                  <c:v>-1.8494904823358263E-2</c:v>
                </c:pt>
                <c:pt idx="2356">
                  <c:v>8.7311065040334822E-3</c:v>
                </c:pt>
                <c:pt idx="2357">
                  <c:v>6.6031765253278928E-3</c:v>
                </c:pt>
                <c:pt idx="2358">
                  <c:v>3.5683067807434315E-3</c:v>
                </c:pt>
                <c:pt idx="2359">
                  <c:v>-9.2243817229215302E-3</c:v>
                </c:pt>
                <c:pt idx="2360">
                  <c:v>-3.8098995290658075E-3</c:v>
                </c:pt>
                <c:pt idx="2361">
                  <c:v>2.0416303344258271E-2</c:v>
                </c:pt>
                <c:pt idx="2362">
                  <c:v>2.4223219843995882E-3</c:v>
                </c:pt>
                <c:pt idx="2363">
                  <c:v>-6.1438267203705642E-3</c:v>
                </c:pt>
                <c:pt idx="2364">
                  <c:v>7.3364845175903489E-3</c:v>
                </c:pt>
                <c:pt idx="2365">
                  <c:v>-7.0281873031801823E-3</c:v>
                </c:pt>
                <c:pt idx="2366">
                  <c:v>-2.1344248321607667E-2</c:v>
                </c:pt>
                <c:pt idx="2367">
                  <c:v>-1.0977637768413026E-2</c:v>
                </c:pt>
                <c:pt idx="2368">
                  <c:v>1.5766454458656851E-2</c:v>
                </c:pt>
                <c:pt idx="2369">
                  <c:v>-9.2445150950984066E-3</c:v>
                </c:pt>
                <c:pt idx="2370">
                  <c:v>1.3528720773264311E-2</c:v>
                </c:pt>
                <c:pt idx="2371">
                  <c:v>5.6409190722908923E-3</c:v>
                </c:pt>
                <c:pt idx="2372">
                  <c:v>-1.0391892828434442E-3</c:v>
                </c:pt>
                <c:pt idx="2373">
                  <c:v>7.2465706524936491E-4</c:v>
                </c:pt>
                <c:pt idx="2374">
                  <c:v>9.9606591171557748E-3</c:v>
                </c:pt>
                <c:pt idx="2375">
                  <c:v>-2.6599518949956195E-3</c:v>
                </c:pt>
                <c:pt idx="2376">
                  <c:v>1.0871944794535226E-3</c:v>
                </c:pt>
                <c:pt idx="2377">
                  <c:v>9.8553722434005283E-3</c:v>
                </c:pt>
                <c:pt idx="2378">
                  <c:v>-1.0248800164567123E-2</c:v>
                </c:pt>
                <c:pt idx="2379">
                  <c:v>5.836642543313674E-4</c:v>
                </c:pt>
                <c:pt idx="2380">
                  <c:v>-1.6771425560101338E-4</c:v>
                </c:pt>
                <c:pt idx="2381">
                  <c:v>-1.2179348441539825E-2</c:v>
                </c:pt>
                <c:pt idx="2382">
                  <c:v>-1.1557625039995046E-2</c:v>
                </c:pt>
                <c:pt idx="2383">
                  <c:v>6.0846014907297115E-3</c:v>
                </c:pt>
                <c:pt idx="2384">
                  <c:v>1.1253724184313084E-2</c:v>
                </c:pt>
                <c:pt idx="2385">
                  <c:v>2.3545774684304095E-2</c:v>
                </c:pt>
                <c:pt idx="2386">
                  <c:v>-1.0054651444003759E-2</c:v>
                </c:pt>
                <c:pt idx="2387">
                  <c:v>-5.4515074493725179E-3</c:v>
                </c:pt>
                <c:pt idx="2388">
                  <c:v>-7.859692612669212E-3</c:v>
                </c:pt>
                <c:pt idx="2389">
                  <c:v>-1.2354808678302976E-2</c:v>
                </c:pt>
                <c:pt idx="2390">
                  <c:v>1.1071775882633018E-2</c:v>
                </c:pt>
                <c:pt idx="2391">
                  <c:v>2.8939397964601447E-3</c:v>
                </c:pt>
                <c:pt idx="2392">
                  <c:v>1.218744483533005E-2</c:v>
                </c:pt>
                <c:pt idx="2393">
                  <c:v>-8.1228667886110439E-3</c:v>
                </c:pt>
                <c:pt idx="2394">
                  <c:v>4.0955683261342168E-3</c:v>
                </c:pt>
                <c:pt idx="2395">
                  <c:v>6.7092434559127027E-3</c:v>
                </c:pt>
                <c:pt idx="2396">
                  <c:v>8.0368928751145159E-3</c:v>
                </c:pt>
                <c:pt idx="2397">
                  <c:v>3.8245125278678696E-3</c:v>
                </c:pt>
                <c:pt idx="2398">
                  <c:v>-1.285273529552723E-3</c:v>
                </c:pt>
                <c:pt idx="2399">
                  <c:v>-1.048468327711356E-3</c:v>
                </c:pt>
                <c:pt idx="2400">
                  <c:v>-4.0479477425971059E-3</c:v>
                </c:pt>
                <c:pt idx="2401">
                  <c:v>1.6363290777296508E-3</c:v>
                </c:pt>
                <c:pt idx="2402">
                  <c:v>-7.3677403306868445E-3</c:v>
                </c:pt>
                <c:pt idx="2403">
                  <c:v>-7.0224969103597316E-3</c:v>
                </c:pt>
                <c:pt idx="2404">
                  <c:v>7.4134092497756118E-3</c:v>
                </c:pt>
                <c:pt idx="2405">
                  <c:v>-1.283492081405237E-2</c:v>
                </c:pt>
                <c:pt idx="2406">
                  <c:v>2.0651316843926164E-2</c:v>
                </c:pt>
                <c:pt idx="2407">
                  <c:v>6.7801195382662461E-3</c:v>
                </c:pt>
                <c:pt idx="2408">
                  <c:v>-4.3120789875098712E-3</c:v>
                </c:pt>
                <c:pt idx="2409">
                  <c:v>-2.6011834370001565E-4</c:v>
                </c:pt>
                <c:pt idx="2410">
                  <c:v>-9.9329115478092125E-4</c:v>
                </c:pt>
                <c:pt idx="2411">
                  <c:v>4.981682484193283E-3</c:v>
                </c:pt>
                <c:pt idx="2412">
                  <c:v>3.3167392197099793E-3</c:v>
                </c:pt>
                <c:pt idx="2413">
                  <c:v>-7.3647505336813194E-3</c:v>
                </c:pt>
                <c:pt idx="2414">
                  <c:v>5.6142085958183511E-3</c:v>
                </c:pt>
                <c:pt idx="2415">
                  <c:v>1.4310065050161086E-2</c:v>
                </c:pt>
                <c:pt idx="2416">
                  <c:v>-1.7710074862139099E-2</c:v>
                </c:pt>
                <c:pt idx="2417">
                  <c:v>-1.7022191580694509E-2</c:v>
                </c:pt>
                <c:pt idx="2418">
                  <c:v>1.1333253946570582E-2</c:v>
                </c:pt>
                <c:pt idx="2419">
                  <c:v>1.0043643885919936E-2</c:v>
                </c:pt>
                <c:pt idx="2420">
                  <c:v>-2.0072266489286191E-3</c:v>
                </c:pt>
                <c:pt idx="2421">
                  <c:v>-2.2160220232077976E-2</c:v>
                </c:pt>
                <c:pt idx="2422">
                  <c:v>1.132169583805913E-2</c:v>
                </c:pt>
                <c:pt idx="2423">
                  <c:v>1.2392566655126029E-2</c:v>
                </c:pt>
                <c:pt idx="2424">
                  <c:v>-2.7616269178020376E-3</c:v>
                </c:pt>
                <c:pt idx="2425">
                  <c:v>6.5709395280402517E-3</c:v>
                </c:pt>
                <c:pt idx="2426">
                  <c:v>6.2614228782705917E-3</c:v>
                </c:pt>
                <c:pt idx="2427">
                  <c:v>5.7733704266622254E-3</c:v>
                </c:pt>
                <c:pt idx="2428">
                  <c:v>-7.4994347052169914E-5</c:v>
                </c:pt>
                <c:pt idx="2429">
                  <c:v>1.0274298499733129E-2</c:v>
                </c:pt>
                <c:pt idx="2430">
                  <c:v>-1.8208678682500776E-3</c:v>
                </c:pt>
                <c:pt idx="2431">
                  <c:v>3.8644301666561002E-3</c:v>
                </c:pt>
                <c:pt idx="2432">
                  <c:v>4.1815734826829917E-3</c:v>
                </c:pt>
                <c:pt idx="2433">
                  <c:v>-1.0890714362238204E-3</c:v>
                </c:pt>
                <c:pt idx="2434">
                  <c:v>-2.2764693149900901E-3</c:v>
                </c:pt>
                <c:pt idx="2435">
                  <c:v>-1.6371392507809668E-2</c:v>
                </c:pt>
                <c:pt idx="2436">
                  <c:v>1.9321513407406041E-3</c:v>
                </c:pt>
                <c:pt idx="2437">
                  <c:v>1.347840713864591E-2</c:v>
                </c:pt>
                <c:pt idx="2438">
                  <c:v>2.1537655006864959E-3</c:v>
                </c:pt>
                <c:pt idx="2439">
                  <c:v>-1.0705092198191226E-3</c:v>
                </c:pt>
                <c:pt idx="2440">
                  <c:v>-4.4378187372819074E-4</c:v>
                </c:pt>
                <c:pt idx="2441">
                  <c:v>1.4931945847667539E-3</c:v>
                </c:pt>
                <c:pt idx="2442">
                  <c:v>-1.1359427295390355E-2</c:v>
                </c:pt>
                <c:pt idx="2443">
                  <c:v>-2.4364126530583216E-3</c:v>
                </c:pt>
                <c:pt idx="2444">
                  <c:v>-1.0791577784166997E-3</c:v>
                </c:pt>
                <c:pt idx="2445">
                  <c:v>4.1170006301861533E-3</c:v>
                </c:pt>
                <c:pt idx="2446">
                  <c:v>-1.2914977854149873E-2</c:v>
                </c:pt>
                <c:pt idx="2447">
                  <c:v>1.6560643518366766E-3</c:v>
                </c:pt>
                <c:pt idx="2448">
                  <c:v>2.9963441740505626E-5</c:v>
                </c:pt>
                <c:pt idx="2449">
                  <c:v>7.7664390773422316E-3</c:v>
                </c:pt>
                <c:pt idx="2450">
                  <c:v>-9.2215612189364988E-3</c:v>
                </c:pt>
                <c:pt idx="2451">
                  <c:v>-1.9737832142066808E-3</c:v>
                </c:pt>
                <c:pt idx="2452">
                  <c:v>5.1199067844487495E-3</c:v>
                </c:pt>
                <c:pt idx="2453">
                  <c:v>-2.6382423240462896E-3</c:v>
                </c:pt>
                <c:pt idx="2454">
                  <c:v>3.7183145836521794E-3</c:v>
                </c:pt>
                <c:pt idx="2455">
                  <c:v>-2.0194881627367501E-4</c:v>
                </c:pt>
                <c:pt idx="2456">
                  <c:v>1.1244534032997846E-2</c:v>
                </c:pt>
                <c:pt idx="2457">
                  <c:v>-6.216152695024982E-3</c:v>
                </c:pt>
                <c:pt idx="2458">
                  <c:v>9.1362096224255392E-3</c:v>
                </c:pt>
                <c:pt idx="2459">
                  <c:v>9.0073681959859792E-3</c:v>
                </c:pt>
                <c:pt idx="2460">
                  <c:v>-2.3504162966355917E-3</c:v>
                </c:pt>
                <c:pt idx="2461">
                  <c:v>-6.462534237807854E-3</c:v>
                </c:pt>
                <c:pt idx="2462">
                  <c:v>-5.405584344189117E-3</c:v>
                </c:pt>
                <c:pt idx="2463">
                  <c:v>-5.8860580539117646E-4</c:v>
                </c:pt>
                <c:pt idx="2464">
                  <c:v>-2.573814250397113E-3</c:v>
                </c:pt>
                <c:pt idx="2465">
                  <c:v>1.0415132656203154E-3</c:v>
                </c:pt>
                <c:pt idx="2466">
                  <c:v>2.89581314099845E-3</c:v>
                </c:pt>
                <c:pt idx="2467">
                  <c:v>7.9427320973007214E-4</c:v>
                </c:pt>
                <c:pt idx="2468">
                  <c:v>-4.7473081730365352E-3</c:v>
                </c:pt>
                <c:pt idx="2469">
                  <c:v>-4.1930146505678607E-4</c:v>
                </c:pt>
                <c:pt idx="2470">
                  <c:v>-5.0750661308025377E-3</c:v>
                </c:pt>
                <c:pt idx="2471">
                  <c:v>-7.2031938522133625E-3</c:v>
                </c:pt>
                <c:pt idx="2472">
                  <c:v>-1.7284101867763628E-2</c:v>
                </c:pt>
                <c:pt idx="2473">
                  <c:v>-3.4954264148321108E-3</c:v>
                </c:pt>
                <c:pt idx="2474">
                  <c:v>-5.6093251190664295E-3</c:v>
                </c:pt>
                <c:pt idx="2475">
                  <c:v>1.6754583062642225E-2</c:v>
                </c:pt>
                <c:pt idx="2476">
                  <c:v>1.5060731600490282E-2</c:v>
                </c:pt>
                <c:pt idx="2477">
                  <c:v>-1.8459769386746669E-3</c:v>
                </c:pt>
                <c:pt idx="2478">
                  <c:v>-2.6732926451357398E-3</c:v>
                </c:pt>
                <c:pt idx="2479">
                  <c:v>-6.2877134934062979E-3</c:v>
                </c:pt>
                <c:pt idx="2480">
                  <c:v>-1.4544926029261468E-2</c:v>
                </c:pt>
                <c:pt idx="2481">
                  <c:v>-2.0834156884611894E-2</c:v>
                </c:pt>
                <c:pt idx="2482">
                  <c:v>3.1309176027223121E-2</c:v>
                </c:pt>
                <c:pt idx="2483">
                  <c:v>3.6214788438366723E-2</c:v>
                </c:pt>
                <c:pt idx="2484">
                  <c:v>-5.2882730653267679E-4</c:v>
                </c:pt>
                <c:pt idx="2485">
                  <c:v>-1.1304346234861264E-2</c:v>
                </c:pt>
                <c:pt idx="2486">
                  <c:v>1.4522494488189734E-3</c:v>
                </c:pt>
                <c:pt idx="2487">
                  <c:v>-1.6954037143015875E-2</c:v>
                </c:pt>
                <c:pt idx="2488">
                  <c:v>-2.186867155511551E-3</c:v>
                </c:pt>
                <c:pt idx="2489">
                  <c:v>-1.2229774608327167E-2</c:v>
                </c:pt>
                <c:pt idx="2490">
                  <c:v>2.1505108153804731E-2</c:v>
                </c:pt>
                <c:pt idx="2491">
                  <c:v>1.2558607858714545E-2</c:v>
                </c:pt>
                <c:pt idx="2492">
                  <c:v>3.3553329913854385E-3</c:v>
                </c:pt>
                <c:pt idx="2493">
                  <c:v>1.1299852190111927E-2</c:v>
                </c:pt>
                <c:pt idx="2494">
                  <c:v>6.383379096120835E-3</c:v>
                </c:pt>
                <c:pt idx="2495">
                  <c:v>-5.8168254224247387E-3</c:v>
                </c:pt>
                <c:pt idx="2496">
                  <c:v>4.9625912884181987E-3</c:v>
                </c:pt>
                <c:pt idx="2497">
                  <c:v>-1.0047662576279389E-2</c:v>
                </c:pt>
                <c:pt idx="2498">
                  <c:v>-3.7030769240251403E-3</c:v>
                </c:pt>
                <c:pt idx="2499">
                  <c:v>7.202361125902162E-3</c:v>
                </c:pt>
                <c:pt idx="2500">
                  <c:v>1.0498042054642758E-2</c:v>
                </c:pt>
                <c:pt idx="2501">
                  <c:v>-6.7917342257540871E-3</c:v>
                </c:pt>
                <c:pt idx="2502">
                  <c:v>-3.4134291287494238E-3</c:v>
                </c:pt>
                <c:pt idx="2503">
                  <c:v>-3.6996451064688668E-3</c:v>
                </c:pt>
                <c:pt idx="2504">
                  <c:v>-1.2571176254852838E-2</c:v>
                </c:pt>
                <c:pt idx="2505">
                  <c:v>-7.9891128295270473E-3</c:v>
                </c:pt>
                <c:pt idx="2506">
                  <c:v>1.829635483009472E-4</c:v>
                </c:pt>
                <c:pt idx="2507">
                  <c:v>-5.1072240038547581E-3</c:v>
                </c:pt>
                <c:pt idx="2508">
                  <c:v>8.122909435079196E-3</c:v>
                </c:pt>
                <c:pt idx="2509">
                  <c:v>-5.0963751122285487E-3</c:v>
                </c:pt>
                <c:pt idx="2510">
                  <c:v>-2.2138053163520493E-3</c:v>
                </c:pt>
                <c:pt idx="2511">
                  <c:v>-1.5577456915128634E-2</c:v>
                </c:pt>
                <c:pt idx="2512">
                  <c:v>-2.7958209586098565E-3</c:v>
                </c:pt>
                <c:pt idx="2513">
                  <c:v>1.2971852002394131E-2</c:v>
                </c:pt>
                <c:pt idx="2514">
                  <c:v>-4.9051303283984896E-3</c:v>
                </c:pt>
                <c:pt idx="2515">
                  <c:v>-1.0201981494372141E-2</c:v>
                </c:pt>
                <c:pt idx="2516">
                  <c:v>1.3362385108751916E-3</c:v>
                </c:pt>
                <c:pt idx="2517">
                  <c:v>9.9935830045000517E-3</c:v>
                </c:pt>
                <c:pt idx="2518">
                  <c:v>-1.1617681373520775E-3</c:v>
                </c:pt>
                <c:pt idx="2519">
                  <c:v>7.4403381704189026E-4</c:v>
                </c:pt>
                <c:pt idx="2520">
                  <c:v>1.9934209831520357E-2</c:v>
                </c:pt>
                <c:pt idx="2521">
                  <c:v>5.0227405504784002E-3</c:v>
                </c:pt>
                <c:pt idx="2522">
                  <c:v>-3.0301020682094136E-3</c:v>
                </c:pt>
                <c:pt idx="2523">
                  <c:v>-1.4642392788275732E-3</c:v>
                </c:pt>
                <c:pt idx="2524">
                  <c:v>-1.1247174049350713E-3</c:v>
                </c:pt>
                <c:pt idx="2525">
                  <c:v>7.488646924830946E-3</c:v>
                </c:pt>
                <c:pt idx="2526">
                  <c:v>8.7042937282707598E-3</c:v>
                </c:pt>
                <c:pt idx="2527">
                  <c:v>-7.6291751573779615E-3</c:v>
                </c:pt>
                <c:pt idx="2528">
                  <c:v>-4.0235618634582374E-3</c:v>
                </c:pt>
                <c:pt idx="2529">
                  <c:v>-2.40439641094152E-3</c:v>
                </c:pt>
                <c:pt idx="2530">
                  <c:v>-3.6059264901048128E-3</c:v>
                </c:pt>
                <c:pt idx="2531">
                  <c:v>1.7060824146616382E-3</c:v>
                </c:pt>
                <c:pt idx="2532">
                  <c:v>-1.6733661572611799E-2</c:v>
                </c:pt>
                <c:pt idx="2533">
                  <c:v>-1.2207962696851486E-2</c:v>
                </c:pt>
                <c:pt idx="2534">
                  <c:v>-7.0003119056452509E-5</c:v>
                </c:pt>
                <c:pt idx="2535">
                  <c:v>-5.4140032975568981E-3</c:v>
                </c:pt>
                <c:pt idx="2536">
                  <c:v>7.32914764335421E-4</c:v>
                </c:pt>
                <c:pt idx="2537">
                  <c:v>8.1573742974457995E-4</c:v>
                </c:pt>
                <c:pt idx="2538">
                  <c:v>1.2976171597596991E-2</c:v>
                </c:pt>
                <c:pt idx="2539">
                  <c:v>-6.0110771264179673E-3</c:v>
                </c:pt>
                <c:pt idx="2540">
                  <c:v>1.2831182639958536E-2</c:v>
                </c:pt>
                <c:pt idx="2541">
                  <c:v>4.6814399855840457E-3</c:v>
                </c:pt>
                <c:pt idx="2542">
                  <c:v>-1.3583675184772272E-2</c:v>
                </c:pt>
                <c:pt idx="2543">
                  <c:v>1.0307937762577117E-2</c:v>
                </c:pt>
                <c:pt idx="2544">
                  <c:v>4.6861025338763417E-3</c:v>
                </c:pt>
                <c:pt idx="2545">
                  <c:v>1.5539974381785256E-2</c:v>
                </c:pt>
                <c:pt idx="2546">
                  <c:v>8.0476373159736915E-3</c:v>
                </c:pt>
                <c:pt idx="2547">
                  <c:v>-1.1843729483664613E-2</c:v>
                </c:pt>
                <c:pt idx="2548">
                  <c:v>-9.5368655161822465E-3</c:v>
                </c:pt>
                <c:pt idx="2549">
                  <c:v>-8.2316473779262961E-3</c:v>
                </c:pt>
                <c:pt idx="2550">
                  <c:v>4.1619336984136173E-3</c:v>
                </c:pt>
                <c:pt idx="2551">
                  <c:v>-1.4046466704480506E-2</c:v>
                </c:pt>
                <c:pt idx="2552">
                  <c:v>-3.9903761166643582E-3</c:v>
                </c:pt>
                <c:pt idx="2553">
                  <c:v>-9.5750041484066433E-4</c:v>
                </c:pt>
                <c:pt idx="2554">
                  <c:v>1.4718535715576455E-2</c:v>
                </c:pt>
                <c:pt idx="2555">
                  <c:v>8.119438100037419E-3</c:v>
                </c:pt>
                <c:pt idx="2556">
                  <c:v>-9.0218920488693895E-3</c:v>
                </c:pt>
                <c:pt idx="2557">
                  <c:v>-7.9567507126009351E-3</c:v>
                </c:pt>
                <c:pt idx="2558">
                  <c:v>-1.5962354586829576E-2</c:v>
                </c:pt>
                <c:pt idx="2559">
                  <c:v>-1.2871958914538158E-2</c:v>
                </c:pt>
                <c:pt idx="2560">
                  <c:v>-1.8044736907456373E-2</c:v>
                </c:pt>
                <c:pt idx="2561">
                  <c:v>2.8509366045873468E-4</c:v>
                </c:pt>
                <c:pt idx="2562">
                  <c:v>-2.1600067690664145E-2</c:v>
                </c:pt>
                <c:pt idx="2563">
                  <c:v>-7.8313973944455443E-3</c:v>
                </c:pt>
                <c:pt idx="2564">
                  <c:v>8.8401256023366674E-3</c:v>
                </c:pt>
                <c:pt idx="2565">
                  <c:v>1.416564390553692E-2</c:v>
                </c:pt>
                <c:pt idx="2566">
                  <c:v>-3.5158490456300884E-3</c:v>
                </c:pt>
                <c:pt idx="2567">
                  <c:v>1.8569103624949453E-2</c:v>
                </c:pt>
                <c:pt idx="2568">
                  <c:v>3.6359486650401236E-3</c:v>
                </c:pt>
                <c:pt idx="2569">
                  <c:v>-1.3119640045494905E-2</c:v>
                </c:pt>
                <c:pt idx="2570">
                  <c:v>9.3683565055180974E-3</c:v>
                </c:pt>
                <c:pt idx="2571">
                  <c:v>-2.5646244510942308E-2</c:v>
                </c:pt>
                <c:pt idx="2572">
                  <c:v>-2.454507674166961E-2</c:v>
                </c:pt>
                <c:pt idx="2573">
                  <c:v>1.8011078113859678E-2</c:v>
                </c:pt>
                <c:pt idx="2574">
                  <c:v>1.480262900472138E-3</c:v>
                </c:pt>
                <c:pt idx="2575">
                  <c:v>2.2191599969947476E-2</c:v>
                </c:pt>
                <c:pt idx="2576">
                  <c:v>6.5273593448258458E-3</c:v>
                </c:pt>
                <c:pt idx="2577">
                  <c:v>-2.5308719957769935E-3</c:v>
                </c:pt>
                <c:pt idx="2578">
                  <c:v>-2.2250643190000745E-2</c:v>
                </c:pt>
                <c:pt idx="2579">
                  <c:v>-1.0485084777695169E-2</c:v>
                </c:pt>
                <c:pt idx="2580">
                  <c:v>2.1143133499092286E-2</c:v>
                </c:pt>
                <c:pt idx="2581">
                  <c:v>1.7597197462830788E-3</c:v>
                </c:pt>
                <c:pt idx="2582">
                  <c:v>-8.9802232716096695E-3</c:v>
                </c:pt>
                <c:pt idx="2583">
                  <c:v>-1.6117868615106883E-2</c:v>
                </c:pt>
                <c:pt idx="2584">
                  <c:v>-8.2031696908273707E-3</c:v>
                </c:pt>
                <c:pt idx="2585">
                  <c:v>-6.7969528368191723E-3</c:v>
                </c:pt>
                <c:pt idx="2586">
                  <c:v>9.5170762188210196E-3</c:v>
                </c:pt>
                <c:pt idx="2587">
                  <c:v>-2.9378158420864085E-2</c:v>
                </c:pt>
                <c:pt idx="2588">
                  <c:v>1.0314021373926902E-3</c:v>
                </c:pt>
                <c:pt idx="2589">
                  <c:v>2.7630833649352544E-2</c:v>
                </c:pt>
                <c:pt idx="2590">
                  <c:v>-1.5896740830182575E-2</c:v>
                </c:pt>
                <c:pt idx="2591">
                  <c:v>1.7850108414063134E-3</c:v>
                </c:pt>
                <c:pt idx="2592">
                  <c:v>1.5575560048114893E-2</c:v>
                </c:pt>
                <c:pt idx="2593">
                  <c:v>1.4884626985465763E-2</c:v>
                </c:pt>
                <c:pt idx="2594">
                  <c:v>-3.4335658041814373E-4</c:v>
                </c:pt>
                <c:pt idx="2595">
                  <c:v>-1.5198693232894571E-3</c:v>
                </c:pt>
                <c:pt idx="2596">
                  <c:v>-4.5215459887334277E-3</c:v>
                </c:pt>
                <c:pt idx="2597">
                  <c:v>-1.0794795336694423E-3</c:v>
                </c:pt>
                <c:pt idx="2598">
                  <c:v>2.1198287128675098E-2</c:v>
                </c:pt>
                <c:pt idx="2599">
                  <c:v>1.0486911282714039E-2</c:v>
                </c:pt>
                <c:pt idx="2600">
                  <c:v>-5.7242474130454373E-3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F-4F77-8951-D62522B9D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924336"/>
        <c:axId val="1842941136"/>
      </c:lineChart>
      <c:catAx>
        <c:axId val="1842924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64596489301338"/>
              <c:y val="0.945683769679374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41136"/>
        <c:crosses val="autoZero"/>
        <c:auto val="1"/>
        <c:lblAlgn val="ctr"/>
        <c:lblOffset val="100"/>
        <c:noMultiLvlLbl val="0"/>
      </c:catAx>
      <c:valAx>
        <c:axId val="184294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Log</a:t>
                </a:r>
                <a:r>
                  <a:rPr lang="en-ZA" sz="1400" baseline="0"/>
                  <a:t> return</a:t>
                </a:r>
                <a:endParaRPr lang="en-ZA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2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/>
              <a:t>7</a:t>
            </a:r>
            <a:r>
              <a:rPr lang="en-ZA" sz="2000" baseline="0"/>
              <a:t> Day Rolling Volatility</a:t>
            </a:r>
            <a:endParaRPr lang="en-ZA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'FTSE_JSE All Share Historical D'!$A$9:$A$2603</c:f>
              <c:numCache>
                <c:formatCode>yyyy\-mm\-dd;@</c:formatCode>
                <c:ptCount val="2595"/>
                <c:pt idx="0">
                  <c:v>42382</c:v>
                </c:pt>
                <c:pt idx="1">
                  <c:v>42383</c:v>
                </c:pt>
                <c:pt idx="2">
                  <c:v>42384</c:v>
                </c:pt>
                <c:pt idx="3">
                  <c:v>42387</c:v>
                </c:pt>
                <c:pt idx="4">
                  <c:v>42388</c:v>
                </c:pt>
                <c:pt idx="5">
                  <c:v>42389</c:v>
                </c:pt>
                <c:pt idx="6">
                  <c:v>42390</c:v>
                </c:pt>
                <c:pt idx="7">
                  <c:v>42391</c:v>
                </c:pt>
                <c:pt idx="8">
                  <c:v>42394</c:v>
                </c:pt>
                <c:pt idx="9">
                  <c:v>42395</c:v>
                </c:pt>
                <c:pt idx="10">
                  <c:v>42396</c:v>
                </c:pt>
                <c:pt idx="11">
                  <c:v>42397</c:v>
                </c:pt>
                <c:pt idx="12">
                  <c:v>42398</c:v>
                </c:pt>
                <c:pt idx="13">
                  <c:v>42401</c:v>
                </c:pt>
                <c:pt idx="14">
                  <c:v>42402</c:v>
                </c:pt>
                <c:pt idx="15">
                  <c:v>42403</c:v>
                </c:pt>
                <c:pt idx="16">
                  <c:v>42404</c:v>
                </c:pt>
                <c:pt idx="17">
                  <c:v>42405</c:v>
                </c:pt>
                <c:pt idx="18">
                  <c:v>42408</c:v>
                </c:pt>
                <c:pt idx="19">
                  <c:v>42409</c:v>
                </c:pt>
                <c:pt idx="20">
                  <c:v>42410</c:v>
                </c:pt>
                <c:pt idx="21">
                  <c:v>42411</c:v>
                </c:pt>
                <c:pt idx="22">
                  <c:v>42412</c:v>
                </c:pt>
                <c:pt idx="23">
                  <c:v>42415</c:v>
                </c:pt>
                <c:pt idx="24">
                  <c:v>42416</c:v>
                </c:pt>
                <c:pt idx="25">
                  <c:v>42417</c:v>
                </c:pt>
                <c:pt idx="26">
                  <c:v>42418</c:v>
                </c:pt>
                <c:pt idx="27">
                  <c:v>42419</c:v>
                </c:pt>
                <c:pt idx="28">
                  <c:v>42422</c:v>
                </c:pt>
                <c:pt idx="29">
                  <c:v>42423</c:v>
                </c:pt>
                <c:pt idx="30">
                  <c:v>42424</c:v>
                </c:pt>
                <c:pt idx="31">
                  <c:v>42425</c:v>
                </c:pt>
                <c:pt idx="32">
                  <c:v>42426</c:v>
                </c:pt>
                <c:pt idx="33">
                  <c:v>42429</c:v>
                </c:pt>
                <c:pt idx="34">
                  <c:v>42430</c:v>
                </c:pt>
                <c:pt idx="35">
                  <c:v>42431</c:v>
                </c:pt>
                <c:pt idx="36">
                  <c:v>42432</c:v>
                </c:pt>
                <c:pt idx="37">
                  <c:v>42433</c:v>
                </c:pt>
                <c:pt idx="38">
                  <c:v>42436</c:v>
                </c:pt>
                <c:pt idx="39">
                  <c:v>42437</c:v>
                </c:pt>
                <c:pt idx="40">
                  <c:v>42438</c:v>
                </c:pt>
                <c:pt idx="41">
                  <c:v>42439</c:v>
                </c:pt>
                <c:pt idx="42">
                  <c:v>42440</c:v>
                </c:pt>
                <c:pt idx="43">
                  <c:v>42443</c:v>
                </c:pt>
                <c:pt idx="44">
                  <c:v>42444</c:v>
                </c:pt>
                <c:pt idx="45">
                  <c:v>42445</c:v>
                </c:pt>
                <c:pt idx="46">
                  <c:v>42446</c:v>
                </c:pt>
                <c:pt idx="47">
                  <c:v>42447</c:v>
                </c:pt>
                <c:pt idx="48">
                  <c:v>42451</c:v>
                </c:pt>
                <c:pt idx="49">
                  <c:v>42452</c:v>
                </c:pt>
                <c:pt idx="50">
                  <c:v>42453</c:v>
                </c:pt>
                <c:pt idx="51">
                  <c:v>42458</c:v>
                </c:pt>
                <c:pt idx="52">
                  <c:v>42459</c:v>
                </c:pt>
                <c:pt idx="53">
                  <c:v>42460</c:v>
                </c:pt>
                <c:pt idx="54">
                  <c:v>42461</c:v>
                </c:pt>
                <c:pt idx="55">
                  <c:v>42464</c:v>
                </c:pt>
                <c:pt idx="56">
                  <c:v>42465</c:v>
                </c:pt>
                <c:pt idx="57">
                  <c:v>42466</c:v>
                </c:pt>
                <c:pt idx="58">
                  <c:v>42467</c:v>
                </c:pt>
                <c:pt idx="59">
                  <c:v>42468</c:v>
                </c:pt>
                <c:pt idx="60">
                  <c:v>42471</c:v>
                </c:pt>
                <c:pt idx="61">
                  <c:v>42472</c:v>
                </c:pt>
                <c:pt idx="62">
                  <c:v>42473</c:v>
                </c:pt>
                <c:pt idx="63">
                  <c:v>42474</c:v>
                </c:pt>
                <c:pt idx="64">
                  <c:v>42475</c:v>
                </c:pt>
                <c:pt idx="65">
                  <c:v>42478</c:v>
                </c:pt>
                <c:pt idx="66">
                  <c:v>42479</c:v>
                </c:pt>
                <c:pt idx="67">
                  <c:v>42480</c:v>
                </c:pt>
                <c:pt idx="68">
                  <c:v>42481</c:v>
                </c:pt>
                <c:pt idx="69">
                  <c:v>42482</c:v>
                </c:pt>
                <c:pt idx="70">
                  <c:v>42485</c:v>
                </c:pt>
                <c:pt idx="71">
                  <c:v>42486</c:v>
                </c:pt>
                <c:pt idx="72">
                  <c:v>42488</c:v>
                </c:pt>
                <c:pt idx="73">
                  <c:v>42489</c:v>
                </c:pt>
                <c:pt idx="74">
                  <c:v>42493</c:v>
                </c:pt>
                <c:pt idx="75">
                  <c:v>42494</c:v>
                </c:pt>
                <c:pt idx="76">
                  <c:v>42495</c:v>
                </c:pt>
                <c:pt idx="77">
                  <c:v>42496</c:v>
                </c:pt>
                <c:pt idx="78">
                  <c:v>42499</c:v>
                </c:pt>
                <c:pt idx="79">
                  <c:v>42500</c:v>
                </c:pt>
                <c:pt idx="80">
                  <c:v>42501</c:v>
                </c:pt>
                <c:pt idx="81">
                  <c:v>42502</c:v>
                </c:pt>
                <c:pt idx="82">
                  <c:v>42503</c:v>
                </c:pt>
                <c:pt idx="83">
                  <c:v>42506</c:v>
                </c:pt>
                <c:pt idx="84">
                  <c:v>42507</c:v>
                </c:pt>
                <c:pt idx="85">
                  <c:v>42508</c:v>
                </c:pt>
                <c:pt idx="86">
                  <c:v>42509</c:v>
                </c:pt>
                <c:pt idx="87">
                  <c:v>42510</c:v>
                </c:pt>
                <c:pt idx="88">
                  <c:v>42513</c:v>
                </c:pt>
                <c:pt idx="89">
                  <c:v>42514</c:v>
                </c:pt>
                <c:pt idx="90">
                  <c:v>42515</c:v>
                </c:pt>
                <c:pt idx="91">
                  <c:v>42516</c:v>
                </c:pt>
                <c:pt idx="92">
                  <c:v>42517</c:v>
                </c:pt>
                <c:pt idx="93">
                  <c:v>42520</c:v>
                </c:pt>
                <c:pt idx="94">
                  <c:v>42521</c:v>
                </c:pt>
                <c:pt idx="95">
                  <c:v>42522</c:v>
                </c:pt>
                <c:pt idx="96">
                  <c:v>42523</c:v>
                </c:pt>
                <c:pt idx="97">
                  <c:v>42524</c:v>
                </c:pt>
                <c:pt idx="98">
                  <c:v>42527</c:v>
                </c:pt>
                <c:pt idx="99">
                  <c:v>42528</c:v>
                </c:pt>
                <c:pt idx="100">
                  <c:v>42529</c:v>
                </c:pt>
                <c:pt idx="101">
                  <c:v>42530</c:v>
                </c:pt>
                <c:pt idx="102">
                  <c:v>42531</c:v>
                </c:pt>
                <c:pt idx="103">
                  <c:v>42534</c:v>
                </c:pt>
                <c:pt idx="104">
                  <c:v>42535</c:v>
                </c:pt>
                <c:pt idx="105">
                  <c:v>42536</c:v>
                </c:pt>
                <c:pt idx="106">
                  <c:v>42538</c:v>
                </c:pt>
                <c:pt idx="107">
                  <c:v>42541</c:v>
                </c:pt>
                <c:pt idx="108">
                  <c:v>42542</c:v>
                </c:pt>
                <c:pt idx="109">
                  <c:v>42543</c:v>
                </c:pt>
                <c:pt idx="110">
                  <c:v>42544</c:v>
                </c:pt>
                <c:pt idx="111">
                  <c:v>42545</c:v>
                </c:pt>
                <c:pt idx="112">
                  <c:v>42548</c:v>
                </c:pt>
                <c:pt idx="113">
                  <c:v>42549</c:v>
                </c:pt>
                <c:pt idx="114">
                  <c:v>42550</c:v>
                </c:pt>
                <c:pt idx="115">
                  <c:v>42551</c:v>
                </c:pt>
                <c:pt idx="116">
                  <c:v>42552</c:v>
                </c:pt>
                <c:pt idx="117">
                  <c:v>42555</c:v>
                </c:pt>
                <c:pt idx="118">
                  <c:v>42556</c:v>
                </c:pt>
                <c:pt idx="119">
                  <c:v>42557</c:v>
                </c:pt>
                <c:pt idx="120">
                  <c:v>42558</c:v>
                </c:pt>
                <c:pt idx="121">
                  <c:v>42559</c:v>
                </c:pt>
                <c:pt idx="122">
                  <c:v>42562</c:v>
                </c:pt>
                <c:pt idx="123">
                  <c:v>42563</c:v>
                </c:pt>
                <c:pt idx="124">
                  <c:v>42564</c:v>
                </c:pt>
                <c:pt idx="125">
                  <c:v>42565</c:v>
                </c:pt>
                <c:pt idx="126">
                  <c:v>42566</c:v>
                </c:pt>
                <c:pt idx="127">
                  <c:v>42569</c:v>
                </c:pt>
                <c:pt idx="128">
                  <c:v>42570</c:v>
                </c:pt>
                <c:pt idx="129">
                  <c:v>42571</c:v>
                </c:pt>
                <c:pt idx="130">
                  <c:v>42572</c:v>
                </c:pt>
                <c:pt idx="131">
                  <c:v>42573</c:v>
                </c:pt>
                <c:pt idx="132">
                  <c:v>42576</c:v>
                </c:pt>
                <c:pt idx="133">
                  <c:v>42577</c:v>
                </c:pt>
                <c:pt idx="134">
                  <c:v>42578</c:v>
                </c:pt>
                <c:pt idx="135">
                  <c:v>42579</c:v>
                </c:pt>
                <c:pt idx="136">
                  <c:v>42580</c:v>
                </c:pt>
                <c:pt idx="137">
                  <c:v>42583</c:v>
                </c:pt>
                <c:pt idx="138">
                  <c:v>42584</c:v>
                </c:pt>
                <c:pt idx="139">
                  <c:v>42586</c:v>
                </c:pt>
                <c:pt idx="140">
                  <c:v>42587</c:v>
                </c:pt>
                <c:pt idx="141">
                  <c:v>42590</c:v>
                </c:pt>
                <c:pt idx="142">
                  <c:v>42592</c:v>
                </c:pt>
                <c:pt idx="143">
                  <c:v>42593</c:v>
                </c:pt>
                <c:pt idx="144">
                  <c:v>42594</c:v>
                </c:pt>
                <c:pt idx="145">
                  <c:v>42597</c:v>
                </c:pt>
                <c:pt idx="146">
                  <c:v>42598</c:v>
                </c:pt>
                <c:pt idx="147">
                  <c:v>42599</c:v>
                </c:pt>
                <c:pt idx="148">
                  <c:v>42600</c:v>
                </c:pt>
                <c:pt idx="149">
                  <c:v>42601</c:v>
                </c:pt>
                <c:pt idx="150">
                  <c:v>42604</c:v>
                </c:pt>
                <c:pt idx="151">
                  <c:v>42605</c:v>
                </c:pt>
                <c:pt idx="152">
                  <c:v>42606</c:v>
                </c:pt>
                <c:pt idx="153">
                  <c:v>42607</c:v>
                </c:pt>
                <c:pt idx="154">
                  <c:v>42608</c:v>
                </c:pt>
                <c:pt idx="155">
                  <c:v>42611</c:v>
                </c:pt>
                <c:pt idx="156">
                  <c:v>42612</c:v>
                </c:pt>
                <c:pt idx="157">
                  <c:v>42613</c:v>
                </c:pt>
                <c:pt idx="158">
                  <c:v>42614</c:v>
                </c:pt>
                <c:pt idx="159">
                  <c:v>42615</c:v>
                </c:pt>
                <c:pt idx="160">
                  <c:v>42618</c:v>
                </c:pt>
                <c:pt idx="161">
                  <c:v>42619</c:v>
                </c:pt>
                <c:pt idx="162">
                  <c:v>42620</c:v>
                </c:pt>
                <c:pt idx="163">
                  <c:v>42621</c:v>
                </c:pt>
                <c:pt idx="164">
                  <c:v>42622</c:v>
                </c:pt>
                <c:pt idx="165">
                  <c:v>42625</c:v>
                </c:pt>
                <c:pt idx="166">
                  <c:v>42626</c:v>
                </c:pt>
                <c:pt idx="167">
                  <c:v>42627</c:v>
                </c:pt>
                <c:pt idx="168">
                  <c:v>42628</c:v>
                </c:pt>
                <c:pt idx="169">
                  <c:v>42629</c:v>
                </c:pt>
                <c:pt idx="170">
                  <c:v>42632</c:v>
                </c:pt>
                <c:pt idx="171">
                  <c:v>42633</c:v>
                </c:pt>
                <c:pt idx="172">
                  <c:v>42634</c:v>
                </c:pt>
                <c:pt idx="173">
                  <c:v>42635</c:v>
                </c:pt>
                <c:pt idx="174">
                  <c:v>42636</c:v>
                </c:pt>
                <c:pt idx="175">
                  <c:v>42639</c:v>
                </c:pt>
                <c:pt idx="176">
                  <c:v>42640</c:v>
                </c:pt>
                <c:pt idx="177">
                  <c:v>42641</c:v>
                </c:pt>
                <c:pt idx="178">
                  <c:v>42642</c:v>
                </c:pt>
                <c:pt idx="179">
                  <c:v>42643</c:v>
                </c:pt>
                <c:pt idx="180">
                  <c:v>42646</c:v>
                </c:pt>
                <c:pt idx="181">
                  <c:v>42647</c:v>
                </c:pt>
                <c:pt idx="182">
                  <c:v>42648</c:v>
                </c:pt>
                <c:pt idx="183">
                  <c:v>42649</c:v>
                </c:pt>
                <c:pt idx="184">
                  <c:v>42650</c:v>
                </c:pt>
                <c:pt idx="185">
                  <c:v>42653</c:v>
                </c:pt>
                <c:pt idx="186">
                  <c:v>42654</c:v>
                </c:pt>
                <c:pt idx="187">
                  <c:v>42655</c:v>
                </c:pt>
                <c:pt idx="188">
                  <c:v>42656</c:v>
                </c:pt>
                <c:pt idx="189">
                  <c:v>42657</c:v>
                </c:pt>
                <c:pt idx="190">
                  <c:v>42660</c:v>
                </c:pt>
                <c:pt idx="191">
                  <c:v>42661</c:v>
                </c:pt>
                <c:pt idx="192">
                  <c:v>42662</c:v>
                </c:pt>
                <c:pt idx="193">
                  <c:v>42663</c:v>
                </c:pt>
                <c:pt idx="194">
                  <c:v>42664</c:v>
                </c:pt>
                <c:pt idx="195">
                  <c:v>42667</c:v>
                </c:pt>
                <c:pt idx="196">
                  <c:v>42668</c:v>
                </c:pt>
                <c:pt idx="197">
                  <c:v>42669</c:v>
                </c:pt>
                <c:pt idx="198">
                  <c:v>42670</c:v>
                </c:pt>
                <c:pt idx="199">
                  <c:v>42671</c:v>
                </c:pt>
                <c:pt idx="200">
                  <c:v>42674</c:v>
                </c:pt>
                <c:pt idx="201">
                  <c:v>42675</c:v>
                </c:pt>
                <c:pt idx="202">
                  <c:v>42676</c:v>
                </c:pt>
                <c:pt idx="203">
                  <c:v>42677</c:v>
                </c:pt>
                <c:pt idx="204">
                  <c:v>42678</c:v>
                </c:pt>
                <c:pt idx="205">
                  <c:v>42681</c:v>
                </c:pt>
                <c:pt idx="206">
                  <c:v>42682</c:v>
                </c:pt>
                <c:pt idx="207">
                  <c:v>42683</c:v>
                </c:pt>
                <c:pt idx="208">
                  <c:v>42684</c:v>
                </c:pt>
                <c:pt idx="209">
                  <c:v>42685</c:v>
                </c:pt>
                <c:pt idx="210">
                  <c:v>42688</c:v>
                </c:pt>
                <c:pt idx="211">
                  <c:v>42689</c:v>
                </c:pt>
                <c:pt idx="212">
                  <c:v>42690</c:v>
                </c:pt>
                <c:pt idx="213">
                  <c:v>42691</c:v>
                </c:pt>
                <c:pt idx="214">
                  <c:v>42692</c:v>
                </c:pt>
                <c:pt idx="215">
                  <c:v>42695</c:v>
                </c:pt>
                <c:pt idx="216">
                  <c:v>42696</c:v>
                </c:pt>
                <c:pt idx="217">
                  <c:v>42697</c:v>
                </c:pt>
                <c:pt idx="218">
                  <c:v>42698</c:v>
                </c:pt>
                <c:pt idx="219">
                  <c:v>42699</c:v>
                </c:pt>
                <c:pt idx="220">
                  <c:v>42702</c:v>
                </c:pt>
                <c:pt idx="221">
                  <c:v>42703</c:v>
                </c:pt>
                <c:pt idx="222">
                  <c:v>42704</c:v>
                </c:pt>
                <c:pt idx="223">
                  <c:v>42705</c:v>
                </c:pt>
                <c:pt idx="224">
                  <c:v>42706</c:v>
                </c:pt>
                <c:pt idx="225">
                  <c:v>42709</c:v>
                </c:pt>
                <c:pt idx="226">
                  <c:v>42710</c:v>
                </c:pt>
                <c:pt idx="227">
                  <c:v>42711</c:v>
                </c:pt>
                <c:pt idx="228">
                  <c:v>42712</c:v>
                </c:pt>
                <c:pt idx="229">
                  <c:v>42713</c:v>
                </c:pt>
                <c:pt idx="230">
                  <c:v>42716</c:v>
                </c:pt>
                <c:pt idx="231">
                  <c:v>42717</c:v>
                </c:pt>
                <c:pt idx="232">
                  <c:v>42718</c:v>
                </c:pt>
                <c:pt idx="233">
                  <c:v>42719</c:v>
                </c:pt>
                <c:pt idx="234">
                  <c:v>42723</c:v>
                </c:pt>
                <c:pt idx="235">
                  <c:v>42724</c:v>
                </c:pt>
                <c:pt idx="236">
                  <c:v>42725</c:v>
                </c:pt>
                <c:pt idx="237">
                  <c:v>42726</c:v>
                </c:pt>
                <c:pt idx="238">
                  <c:v>42727</c:v>
                </c:pt>
                <c:pt idx="239">
                  <c:v>42732</c:v>
                </c:pt>
                <c:pt idx="240">
                  <c:v>42733</c:v>
                </c:pt>
                <c:pt idx="241">
                  <c:v>42734</c:v>
                </c:pt>
                <c:pt idx="242">
                  <c:v>42738</c:v>
                </c:pt>
                <c:pt idx="243">
                  <c:v>42739</c:v>
                </c:pt>
                <c:pt idx="244">
                  <c:v>42740</c:v>
                </c:pt>
                <c:pt idx="245">
                  <c:v>42741</c:v>
                </c:pt>
                <c:pt idx="246">
                  <c:v>42744</c:v>
                </c:pt>
                <c:pt idx="247">
                  <c:v>42745</c:v>
                </c:pt>
                <c:pt idx="248">
                  <c:v>42746</c:v>
                </c:pt>
                <c:pt idx="249">
                  <c:v>42747</c:v>
                </c:pt>
                <c:pt idx="250">
                  <c:v>42748</c:v>
                </c:pt>
                <c:pt idx="251">
                  <c:v>42751</c:v>
                </c:pt>
                <c:pt idx="252">
                  <c:v>42752</c:v>
                </c:pt>
                <c:pt idx="253">
                  <c:v>42753</c:v>
                </c:pt>
                <c:pt idx="254">
                  <c:v>42754</c:v>
                </c:pt>
                <c:pt idx="255">
                  <c:v>42755</c:v>
                </c:pt>
                <c:pt idx="256">
                  <c:v>42758</c:v>
                </c:pt>
                <c:pt idx="257">
                  <c:v>42759</c:v>
                </c:pt>
                <c:pt idx="258">
                  <c:v>42760</c:v>
                </c:pt>
                <c:pt idx="259">
                  <c:v>42761</c:v>
                </c:pt>
                <c:pt idx="260">
                  <c:v>42762</c:v>
                </c:pt>
                <c:pt idx="261">
                  <c:v>42765</c:v>
                </c:pt>
                <c:pt idx="262">
                  <c:v>42766</c:v>
                </c:pt>
                <c:pt idx="263">
                  <c:v>42767</c:v>
                </c:pt>
                <c:pt idx="264">
                  <c:v>42768</c:v>
                </c:pt>
                <c:pt idx="265">
                  <c:v>42769</c:v>
                </c:pt>
                <c:pt idx="266">
                  <c:v>42772</c:v>
                </c:pt>
                <c:pt idx="267">
                  <c:v>42773</c:v>
                </c:pt>
                <c:pt idx="268">
                  <c:v>42774</c:v>
                </c:pt>
                <c:pt idx="269">
                  <c:v>42775</c:v>
                </c:pt>
                <c:pt idx="270">
                  <c:v>42776</c:v>
                </c:pt>
                <c:pt idx="271">
                  <c:v>42779</c:v>
                </c:pt>
                <c:pt idx="272">
                  <c:v>42780</c:v>
                </c:pt>
                <c:pt idx="273">
                  <c:v>42781</c:v>
                </c:pt>
                <c:pt idx="274">
                  <c:v>42782</c:v>
                </c:pt>
                <c:pt idx="275">
                  <c:v>42783</c:v>
                </c:pt>
                <c:pt idx="276">
                  <c:v>42786</c:v>
                </c:pt>
                <c:pt idx="277">
                  <c:v>42787</c:v>
                </c:pt>
                <c:pt idx="278">
                  <c:v>42788</c:v>
                </c:pt>
                <c:pt idx="279">
                  <c:v>42789</c:v>
                </c:pt>
                <c:pt idx="280">
                  <c:v>42790</c:v>
                </c:pt>
                <c:pt idx="281">
                  <c:v>42793</c:v>
                </c:pt>
                <c:pt idx="282">
                  <c:v>42794</c:v>
                </c:pt>
                <c:pt idx="283">
                  <c:v>42795</c:v>
                </c:pt>
                <c:pt idx="284">
                  <c:v>42796</c:v>
                </c:pt>
                <c:pt idx="285">
                  <c:v>42797</c:v>
                </c:pt>
                <c:pt idx="286">
                  <c:v>42800</c:v>
                </c:pt>
                <c:pt idx="287">
                  <c:v>42801</c:v>
                </c:pt>
                <c:pt idx="288">
                  <c:v>42802</c:v>
                </c:pt>
                <c:pt idx="289">
                  <c:v>42803</c:v>
                </c:pt>
                <c:pt idx="290">
                  <c:v>42804</c:v>
                </c:pt>
                <c:pt idx="291">
                  <c:v>42807</c:v>
                </c:pt>
                <c:pt idx="292">
                  <c:v>42808</c:v>
                </c:pt>
                <c:pt idx="293">
                  <c:v>42809</c:v>
                </c:pt>
                <c:pt idx="294">
                  <c:v>42810</c:v>
                </c:pt>
                <c:pt idx="295">
                  <c:v>42811</c:v>
                </c:pt>
                <c:pt idx="296">
                  <c:v>42814</c:v>
                </c:pt>
                <c:pt idx="297">
                  <c:v>42816</c:v>
                </c:pt>
                <c:pt idx="298">
                  <c:v>42817</c:v>
                </c:pt>
                <c:pt idx="299">
                  <c:v>42818</c:v>
                </c:pt>
                <c:pt idx="300">
                  <c:v>42821</c:v>
                </c:pt>
                <c:pt idx="301">
                  <c:v>42822</c:v>
                </c:pt>
                <c:pt idx="302">
                  <c:v>42823</c:v>
                </c:pt>
                <c:pt idx="303">
                  <c:v>42824</c:v>
                </c:pt>
                <c:pt idx="304">
                  <c:v>42825</c:v>
                </c:pt>
                <c:pt idx="305">
                  <c:v>42828</c:v>
                </c:pt>
                <c:pt idx="306">
                  <c:v>42829</c:v>
                </c:pt>
                <c:pt idx="307">
                  <c:v>42830</c:v>
                </c:pt>
                <c:pt idx="308">
                  <c:v>42831</c:v>
                </c:pt>
                <c:pt idx="309">
                  <c:v>42832</c:v>
                </c:pt>
                <c:pt idx="310">
                  <c:v>42835</c:v>
                </c:pt>
                <c:pt idx="311">
                  <c:v>42836</c:v>
                </c:pt>
                <c:pt idx="312">
                  <c:v>42837</c:v>
                </c:pt>
                <c:pt idx="313">
                  <c:v>42838</c:v>
                </c:pt>
                <c:pt idx="314">
                  <c:v>42843</c:v>
                </c:pt>
                <c:pt idx="315">
                  <c:v>42844</c:v>
                </c:pt>
                <c:pt idx="316">
                  <c:v>42845</c:v>
                </c:pt>
                <c:pt idx="317">
                  <c:v>42846</c:v>
                </c:pt>
                <c:pt idx="318">
                  <c:v>42849</c:v>
                </c:pt>
                <c:pt idx="319">
                  <c:v>42850</c:v>
                </c:pt>
                <c:pt idx="320">
                  <c:v>42851</c:v>
                </c:pt>
                <c:pt idx="321">
                  <c:v>42853</c:v>
                </c:pt>
                <c:pt idx="322">
                  <c:v>42857</c:v>
                </c:pt>
                <c:pt idx="323">
                  <c:v>42858</c:v>
                </c:pt>
                <c:pt idx="324">
                  <c:v>42859</c:v>
                </c:pt>
                <c:pt idx="325">
                  <c:v>42860</c:v>
                </c:pt>
                <c:pt idx="326">
                  <c:v>42863</c:v>
                </c:pt>
                <c:pt idx="327">
                  <c:v>42864</c:v>
                </c:pt>
                <c:pt idx="328">
                  <c:v>42865</c:v>
                </c:pt>
                <c:pt idx="329">
                  <c:v>42866</c:v>
                </c:pt>
                <c:pt idx="330">
                  <c:v>42867</c:v>
                </c:pt>
                <c:pt idx="331">
                  <c:v>42870</c:v>
                </c:pt>
                <c:pt idx="332">
                  <c:v>42871</c:v>
                </c:pt>
                <c:pt idx="333">
                  <c:v>42872</c:v>
                </c:pt>
                <c:pt idx="334">
                  <c:v>42873</c:v>
                </c:pt>
                <c:pt idx="335">
                  <c:v>42874</c:v>
                </c:pt>
                <c:pt idx="336">
                  <c:v>42877</c:v>
                </c:pt>
                <c:pt idx="337">
                  <c:v>42878</c:v>
                </c:pt>
                <c:pt idx="338">
                  <c:v>42879</c:v>
                </c:pt>
                <c:pt idx="339">
                  <c:v>42880</c:v>
                </c:pt>
                <c:pt idx="340">
                  <c:v>42881</c:v>
                </c:pt>
                <c:pt idx="341">
                  <c:v>42884</c:v>
                </c:pt>
                <c:pt idx="342">
                  <c:v>42885</c:v>
                </c:pt>
                <c:pt idx="343">
                  <c:v>42886</c:v>
                </c:pt>
                <c:pt idx="344">
                  <c:v>42887</c:v>
                </c:pt>
                <c:pt idx="345">
                  <c:v>42888</c:v>
                </c:pt>
                <c:pt idx="346">
                  <c:v>42891</c:v>
                </c:pt>
                <c:pt idx="347">
                  <c:v>42892</c:v>
                </c:pt>
                <c:pt idx="348">
                  <c:v>42893</c:v>
                </c:pt>
                <c:pt idx="349">
                  <c:v>42894</c:v>
                </c:pt>
                <c:pt idx="350">
                  <c:v>42895</c:v>
                </c:pt>
                <c:pt idx="351">
                  <c:v>42898</c:v>
                </c:pt>
                <c:pt idx="352">
                  <c:v>42899</c:v>
                </c:pt>
                <c:pt idx="353">
                  <c:v>42900</c:v>
                </c:pt>
                <c:pt idx="354">
                  <c:v>42901</c:v>
                </c:pt>
                <c:pt idx="355">
                  <c:v>42905</c:v>
                </c:pt>
                <c:pt idx="356">
                  <c:v>42906</c:v>
                </c:pt>
                <c:pt idx="357">
                  <c:v>42907</c:v>
                </c:pt>
                <c:pt idx="358">
                  <c:v>42908</c:v>
                </c:pt>
                <c:pt idx="359">
                  <c:v>42909</c:v>
                </c:pt>
                <c:pt idx="360">
                  <c:v>42912</c:v>
                </c:pt>
                <c:pt idx="361">
                  <c:v>42913</c:v>
                </c:pt>
                <c:pt idx="362">
                  <c:v>42914</c:v>
                </c:pt>
                <c:pt idx="363">
                  <c:v>42915</c:v>
                </c:pt>
                <c:pt idx="364">
                  <c:v>42916</c:v>
                </c:pt>
                <c:pt idx="365">
                  <c:v>42919</c:v>
                </c:pt>
                <c:pt idx="366">
                  <c:v>42920</c:v>
                </c:pt>
                <c:pt idx="367">
                  <c:v>42921</c:v>
                </c:pt>
                <c:pt idx="368">
                  <c:v>42922</c:v>
                </c:pt>
                <c:pt idx="369">
                  <c:v>42923</c:v>
                </c:pt>
                <c:pt idx="370">
                  <c:v>42926</c:v>
                </c:pt>
                <c:pt idx="371">
                  <c:v>42927</c:v>
                </c:pt>
                <c:pt idx="372">
                  <c:v>42928</c:v>
                </c:pt>
                <c:pt idx="373">
                  <c:v>42929</c:v>
                </c:pt>
                <c:pt idx="374">
                  <c:v>42930</c:v>
                </c:pt>
                <c:pt idx="375">
                  <c:v>42933</c:v>
                </c:pt>
                <c:pt idx="376">
                  <c:v>42934</c:v>
                </c:pt>
                <c:pt idx="377">
                  <c:v>42935</c:v>
                </c:pt>
                <c:pt idx="378">
                  <c:v>42936</c:v>
                </c:pt>
                <c:pt idx="379">
                  <c:v>42937</c:v>
                </c:pt>
                <c:pt idx="380">
                  <c:v>42940</c:v>
                </c:pt>
                <c:pt idx="381">
                  <c:v>42941</c:v>
                </c:pt>
                <c:pt idx="382">
                  <c:v>42942</c:v>
                </c:pt>
                <c:pt idx="383">
                  <c:v>42943</c:v>
                </c:pt>
                <c:pt idx="384">
                  <c:v>42944</c:v>
                </c:pt>
                <c:pt idx="385">
                  <c:v>42947</c:v>
                </c:pt>
                <c:pt idx="386">
                  <c:v>42948</c:v>
                </c:pt>
                <c:pt idx="387">
                  <c:v>42949</c:v>
                </c:pt>
                <c:pt idx="388">
                  <c:v>42950</c:v>
                </c:pt>
                <c:pt idx="389">
                  <c:v>42951</c:v>
                </c:pt>
                <c:pt idx="390">
                  <c:v>42954</c:v>
                </c:pt>
                <c:pt idx="391">
                  <c:v>42955</c:v>
                </c:pt>
                <c:pt idx="392">
                  <c:v>42957</c:v>
                </c:pt>
                <c:pt idx="393">
                  <c:v>42958</c:v>
                </c:pt>
                <c:pt idx="394">
                  <c:v>42961</c:v>
                </c:pt>
                <c:pt idx="395">
                  <c:v>42962</c:v>
                </c:pt>
                <c:pt idx="396">
                  <c:v>42963</c:v>
                </c:pt>
                <c:pt idx="397">
                  <c:v>42964</c:v>
                </c:pt>
                <c:pt idx="398">
                  <c:v>42965</c:v>
                </c:pt>
                <c:pt idx="399">
                  <c:v>42968</c:v>
                </c:pt>
                <c:pt idx="400">
                  <c:v>42969</c:v>
                </c:pt>
                <c:pt idx="401">
                  <c:v>42970</c:v>
                </c:pt>
                <c:pt idx="402">
                  <c:v>42971</c:v>
                </c:pt>
                <c:pt idx="403">
                  <c:v>42972</c:v>
                </c:pt>
                <c:pt idx="404">
                  <c:v>42975</c:v>
                </c:pt>
                <c:pt idx="405">
                  <c:v>42976</c:v>
                </c:pt>
                <c:pt idx="406">
                  <c:v>42977</c:v>
                </c:pt>
                <c:pt idx="407">
                  <c:v>42978</c:v>
                </c:pt>
                <c:pt idx="408">
                  <c:v>42979</c:v>
                </c:pt>
                <c:pt idx="409">
                  <c:v>42982</c:v>
                </c:pt>
                <c:pt idx="410">
                  <c:v>42983</c:v>
                </c:pt>
                <c:pt idx="411">
                  <c:v>42984</c:v>
                </c:pt>
                <c:pt idx="412">
                  <c:v>42985</c:v>
                </c:pt>
                <c:pt idx="413">
                  <c:v>42986</c:v>
                </c:pt>
                <c:pt idx="414">
                  <c:v>42989</c:v>
                </c:pt>
                <c:pt idx="415">
                  <c:v>42990</c:v>
                </c:pt>
                <c:pt idx="416">
                  <c:v>42991</c:v>
                </c:pt>
                <c:pt idx="417">
                  <c:v>42992</c:v>
                </c:pt>
                <c:pt idx="418">
                  <c:v>42993</c:v>
                </c:pt>
                <c:pt idx="419">
                  <c:v>42996</c:v>
                </c:pt>
                <c:pt idx="420">
                  <c:v>42997</c:v>
                </c:pt>
                <c:pt idx="421">
                  <c:v>42998</c:v>
                </c:pt>
                <c:pt idx="422">
                  <c:v>42999</c:v>
                </c:pt>
                <c:pt idx="423">
                  <c:v>43000</c:v>
                </c:pt>
                <c:pt idx="424">
                  <c:v>43004</c:v>
                </c:pt>
                <c:pt idx="425">
                  <c:v>43005</c:v>
                </c:pt>
                <c:pt idx="426">
                  <c:v>43006</c:v>
                </c:pt>
                <c:pt idx="427">
                  <c:v>43007</c:v>
                </c:pt>
                <c:pt idx="428">
                  <c:v>43010</c:v>
                </c:pt>
                <c:pt idx="429">
                  <c:v>43011</c:v>
                </c:pt>
                <c:pt idx="430">
                  <c:v>43012</c:v>
                </c:pt>
                <c:pt idx="431">
                  <c:v>43013</c:v>
                </c:pt>
                <c:pt idx="432">
                  <c:v>43014</c:v>
                </c:pt>
                <c:pt idx="433">
                  <c:v>43017</c:v>
                </c:pt>
                <c:pt idx="434">
                  <c:v>43018</c:v>
                </c:pt>
                <c:pt idx="435">
                  <c:v>43019</c:v>
                </c:pt>
                <c:pt idx="436">
                  <c:v>43020</c:v>
                </c:pt>
                <c:pt idx="437">
                  <c:v>43021</c:v>
                </c:pt>
                <c:pt idx="438">
                  <c:v>43024</c:v>
                </c:pt>
                <c:pt idx="439">
                  <c:v>43025</c:v>
                </c:pt>
                <c:pt idx="440">
                  <c:v>43026</c:v>
                </c:pt>
                <c:pt idx="441">
                  <c:v>43027</c:v>
                </c:pt>
                <c:pt idx="442">
                  <c:v>43028</c:v>
                </c:pt>
                <c:pt idx="443">
                  <c:v>43031</c:v>
                </c:pt>
                <c:pt idx="444">
                  <c:v>43032</c:v>
                </c:pt>
                <c:pt idx="445">
                  <c:v>43033</c:v>
                </c:pt>
                <c:pt idx="446">
                  <c:v>43034</c:v>
                </c:pt>
                <c:pt idx="447">
                  <c:v>43035</c:v>
                </c:pt>
                <c:pt idx="448">
                  <c:v>43038</c:v>
                </c:pt>
                <c:pt idx="449">
                  <c:v>43039</c:v>
                </c:pt>
                <c:pt idx="450">
                  <c:v>43040</c:v>
                </c:pt>
                <c:pt idx="451">
                  <c:v>43041</c:v>
                </c:pt>
                <c:pt idx="452">
                  <c:v>43042</c:v>
                </c:pt>
                <c:pt idx="453">
                  <c:v>43045</c:v>
                </c:pt>
                <c:pt idx="454">
                  <c:v>43046</c:v>
                </c:pt>
                <c:pt idx="455">
                  <c:v>43047</c:v>
                </c:pt>
                <c:pt idx="456">
                  <c:v>43048</c:v>
                </c:pt>
                <c:pt idx="457">
                  <c:v>43049</c:v>
                </c:pt>
                <c:pt idx="458">
                  <c:v>43052</c:v>
                </c:pt>
                <c:pt idx="459">
                  <c:v>43053</c:v>
                </c:pt>
                <c:pt idx="460">
                  <c:v>43054</c:v>
                </c:pt>
                <c:pt idx="461">
                  <c:v>43055</c:v>
                </c:pt>
                <c:pt idx="462">
                  <c:v>43056</c:v>
                </c:pt>
                <c:pt idx="463">
                  <c:v>43059</c:v>
                </c:pt>
                <c:pt idx="464">
                  <c:v>43060</c:v>
                </c:pt>
                <c:pt idx="465">
                  <c:v>43061</c:v>
                </c:pt>
                <c:pt idx="466">
                  <c:v>43062</c:v>
                </c:pt>
                <c:pt idx="467">
                  <c:v>43063</c:v>
                </c:pt>
                <c:pt idx="468">
                  <c:v>43066</c:v>
                </c:pt>
                <c:pt idx="469">
                  <c:v>43067</c:v>
                </c:pt>
                <c:pt idx="470">
                  <c:v>43068</c:v>
                </c:pt>
                <c:pt idx="471">
                  <c:v>43069</c:v>
                </c:pt>
                <c:pt idx="472">
                  <c:v>43070</c:v>
                </c:pt>
                <c:pt idx="473">
                  <c:v>43073</c:v>
                </c:pt>
                <c:pt idx="474">
                  <c:v>43074</c:v>
                </c:pt>
                <c:pt idx="475">
                  <c:v>43075</c:v>
                </c:pt>
                <c:pt idx="476">
                  <c:v>43076</c:v>
                </c:pt>
                <c:pt idx="477">
                  <c:v>43077</c:v>
                </c:pt>
                <c:pt idx="478">
                  <c:v>43080</c:v>
                </c:pt>
                <c:pt idx="479">
                  <c:v>43081</c:v>
                </c:pt>
                <c:pt idx="480">
                  <c:v>43082</c:v>
                </c:pt>
                <c:pt idx="481">
                  <c:v>43083</c:v>
                </c:pt>
                <c:pt idx="482">
                  <c:v>43084</c:v>
                </c:pt>
                <c:pt idx="483">
                  <c:v>43087</c:v>
                </c:pt>
                <c:pt idx="484">
                  <c:v>43088</c:v>
                </c:pt>
                <c:pt idx="485">
                  <c:v>43089</c:v>
                </c:pt>
                <c:pt idx="486">
                  <c:v>43090</c:v>
                </c:pt>
                <c:pt idx="487">
                  <c:v>43091</c:v>
                </c:pt>
                <c:pt idx="488">
                  <c:v>43096</c:v>
                </c:pt>
                <c:pt idx="489">
                  <c:v>43097</c:v>
                </c:pt>
                <c:pt idx="490">
                  <c:v>43098</c:v>
                </c:pt>
                <c:pt idx="491">
                  <c:v>43102</c:v>
                </c:pt>
                <c:pt idx="492">
                  <c:v>43103</c:v>
                </c:pt>
                <c:pt idx="493">
                  <c:v>43104</c:v>
                </c:pt>
                <c:pt idx="494">
                  <c:v>43105</c:v>
                </c:pt>
                <c:pt idx="495">
                  <c:v>43108</c:v>
                </c:pt>
                <c:pt idx="496">
                  <c:v>43109</c:v>
                </c:pt>
                <c:pt idx="497">
                  <c:v>43110</c:v>
                </c:pt>
                <c:pt idx="498">
                  <c:v>43111</c:v>
                </c:pt>
                <c:pt idx="499">
                  <c:v>43112</c:v>
                </c:pt>
                <c:pt idx="500">
                  <c:v>43115</c:v>
                </c:pt>
                <c:pt idx="501">
                  <c:v>43116</c:v>
                </c:pt>
                <c:pt idx="502">
                  <c:v>43117</c:v>
                </c:pt>
                <c:pt idx="503">
                  <c:v>43118</c:v>
                </c:pt>
                <c:pt idx="504">
                  <c:v>43119</c:v>
                </c:pt>
                <c:pt idx="505">
                  <c:v>43122</c:v>
                </c:pt>
                <c:pt idx="506">
                  <c:v>43123</c:v>
                </c:pt>
                <c:pt idx="507">
                  <c:v>43124</c:v>
                </c:pt>
                <c:pt idx="508">
                  <c:v>43125</c:v>
                </c:pt>
                <c:pt idx="509">
                  <c:v>43126</c:v>
                </c:pt>
                <c:pt idx="510">
                  <c:v>43129</c:v>
                </c:pt>
                <c:pt idx="511">
                  <c:v>43130</c:v>
                </c:pt>
                <c:pt idx="512">
                  <c:v>43131</c:v>
                </c:pt>
                <c:pt idx="513">
                  <c:v>43132</c:v>
                </c:pt>
                <c:pt idx="514">
                  <c:v>43133</c:v>
                </c:pt>
                <c:pt idx="515">
                  <c:v>43136</c:v>
                </c:pt>
                <c:pt idx="516">
                  <c:v>43137</c:v>
                </c:pt>
                <c:pt idx="517">
                  <c:v>43138</c:v>
                </c:pt>
                <c:pt idx="518">
                  <c:v>43139</c:v>
                </c:pt>
                <c:pt idx="519">
                  <c:v>43140</c:v>
                </c:pt>
                <c:pt idx="520">
                  <c:v>43143</c:v>
                </c:pt>
                <c:pt idx="521">
                  <c:v>43144</c:v>
                </c:pt>
                <c:pt idx="522">
                  <c:v>43145</c:v>
                </c:pt>
                <c:pt idx="523">
                  <c:v>43146</c:v>
                </c:pt>
                <c:pt idx="524">
                  <c:v>43147</c:v>
                </c:pt>
                <c:pt idx="525">
                  <c:v>43150</c:v>
                </c:pt>
                <c:pt idx="526">
                  <c:v>43151</c:v>
                </c:pt>
                <c:pt idx="527">
                  <c:v>43152</c:v>
                </c:pt>
                <c:pt idx="528">
                  <c:v>43153</c:v>
                </c:pt>
                <c:pt idx="529">
                  <c:v>43154</c:v>
                </c:pt>
                <c:pt idx="530">
                  <c:v>43157</c:v>
                </c:pt>
                <c:pt idx="531">
                  <c:v>43158</c:v>
                </c:pt>
                <c:pt idx="532">
                  <c:v>43159</c:v>
                </c:pt>
                <c:pt idx="533">
                  <c:v>43160</c:v>
                </c:pt>
                <c:pt idx="534">
                  <c:v>43161</c:v>
                </c:pt>
                <c:pt idx="535">
                  <c:v>43164</c:v>
                </c:pt>
                <c:pt idx="536">
                  <c:v>43165</c:v>
                </c:pt>
                <c:pt idx="537">
                  <c:v>43166</c:v>
                </c:pt>
                <c:pt idx="538">
                  <c:v>43167</c:v>
                </c:pt>
                <c:pt idx="539">
                  <c:v>43168</c:v>
                </c:pt>
                <c:pt idx="540">
                  <c:v>43171</c:v>
                </c:pt>
                <c:pt idx="541">
                  <c:v>43172</c:v>
                </c:pt>
                <c:pt idx="542">
                  <c:v>43173</c:v>
                </c:pt>
                <c:pt idx="543">
                  <c:v>43174</c:v>
                </c:pt>
                <c:pt idx="544">
                  <c:v>43175</c:v>
                </c:pt>
                <c:pt idx="545">
                  <c:v>43178</c:v>
                </c:pt>
                <c:pt idx="546">
                  <c:v>43179</c:v>
                </c:pt>
                <c:pt idx="547">
                  <c:v>43181</c:v>
                </c:pt>
                <c:pt idx="548">
                  <c:v>43182</c:v>
                </c:pt>
                <c:pt idx="549">
                  <c:v>43185</c:v>
                </c:pt>
                <c:pt idx="550">
                  <c:v>43186</c:v>
                </c:pt>
                <c:pt idx="551">
                  <c:v>43187</c:v>
                </c:pt>
                <c:pt idx="552">
                  <c:v>43188</c:v>
                </c:pt>
                <c:pt idx="553">
                  <c:v>43193</c:v>
                </c:pt>
                <c:pt idx="554">
                  <c:v>43194</c:v>
                </c:pt>
                <c:pt idx="555">
                  <c:v>43195</c:v>
                </c:pt>
                <c:pt idx="556">
                  <c:v>43196</c:v>
                </c:pt>
                <c:pt idx="557">
                  <c:v>43199</c:v>
                </c:pt>
                <c:pt idx="558">
                  <c:v>43200</c:v>
                </c:pt>
                <c:pt idx="559">
                  <c:v>43201</c:v>
                </c:pt>
                <c:pt idx="560">
                  <c:v>43202</c:v>
                </c:pt>
                <c:pt idx="561">
                  <c:v>43203</c:v>
                </c:pt>
                <c:pt idx="562">
                  <c:v>43206</c:v>
                </c:pt>
                <c:pt idx="563">
                  <c:v>43207</c:v>
                </c:pt>
                <c:pt idx="564">
                  <c:v>43208</c:v>
                </c:pt>
                <c:pt idx="565">
                  <c:v>43209</c:v>
                </c:pt>
                <c:pt idx="566">
                  <c:v>43210</c:v>
                </c:pt>
                <c:pt idx="567">
                  <c:v>43213</c:v>
                </c:pt>
                <c:pt idx="568">
                  <c:v>43214</c:v>
                </c:pt>
                <c:pt idx="569">
                  <c:v>43215</c:v>
                </c:pt>
                <c:pt idx="570">
                  <c:v>43216</c:v>
                </c:pt>
                <c:pt idx="571">
                  <c:v>43220</c:v>
                </c:pt>
                <c:pt idx="572">
                  <c:v>43222</c:v>
                </c:pt>
                <c:pt idx="573">
                  <c:v>43223</c:v>
                </c:pt>
                <c:pt idx="574">
                  <c:v>43224</c:v>
                </c:pt>
                <c:pt idx="575">
                  <c:v>43227</c:v>
                </c:pt>
                <c:pt idx="576">
                  <c:v>43228</c:v>
                </c:pt>
                <c:pt idx="577">
                  <c:v>43229</c:v>
                </c:pt>
                <c:pt idx="578">
                  <c:v>43230</c:v>
                </c:pt>
                <c:pt idx="579">
                  <c:v>43231</c:v>
                </c:pt>
                <c:pt idx="580">
                  <c:v>43234</c:v>
                </c:pt>
                <c:pt idx="581">
                  <c:v>43235</c:v>
                </c:pt>
                <c:pt idx="582">
                  <c:v>43236</c:v>
                </c:pt>
                <c:pt idx="583">
                  <c:v>43237</c:v>
                </c:pt>
                <c:pt idx="584">
                  <c:v>43238</c:v>
                </c:pt>
                <c:pt idx="585">
                  <c:v>43241</c:v>
                </c:pt>
                <c:pt idx="586">
                  <c:v>43242</c:v>
                </c:pt>
                <c:pt idx="587">
                  <c:v>43243</c:v>
                </c:pt>
                <c:pt idx="588">
                  <c:v>43244</c:v>
                </c:pt>
                <c:pt idx="589">
                  <c:v>43245</c:v>
                </c:pt>
                <c:pt idx="590">
                  <c:v>43248</c:v>
                </c:pt>
                <c:pt idx="591">
                  <c:v>43249</c:v>
                </c:pt>
                <c:pt idx="592">
                  <c:v>43250</c:v>
                </c:pt>
                <c:pt idx="593">
                  <c:v>43251</c:v>
                </c:pt>
                <c:pt idx="594">
                  <c:v>43252</c:v>
                </c:pt>
                <c:pt idx="595">
                  <c:v>43255</c:v>
                </c:pt>
                <c:pt idx="596">
                  <c:v>43256</c:v>
                </c:pt>
                <c:pt idx="597">
                  <c:v>43257</c:v>
                </c:pt>
                <c:pt idx="598">
                  <c:v>43258</c:v>
                </c:pt>
                <c:pt idx="599">
                  <c:v>43259</c:v>
                </c:pt>
                <c:pt idx="600">
                  <c:v>43262</c:v>
                </c:pt>
                <c:pt idx="601">
                  <c:v>43263</c:v>
                </c:pt>
                <c:pt idx="602">
                  <c:v>43264</c:v>
                </c:pt>
                <c:pt idx="603">
                  <c:v>43265</c:v>
                </c:pt>
                <c:pt idx="604">
                  <c:v>43266</c:v>
                </c:pt>
                <c:pt idx="605">
                  <c:v>43269</c:v>
                </c:pt>
                <c:pt idx="606">
                  <c:v>43270</c:v>
                </c:pt>
                <c:pt idx="607">
                  <c:v>43271</c:v>
                </c:pt>
                <c:pt idx="608">
                  <c:v>43272</c:v>
                </c:pt>
                <c:pt idx="609">
                  <c:v>43273</c:v>
                </c:pt>
                <c:pt idx="610">
                  <c:v>43276</c:v>
                </c:pt>
                <c:pt idx="611">
                  <c:v>43277</c:v>
                </c:pt>
                <c:pt idx="612">
                  <c:v>43278</c:v>
                </c:pt>
                <c:pt idx="613">
                  <c:v>43279</c:v>
                </c:pt>
                <c:pt idx="614">
                  <c:v>43280</c:v>
                </c:pt>
                <c:pt idx="615">
                  <c:v>43283</c:v>
                </c:pt>
                <c:pt idx="616">
                  <c:v>43284</c:v>
                </c:pt>
                <c:pt idx="617">
                  <c:v>43285</c:v>
                </c:pt>
                <c:pt idx="618">
                  <c:v>43286</c:v>
                </c:pt>
                <c:pt idx="619">
                  <c:v>43287</c:v>
                </c:pt>
                <c:pt idx="620">
                  <c:v>43290</c:v>
                </c:pt>
                <c:pt idx="621">
                  <c:v>43291</c:v>
                </c:pt>
                <c:pt idx="622">
                  <c:v>43292</c:v>
                </c:pt>
                <c:pt idx="623">
                  <c:v>43293</c:v>
                </c:pt>
                <c:pt idx="624">
                  <c:v>43294</c:v>
                </c:pt>
                <c:pt idx="625">
                  <c:v>43297</c:v>
                </c:pt>
                <c:pt idx="626">
                  <c:v>43298</c:v>
                </c:pt>
                <c:pt idx="627">
                  <c:v>43299</c:v>
                </c:pt>
                <c:pt idx="628">
                  <c:v>43300</c:v>
                </c:pt>
                <c:pt idx="629">
                  <c:v>43301</c:v>
                </c:pt>
                <c:pt idx="630">
                  <c:v>43304</c:v>
                </c:pt>
                <c:pt idx="631">
                  <c:v>43305</c:v>
                </c:pt>
                <c:pt idx="632">
                  <c:v>43306</c:v>
                </c:pt>
                <c:pt idx="633">
                  <c:v>43307</c:v>
                </c:pt>
                <c:pt idx="634">
                  <c:v>43308</c:v>
                </c:pt>
                <c:pt idx="635">
                  <c:v>43311</c:v>
                </c:pt>
                <c:pt idx="636">
                  <c:v>43312</c:v>
                </c:pt>
                <c:pt idx="637">
                  <c:v>43313</c:v>
                </c:pt>
                <c:pt idx="638">
                  <c:v>43314</c:v>
                </c:pt>
                <c:pt idx="639">
                  <c:v>43315</c:v>
                </c:pt>
                <c:pt idx="640">
                  <c:v>43318</c:v>
                </c:pt>
                <c:pt idx="641">
                  <c:v>43319</c:v>
                </c:pt>
                <c:pt idx="642">
                  <c:v>43320</c:v>
                </c:pt>
                <c:pt idx="643">
                  <c:v>43322</c:v>
                </c:pt>
                <c:pt idx="644">
                  <c:v>43325</c:v>
                </c:pt>
                <c:pt idx="645">
                  <c:v>43326</c:v>
                </c:pt>
                <c:pt idx="646">
                  <c:v>43327</c:v>
                </c:pt>
                <c:pt idx="647">
                  <c:v>43328</c:v>
                </c:pt>
                <c:pt idx="648">
                  <c:v>43329</c:v>
                </c:pt>
                <c:pt idx="649">
                  <c:v>43332</c:v>
                </c:pt>
                <c:pt idx="650">
                  <c:v>43333</c:v>
                </c:pt>
                <c:pt idx="651">
                  <c:v>43334</c:v>
                </c:pt>
                <c:pt idx="652">
                  <c:v>43335</c:v>
                </c:pt>
                <c:pt idx="653">
                  <c:v>43336</c:v>
                </c:pt>
                <c:pt idx="654">
                  <c:v>43339</c:v>
                </c:pt>
                <c:pt idx="655">
                  <c:v>43340</c:v>
                </c:pt>
                <c:pt idx="656">
                  <c:v>43341</c:v>
                </c:pt>
                <c:pt idx="657">
                  <c:v>43342</c:v>
                </c:pt>
                <c:pt idx="658">
                  <c:v>43343</c:v>
                </c:pt>
                <c:pt idx="659">
                  <c:v>43346</c:v>
                </c:pt>
                <c:pt idx="660">
                  <c:v>43347</c:v>
                </c:pt>
                <c:pt idx="661">
                  <c:v>43348</c:v>
                </c:pt>
                <c:pt idx="662">
                  <c:v>43349</c:v>
                </c:pt>
                <c:pt idx="663">
                  <c:v>43350</c:v>
                </c:pt>
                <c:pt idx="664">
                  <c:v>43353</c:v>
                </c:pt>
                <c:pt idx="665">
                  <c:v>43354</c:v>
                </c:pt>
                <c:pt idx="666">
                  <c:v>43355</c:v>
                </c:pt>
                <c:pt idx="667">
                  <c:v>43356</c:v>
                </c:pt>
                <c:pt idx="668">
                  <c:v>43357</c:v>
                </c:pt>
                <c:pt idx="669">
                  <c:v>43360</c:v>
                </c:pt>
                <c:pt idx="670">
                  <c:v>43361</c:v>
                </c:pt>
                <c:pt idx="671">
                  <c:v>43362</c:v>
                </c:pt>
                <c:pt idx="672">
                  <c:v>43363</c:v>
                </c:pt>
                <c:pt idx="673">
                  <c:v>43364</c:v>
                </c:pt>
                <c:pt idx="674">
                  <c:v>43368</c:v>
                </c:pt>
                <c:pt idx="675">
                  <c:v>43369</c:v>
                </c:pt>
                <c:pt idx="676">
                  <c:v>43370</c:v>
                </c:pt>
                <c:pt idx="677">
                  <c:v>43371</c:v>
                </c:pt>
                <c:pt idx="678">
                  <c:v>43374</c:v>
                </c:pt>
                <c:pt idx="679">
                  <c:v>43375</c:v>
                </c:pt>
                <c:pt idx="680">
                  <c:v>43376</c:v>
                </c:pt>
                <c:pt idx="681">
                  <c:v>43377</c:v>
                </c:pt>
                <c:pt idx="682">
                  <c:v>43378</c:v>
                </c:pt>
                <c:pt idx="683">
                  <c:v>43381</c:v>
                </c:pt>
                <c:pt idx="684">
                  <c:v>43382</c:v>
                </c:pt>
                <c:pt idx="685">
                  <c:v>43383</c:v>
                </c:pt>
                <c:pt idx="686">
                  <c:v>43384</c:v>
                </c:pt>
                <c:pt idx="687">
                  <c:v>43385</c:v>
                </c:pt>
                <c:pt idx="688">
                  <c:v>43388</c:v>
                </c:pt>
                <c:pt idx="689">
                  <c:v>43389</c:v>
                </c:pt>
                <c:pt idx="690">
                  <c:v>43390</c:v>
                </c:pt>
                <c:pt idx="691">
                  <c:v>43391</c:v>
                </c:pt>
                <c:pt idx="692">
                  <c:v>43392</c:v>
                </c:pt>
                <c:pt idx="693">
                  <c:v>43395</c:v>
                </c:pt>
                <c:pt idx="694">
                  <c:v>43396</c:v>
                </c:pt>
                <c:pt idx="695">
                  <c:v>43397</c:v>
                </c:pt>
                <c:pt idx="696">
                  <c:v>43398</c:v>
                </c:pt>
                <c:pt idx="697">
                  <c:v>43399</c:v>
                </c:pt>
                <c:pt idx="698">
                  <c:v>43402</c:v>
                </c:pt>
                <c:pt idx="699">
                  <c:v>43403</c:v>
                </c:pt>
                <c:pt idx="700">
                  <c:v>43404</c:v>
                </c:pt>
                <c:pt idx="701">
                  <c:v>43405</c:v>
                </c:pt>
                <c:pt idx="702">
                  <c:v>43406</c:v>
                </c:pt>
                <c:pt idx="703">
                  <c:v>43409</c:v>
                </c:pt>
                <c:pt idx="704">
                  <c:v>43410</c:v>
                </c:pt>
                <c:pt idx="705">
                  <c:v>43411</c:v>
                </c:pt>
                <c:pt idx="706">
                  <c:v>43412</c:v>
                </c:pt>
                <c:pt idx="707">
                  <c:v>43413</c:v>
                </c:pt>
                <c:pt idx="708">
                  <c:v>43416</c:v>
                </c:pt>
                <c:pt idx="709">
                  <c:v>43417</c:v>
                </c:pt>
                <c:pt idx="710">
                  <c:v>43418</c:v>
                </c:pt>
                <c:pt idx="711">
                  <c:v>43419</c:v>
                </c:pt>
                <c:pt idx="712">
                  <c:v>43420</c:v>
                </c:pt>
                <c:pt idx="713">
                  <c:v>43423</c:v>
                </c:pt>
                <c:pt idx="714">
                  <c:v>43424</c:v>
                </c:pt>
                <c:pt idx="715">
                  <c:v>43425</c:v>
                </c:pt>
                <c:pt idx="716">
                  <c:v>43426</c:v>
                </c:pt>
                <c:pt idx="717">
                  <c:v>43427</c:v>
                </c:pt>
                <c:pt idx="718">
                  <c:v>43430</c:v>
                </c:pt>
                <c:pt idx="719">
                  <c:v>43431</c:v>
                </c:pt>
                <c:pt idx="720">
                  <c:v>43432</c:v>
                </c:pt>
                <c:pt idx="721">
                  <c:v>43433</c:v>
                </c:pt>
                <c:pt idx="722">
                  <c:v>43434</c:v>
                </c:pt>
                <c:pt idx="723">
                  <c:v>43437</c:v>
                </c:pt>
                <c:pt idx="724">
                  <c:v>43438</c:v>
                </c:pt>
                <c:pt idx="725">
                  <c:v>43439</c:v>
                </c:pt>
                <c:pt idx="726">
                  <c:v>43440</c:v>
                </c:pt>
                <c:pt idx="727">
                  <c:v>43441</c:v>
                </c:pt>
                <c:pt idx="728">
                  <c:v>43444</c:v>
                </c:pt>
                <c:pt idx="729">
                  <c:v>43445</c:v>
                </c:pt>
                <c:pt idx="730">
                  <c:v>43446</c:v>
                </c:pt>
                <c:pt idx="731">
                  <c:v>43447</c:v>
                </c:pt>
                <c:pt idx="732">
                  <c:v>43448</c:v>
                </c:pt>
                <c:pt idx="733">
                  <c:v>43452</c:v>
                </c:pt>
                <c:pt idx="734">
                  <c:v>43453</c:v>
                </c:pt>
                <c:pt idx="735">
                  <c:v>43454</c:v>
                </c:pt>
                <c:pt idx="736">
                  <c:v>43455</c:v>
                </c:pt>
                <c:pt idx="737">
                  <c:v>43458</c:v>
                </c:pt>
                <c:pt idx="738">
                  <c:v>43461</c:v>
                </c:pt>
                <c:pt idx="739">
                  <c:v>43462</c:v>
                </c:pt>
                <c:pt idx="740">
                  <c:v>43465</c:v>
                </c:pt>
                <c:pt idx="741">
                  <c:v>43467</c:v>
                </c:pt>
                <c:pt idx="742">
                  <c:v>43468</c:v>
                </c:pt>
                <c:pt idx="743">
                  <c:v>43469</c:v>
                </c:pt>
                <c:pt idx="744">
                  <c:v>43472</c:v>
                </c:pt>
                <c:pt idx="745">
                  <c:v>43473</c:v>
                </c:pt>
                <c:pt idx="746">
                  <c:v>43474</c:v>
                </c:pt>
                <c:pt idx="747">
                  <c:v>43475</c:v>
                </c:pt>
                <c:pt idx="748">
                  <c:v>43476</c:v>
                </c:pt>
                <c:pt idx="749">
                  <c:v>43479</c:v>
                </c:pt>
                <c:pt idx="750">
                  <c:v>43480</c:v>
                </c:pt>
                <c:pt idx="751">
                  <c:v>43481</c:v>
                </c:pt>
                <c:pt idx="752">
                  <c:v>43482</c:v>
                </c:pt>
                <c:pt idx="753">
                  <c:v>43483</c:v>
                </c:pt>
                <c:pt idx="754">
                  <c:v>43486</c:v>
                </c:pt>
                <c:pt idx="755">
                  <c:v>43487</c:v>
                </c:pt>
                <c:pt idx="756">
                  <c:v>43488</c:v>
                </c:pt>
                <c:pt idx="757">
                  <c:v>43489</c:v>
                </c:pt>
                <c:pt idx="758">
                  <c:v>43490</c:v>
                </c:pt>
                <c:pt idx="759">
                  <c:v>43493</c:v>
                </c:pt>
                <c:pt idx="760">
                  <c:v>43494</c:v>
                </c:pt>
                <c:pt idx="761">
                  <c:v>43495</c:v>
                </c:pt>
                <c:pt idx="762">
                  <c:v>43496</c:v>
                </c:pt>
                <c:pt idx="763">
                  <c:v>43497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43507</c:v>
                </c:pt>
                <c:pt idx="770">
                  <c:v>43508</c:v>
                </c:pt>
                <c:pt idx="771">
                  <c:v>43509</c:v>
                </c:pt>
                <c:pt idx="772">
                  <c:v>43510</c:v>
                </c:pt>
                <c:pt idx="773">
                  <c:v>43511</c:v>
                </c:pt>
                <c:pt idx="774">
                  <c:v>43514</c:v>
                </c:pt>
                <c:pt idx="775">
                  <c:v>43515</c:v>
                </c:pt>
                <c:pt idx="776">
                  <c:v>43516</c:v>
                </c:pt>
                <c:pt idx="777">
                  <c:v>43517</c:v>
                </c:pt>
                <c:pt idx="778">
                  <c:v>43518</c:v>
                </c:pt>
                <c:pt idx="779">
                  <c:v>43521</c:v>
                </c:pt>
                <c:pt idx="780">
                  <c:v>43522</c:v>
                </c:pt>
                <c:pt idx="781">
                  <c:v>43523</c:v>
                </c:pt>
                <c:pt idx="782">
                  <c:v>43524</c:v>
                </c:pt>
                <c:pt idx="783">
                  <c:v>43525</c:v>
                </c:pt>
                <c:pt idx="784">
                  <c:v>43528</c:v>
                </c:pt>
                <c:pt idx="785">
                  <c:v>43529</c:v>
                </c:pt>
                <c:pt idx="786">
                  <c:v>43530</c:v>
                </c:pt>
                <c:pt idx="787">
                  <c:v>43531</c:v>
                </c:pt>
                <c:pt idx="788">
                  <c:v>43532</c:v>
                </c:pt>
                <c:pt idx="789">
                  <c:v>43535</c:v>
                </c:pt>
                <c:pt idx="790">
                  <c:v>43536</c:v>
                </c:pt>
                <c:pt idx="791">
                  <c:v>43537</c:v>
                </c:pt>
                <c:pt idx="792">
                  <c:v>43538</c:v>
                </c:pt>
                <c:pt idx="793">
                  <c:v>43539</c:v>
                </c:pt>
                <c:pt idx="794">
                  <c:v>43542</c:v>
                </c:pt>
                <c:pt idx="795">
                  <c:v>43543</c:v>
                </c:pt>
                <c:pt idx="796">
                  <c:v>43544</c:v>
                </c:pt>
                <c:pt idx="797">
                  <c:v>43546</c:v>
                </c:pt>
                <c:pt idx="798">
                  <c:v>43549</c:v>
                </c:pt>
                <c:pt idx="799">
                  <c:v>43550</c:v>
                </c:pt>
                <c:pt idx="800">
                  <c:v>43551</c:v>
                </c:pt>
                <c:pt idx="801">
                  <c:v>43552</c:v>
                </c:pt>
                <c:pt idx="802">
                  <c:v>43553</c:v>
                </c:pt>
                <c:pt idx="803">
                  <c:v>43556</c:v>
                </c:pt>
                <c:pt idx="804">
                  <c:v>43557</c:v>
                </c:pt>
                <c:pt idx="805">
                  <c:v>43558</c:v>
                </c:pt>
                <c:pt idx="806">
                  <c:v>43559</c:v>
                </c:pt>
                <c:pt idx="807">
                  <c:v>43560</c:v>
                </c:pt>
                <c:pt idx="808">
                  <c:v>43563</c:v>
                </c:pt>
                <c:pt idx="809">
                  <c:v>43564</c:v>
                </c:pt>
                <c:pt idx="810">
                  <c:v>43565</c:v>
                </c:pt>
                <c:pt idx="811">
                  <c:v>43566</c:v>
                </c:pt>
                <c:pt idx="812">
                  <c:v>43567</c:v>
                </c:pt>
                <c:pt idx="813">
                  <c:v>43570</c:v>
                </c:pt>
                <c:pt idx="814">
                  <c:v>43571</c:v>
                </c:pt>
                <c:pt idx="815">
                  <c:v>43572</c:v>
                </c:pt>
                <c:pt idx="816">
                  <c:v>43573</c:v>
                </c:pt>
                <c:pt idx="817">
                  <c:v>43578</c:v>
                </c:pt>
                <c:pt idx="818">
                  <c:v>43579</c:v>
                </c:pt>
                <c:pt idx="819">
                  <c:v>43580</c:v>
                </c:pt>
                <c:pt idx="820">
                  <c:v>43581</c:v>
                </c:pt>
                <c:pt idx="821">
                  <c:v>43584</c:v>
                </c:pt>
                <c:pt idx="822">
                  <c:v>43585</c:v>
                </c:pt>
                <c:pt idx="823">
                  <c:v>43587</c:v>
                </c:pt>
                <c:pt idx="824">
                  <c:v>43588</c:v>
                </c:pt>
                <c:pt idx="825">
                  <c:v>43591</c:v>
                </c:pt>
                <c:pt idx="826">
                  <c:v>43592</c:v>
                </c:pt>
                <c:pt idx="827">
                  <c:v>43594</c:v>
                </c:pt>
                <c:pt idx="828">
                  <c:v>43595</c:v>
                </c:pt>
                <c:pt idx="829">
                  <c:v>43598</c:v>
                </c:pt>
                <c:pt idx="830">
                  <c:v>43599</c:v>
                </c:pt>
                <c:pt idx="831">
                  <c:v>43600</c:v>
                </c:pt>
                <c:pt idx="832">
                  <c:v>43601</c:v>
                </c:pt>
                <c:pt idx="833">
                  <c:v>43602</c:v>
                </c:pt>
                <c:pt idx="834">
                  <c:v>43605</c:v>
                </c:pt>
                <c:pt idx="835">
                  <c:v>43606</c:v>
                </c:pt>
                <c:pt idx="836">
                  <c:v>43607</c:v>
                </c:pt>
                <c:pt idx="837">
                  <c:v>43608</c:v>
                </c:pt>
                <c:pt idx="838">
                  <c:v>43609</c:v>
                </c:pt>
                <c:pt idx="839">
                  <c:v>43612</c:v>
                </c:pt>
                <c:pt idx="840">
                  <c:v>43613</c:v>
                </c:pt>
                <c:pt idx="841">
                  <c:v>43614</c:v>
                </c:pt>
                <c:pt idx="842">
                  <c:v>43615</c:v>
                </c:pt>
                <c:pt idx="843">
                  <c:v>43616</c:v>
                </c:pt>
                <c:pt idx="844">
                  <c:v>43619</c:v>
                </c:pt>
                <c:pt idx="845">
                  <c:v>43620</c:v>
                </c:pt>
                <c:pt idx="846">
                  <c:v>43621</c:v>
                </c:pt>
                <c:pt idx="847">
                  <c:v>43622</c:v>
                </c:pt>
                <c:pt idx="848">
                  <c:v>43623</c:v>
                </c:pt>
                <c:pt idx="849">
                  <c:v>43626</c:v>
                </c:pt>
                <c:pt idx="850">
                  <c:v>43627</c:v>
                </c:pt>
                <c:pt idx="851">
                  <c:v>43628</c:v>
                </c:pt>
                <c:pt idx="852">
                  <c:v>43629</c:v>
                </c:pt>
                <c:pt idx="853">
                  <c:v>43630</c:v>
                </c:pt>
                <c:pt idx="854">
                  <c:v>43634</c:v>
                </c:pt>
                <c:pt idx="855">
                  <c:v>43635</c:v>
                </c:pt>
                <c:pt idx="856">
                  <c:v>43636</c:v>
                </c:pt>
                <c:pt idx="857">
                  <c:v>43637</c:v>
                </c:pt>
                <c:pt idx="858">
                  <c:v>43640</c:v>
                </c:pt>
                <c:pt idx="859">
                  <c:v>43641</c:v>
                </c:pt>
                <c:pt idx="860">
                  <c:v>43642</c:v>
                </c:pt>
                <c:pt idx="861">
                  <c:v>43643</c:v>
                </c:pt>
                <c:pt idx="862">
                  <c:v>43644</c:v>
                </c:pt>
                <c:pt idx="863">
                  <c:v>43647</c:v>
                </c:pt>
                <c:pt idx="864">
                  <c:v>43648</c:v>
                </c:pt>
                <c:pt idx="865">
                  <c:v>43649</c:v>
                </c:pt>
                <c:pt idx="866">
                  <c:v>43650</c:v>
                </c:pt>
                <c:pt idx="867">
                  <c:v>43651</c:v>
                </c:pt>
                <c:pt idx="868">
                  <c:v>43654</c:v>
                </c:pt>
                <c:pt idx="869">
                  <c:v>43655</c:v>
                </c:pt>
                <c:pt idx="870">
                  <c:v>43656</c:v>
                </c:pt>
                <c:pt idx="871">
                  <c:v>43657</c:v>
                </c:pt>
                <c:pt idx="872">
                  <c:v>43658</c:v>
                </c:pt>
                <c:pt idx="873">
                  <c:v>43661</c:v>
                </c:pt>
                <c:pt idx="874">
                  <c:v>43662</c:v>
                </c:pt>
                <c:pt idx="875">
                  <c:v>43663</c:v>
                </c:pt>
                <c:pt idx="876">
                  <c:v>43664</c:v>
                </c:pt>
                <c:pt idx="877">
                  <c:v>43665</c:v>
                </c:pt>
                <c:pt idx="878">
                  <c:v>43668</c:v>
                </c:pt>
                <c:pt idx="879">
                  <c:v>43669</c:v>
                </c:pt>
                <c:pt idx="880">
                  <c:v>43670</c:v>
                </c:pt>
                <c:pt idx="881">
                  <c:v>43671</c:v>
                </c:pt>
                <c:pt idx="882">
                  <c:v>43672</c:v>
                </c:pt>
                <c:pt idx="883">
                  <c:v>43675</c:v>
                </c:pt>
                <c:pt idx="884">
                  <c:v>43676</c:v>
                </c:pt>
                <c:pt idx="885">
                  <c:v>43677</c:v>
                </c:pt>
                <c:pt idx="886">
                  <c:v>43678</c:v>
                </c:pt>
                <c:pt idx="887">
                  <c:v>43679</c:v>
                </c:pt>
                <c:pt idx="888">
                  <c:v>43682</c:v>
                </c:pt>
                <c:pt idx="889">
                  <c:v>43683</c:v>
                </c:pt>
                <c:pt idx="890">
                  <c:v>43684</c:v>
                </c:pt>
                <c:pt idx="891">
                  <c:v>43685</c:v>
                </c:pt>
                <c:pt idx="892">
                  <c:v>43689</c:v>
                </c:pt>
                <c:pt idx="893">
                  <c:v>43690</c:v>
                </c:pt>
                <c:pt idx="894">
                  <c:v>43691</c:v>
                </c:pt>
                <c:pt idx="895">
                  <c:v>43692</c:v>
                </c:pt>
                <c:pt idx="896">
                  <c:v>43693</c:v>
                </c:pt>
                <c:pt idx="897">
                  <c:v>43696</c:v>
                </c:pt>
                <c:pt idx="898">
                  <c:v>43697</c:v>
                </c:pt>
                <c:pt idx="899">
                  <c:v>43698</c:v>
                </c:pt>
                <c:pt idx="900">
                  <c:v>43699</c:v>
                </c:pt>
                <c:pt idx="901">
                  <c:v>43700</c:v>
                </c:pt>
                <c:pt idx="902">
                  <c:v>43703</c:v>
                </c:pt>
                <c:pt idx="903">
                  <c:v>43704</c:v>
                </c:pt>
                <c:pt idx="904">
                  <c:v>43705</c:v>
                </c:pt>
                <c:pt idx="905">
                  <c:v>43706</c:v>
                </c:pt>
                <c:pt idx="906">
                  <c:v>43707</c:v>
                </c:pt>
                <c:pt idx="907">
                  <c:v>43710</c:v>
                </c:pt>
                <c:pt idx="908">
                  <c:v>43711</c:v>
                </c:pt>
                <c:pt idx="909">
                  <c:v>43712</c:v>
                </c:pt>
                <c:pt idx="910">
                  <c:v>43713</c:v>
                </c:pt>
                <c:pt idx="911">
                  <c:v>43714</c:v>
                </c:pt>
                <c:pt idx="912">
                  <c:v>43717</c:v>
                </c:pt>
                <c:pt idx="913">
                  <c:v>43718</c:v>
                </c:pt>
                <c:pt idx="914">
                  <c:v>43719</c:v>
                </c:pt>
                <c:pt idx="915">
                  <c:v>43720</c:v>
                </c:pt>
                <c:pt idx="916">
                  <c:v>43721</c:v>
                </c:pt>
                <c:pt idx="917">
                  <c:v>43724</c:v>
                </c:pt>
                <c:pt idx="918">
                  <c:v>43725</c:v>
                </c:pt>
                <c:pt idx="919">
                  <c:v>43726</c:v>
                </c:pt>
                <c:pt idx="920">
                  <c:v>43727</c:v>
                </c:pt>
                <c:pt idx="921">
                  <c:v>43728</c:v>
                </c:pt>
                <c:pt idx="922">
                  <c:v>43731</c:v>
                </c:pt>
                <c:pt idx="923">
                  <c:v>43733</c:v>
                </c:pt>
                <c:pt idx="924">
                  <c:v>43734</c:v>
                </c:pt>
                <c:pt idx="925">
                  <c:v>43735</c:v>
                </c:pt>
                <c:pt idx="926">
                  <c:v>43738</c:v>
                </c:pt>
                <c:pt idx="927">
                  <c:v>43739</c:v>
                </c:pt>
                <c:pt idx="928">
                  <c:v>43740</c:v>
                </c:pt>
                <c:pt idx="929">
                  <c:v>43741</c:v>
                </c:pt>
                <c:pt idx="930">
                  <c:v>43742</c:v>
                </c:pt>
                <c:pt idx="931">
                  <c:v>43745</c:v>
                </c:pt>
                <c:pt idx="932">
                  <c:v>43746</c:v>
                </c:pt>
                <c:pt idx="933">
                  <c:v>43747</c:v>
                </c:pt>
                <c:pt idx="934">
                  <c:v>43748</c:v>
                </c:pt>
                <c:pt idx="935">
                  <c:v>43749</c:v>
                </c:pt>
                <c:pt idx="936">
                  <c:v>43752</c:v>
                </c:pt>
                <c:pt idx="937">
                  <c:v>43753</c:v>
                </c:pt>
                <c:pt idx="938">
                  <c:v>43754</c:v>
                </c:pt>
                <c:pt idx="939">
                  <c:v>43755</c:v>
                </c:pt>
                <c:pt idx="940">
                  <c:v>43756</c:v>
                </c:pt>
                <c:pt idx="941">
                  <c:v>43759</c:v>
                </c:pt>
                <c:pt idx="942">
                  <c:v>43760</c:v>
                </c:pt>
                <c:pt idx="943">
                  <c:v>43761</c:v>
                </c:pt>
                <c:pt idx="944">
                  <c:v>43762</c:v>
                </c:pt>
                <c:pt idx="945">
                  <c:v>43763</c:v>
                </c:pt>
                <c:pt idx="946">
                  <c:v>43766</c:v>
                </c:pt>
                <c:pt idx="947">
                  <c:v>43767</c:v>
                </c:pt>
                <c:pt idx="948">
                  <c:v>43768</c:v>
                </c:pt>
                <c:pt idx="949">
                  <c:v>43769</c:v>
                </c:pt>
                <c:pt idx="950">
                  <c:v>43770</c:v>
                </c:pt>
                <c:pt idx="951">
                  <c:v>43773</c:v>
                </c:pt>
                <c:pt idx="952">
                  <c:v>43774</c:v>
                </c:pt>
                <c:pt idx="953">
                  <c:v>43775</c:v>
                </c:pt>
                <c:pt idx="954">
                  <c:v>43776</c:v>
                </c:pt>
                <c:pt idx="955">
                  <c:v>43777</c:v>
                </c:pt>
                <c:pt idx="956">
                  <c:v>43780</c:v>
                </c:pt>
                <c:pt idx="957">
                  <c:v>43781</c:v>
                </c:pt>
                <c:pt idx="958">
                  <c:v>43782</c:v>
                </c:pt>
                <c:pt idx="959">
                  <c:v>43783</c:v>
                </c:pt>
                <c:pt idx="960">
                  <c:v>43784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43794</c:v>
                </c:pt>
                <c:pt idx="967">
                  <c:v>43795</c:v>
                </c:pt>
                <c:pt idx="968">
                  <c:v>43796</c:v>
                </c:pt>
                <c:pt idx="969">
                  <c:v>43797</c:v>
                </c:pt>
                <c:pt idx="970">
                  <c:v>43798</c:v>
                </c:pt>
                <c:pt idx="971">
                  <c:v>43801</c:v>
                </c:pt>
                <c:pt idx="972">
                  <c:v>43802</c:v>
                </c:pt>
                <c:pt idx="973">
                  <c:v>43803</c:v>
                </c:pt>
                <c:pt idx="974">
                  <c:v>43804</c:v>
                </c:pt>
                <c:pt idx="975">
                  <c:v>43805</c:v>
                </c:pt>
                <c:pt idx="976">
                  <c:v>43808</c:v>
                </c:pt>
                <c:pt idx="977">
                  <c:v>43809</c:v>
                </c:pt>
                <c:pt idx="978">
                  <c:v>43810</c:v>
                </c:pt>
                <c:pt idx="979">
                  <c:v>43811</c:v>
                </c:pt>
                <c:pt idx="980">
                  <c:v>43812</c:v>
                </c:pt>
                <c:pt idx="981">
                  <c:v>43816</c:v>
                </c:pt>
                <c:pt idx="982">
                  <c:v>43817</c:v>
                </c:pt>
                <c:pt idx="983">
                  <c:v>43818</c:v>
                </c:pt>
                <c:pt idx="984">
                  <c:v>43819</c:v>
                </c:pt>
                <c:pt idx="985">
                  <c:v>43822</c:v>
                </c:pt>
                <c:pt idx="986">
                  <c:v>43823</c:v>
                </c:pt>
                <c:pt idx="987">
                  <c:v>43826</c:v>
                </c:pt>
                <c:pt idx="988">
                  <c:v>43829</c:v>
                </c:pt>
                <c:pt idx="989">
                  <c:v>43830</c:v>
                </c:pt>
                <c:pt idx="990">
                  <c:v>43832</c:v>
                </c:pt>
                <c:pt idx="991">
                  <c:v>43833</c:v>
                </c:pt>
                <c:pt idx="992">
                  <c:v>43836</c:v>
                </c:pt>
                <c:pt idx="993">
                  <c:v>43837</c:v>
                </c:pt>
                <c:pt idx="994">
                  <c:v>43838</c:v>
                </c:pt>
                <c:pt idx="995">
                  <c:v>43839</c:v>
                </c:pt>
                <c:pt idx="996">
                  <c:v>43840</c:v>
                </c:pt>
                <c:pt idx="997">
                  <c:v>43843</c:v>
                </c:pt>
                <c:pt idx="998">
                  <c:v>43844</c:v>
                </c:pt>
                <c:pt idx="999">
                  <c:v>43845</c:v>
                </c:pt>
                <c:pt idx="1000">
                  <c:v>43846</c:v>
                </c:pt>
                <c:pt idx="1001">
                  <c:v>43847</c:v>
                </c:pt>
                <c:pt idx="1002">
                  <c:v>43850</c:v>
                </c:pt>
                <c:pt idx="1003">
                  <c:v>43851</c:v>
                </c:pt>
                <c:pt idx="1004">
                  <c:v>43852</c:v>
                </c:pt>
                <c:pt idx="1005">
                  <c:v>43853</c:v>
                </c:pt>
                <c:pt idx="1006">
                  <c:v>43854</c:v>
                </c:pt>
                <c:pt idx="1007">
                  <c:v>43857</c:v>
                </c:pt>
                <c:pt idx="1008">
                  <c:v>43858</c:v>
                </c:pt>
                <c:pt idx="1009">
                  <c:v>43859</c:v>
                </c:pt>
                <c:pt idx="1010">
                  <c:v>43860</c:v>
                </c:pt>
                <c:pt idx="1011">
                  <c:v>43861</c:v>
                </c:pt>
                <c:pt idx="1012">
                  <c:v>43864</c:v>
                </c:pt>
                <c:pt idx="1013">
                  <c:v>43865</c:v>
                </c:pt>
                <c:pt idx="1014">
                  <c:v>43866</c:v>
                </c:pt>
                <c:pt idx="1015">
                  <c:v>43867</c:v>
                </c:pt>
                <c:pt idx="1016">
                  <c:v>43868</c:v>
                </c:pt>
                <c:pt idx="1017">
                  <c:v>43871</c:v>
                </c:pt>
                <c:pt idx="1018">
                  <c:v>43872</c:v>
                </c:pt>
                <c:pt idx="1019">
                  <c:v>43873</c:v>
                </c:pt>
                <c:pt idx="1020">
                  <c:v>43874</c:v>
                </c:pt>
                <c:pt idx="1021">
                  <c:v>43875</c:v>
                </c:pt>
                <c:pt idx="1022">
                  <c:v>43878</c:v>
                </c:pt>
                <c:pt idx="1023">
                  <c:v>43879</c:v>
                </c:pt>
                <c:pt idx="1024">
                  <c:v>43880</c:v>
                </c:pt>
                <c:pt idx="1025">
                  <c:v>43881</c:v>
                </c:pt>
                <c:pt idx="1026">
                  <c:v>43882</c:v>
                </c:pt>
                <c:pt idx="1027">
                  <c:v>43885</c:v>
                </c:pt>
                <c:pt idx="1028">
                  <c:v>43886</c:v>
                </c:pt>
                <c:pt idx="1029">
                  <c:v>43887</c:v>
                </c:pt>
                <c:pt idx="1030">
                  <c:v>43888</c:v>
                </c:pt>
                <c:pt idx="1031">
                  <c:v>43889</c:v>
                </c:pt>
                <c:pt idx="1032">
                  <c:v>43892</c:v>
                </c:pt>
                <c:pt idx="1033">
                  <c:v>43893</c:v>
                </c:pt>
                <c:pt idx="1034">
                  <c:v>43894</c:v>
                </c:pt>
                <c:pt idx="1035">
                  <c:v>43895</c:v>
                </c:pt>
                <c:pt idx="1036">
                  <c:v>43896</c:v>
                </c:pt>
                <c:pt idx="1037">
                  <c:v>43899</c:v>
                </c:pt>
                <c:pt idx="1038">
                  <c:v>43900</c:v>
                </c:pt>
                <c:pt idx="1039">
                  <c:v>43901</c:v>
                </c:pt>
                <c:pt idx="1040">
                  <c:v>43902</c:v>
                </c:pt>
                <c:pt idx="1041">
                  <c:v>43903</c:v>
                </c:pt>
                <c:pt idx="1042">
                  <c:v>43906</c:v>
                </c:pt>
                <c:pt idx="1043">
                  <c:v>43907</c:v>
                </c:pt>
                <c:pt idx="1044">
                  <c:v>43908</c:v>
                </c:pt>
                <c:pt idx="1045">
                  <c:v>43909</c:v>
                </c:pt>
                <c:pt idx="1046">
                  <c:v>43910</c:v>
                </c:pt>
                <c:pt idx="1047">
                  <c:v>43913</c:v>
                </c:pt>
                <c:pt idx="1048">
                  <c:v>43914</c:v>
                </c:pt>
                <c:pt idx="1049">
                  <c:v>43915</c:v>
                </c:pt>
                <c:pt idx="1050">
                  <c:v>43916</c:v>
                </c:pt>
                <c:pt idx="1051">
                  <c:v>43917</c:v>
                </c:pt>
                <c:pt idx="1052">
                  <c:v>43920</c:v>
                </c:pt>
                <c:pt idx="1053">
                  <c:v>43921</c:v>
                </c:pt>
                <c:pt idx="1054">
                  <c:v>43922</c:v>
                </c:pt>
                <c:pt idx="1055">
                  <c:v>43923</c:v>
                </c:pt>
                <c:pt idx="1056">
                  <c:v>43924</c:v>
                </c:pt>
                <c:pt idx="1057">
                  <c:v>43927</c:v>
                </c:pt>
                <c:pt idx="1058">
                  <c:v>43928</c:v>
                </c:pt>
                <c:pt idx="1059">
                  <c:v>43929</c:v>
                </c:pt>
                <c:pt idx="1060">
                  <c:v>43930</c:v>
                </c:pt>
                <c:pt idx="1061">
                  <c:v>43935</c:v>
                </c:pt>
                <c:pt idx="1062">
                  <c:v>43936</c:v>
                </c:pt>
                <c:pt idx="1063">
                  <c:v>43937</c:v>
                </c:pt>
                <c:pt idx="1064">
                  <c:v>43938</c:v>
                </c:pt>
                <c:pt idx="1065">
                  <c:v>43941</c:v>
                </c:pt>
                <c:pt idx="1066">
                  <c:v>43942</c:v>
                </c:pt>
                <c:pt idx="1067">
                  <c:v>43943</c:v>
                </c:pt>
                <c:pt idx="1068">
                  <c:v>43944</c:v>
                </c:pt>
                <c:pt idx="1069">
                  <c:v>43945</c:v>
                </c:pt>
                <c:pt idx="1070">
                  <c:v>43949</c:v>
                </c:pt>
                <c:pt idx="1071">
                  <c:v>43950</c:v>
                </c:pt>
                <c:pt idx="1072">
                  <c:v>43951</c:v>
                </c:pt>
                <c:pt idx="1073">
                  <c:v>43955</c:v>
                </c:pt>
                <c:pt idx="1074">
                  <c:v>43956</c:v>
                </c:pt>
                <c:pt idx="1075">
                  <c:v>43957</c:v>
                </c:pt>
                <c:pt idx="1076">
                  <c:v>43958</c:v>
                </c:pt>
                <c:pt idx="1077">
                  <c:v>43959</c:v>
                </c:pt>
                <c:pt idx="1078">
                  <c:v>43962</c:v>
                </c:pt>
                <c:pt idx="1079">
                  <c:v>43963</c:v>
                </c:pt>
                <c:pt idx="1080">
                  <c:v>43964</c:v>
                </c:pt>
                <c:pt idx="1081">
                  <c:v>43965</c:v>
                </c:pt>
                <c:pt idx="1082">
                  <c:v>43966</c:v>
                </c:pt>
                <c:pt idx="1083">
                  <c:v>43969</c:v>
                </c:pt>
                <c:pt idx="1084">
                  <c:v>43970</c:v>
                </c:pt>
                <c:pt idx="1085">
                  <c:v>43971</c:v>
                </c:pt>
                <c:pt idx="1086">
                  <c:v>43972</c:v>
                </c:pt>
                <c:pt idx="1087">
                  <c:v>43973</c:v>
                </c:pt>
                <c:pt idx="1088">
                  <c:v>43976</c:v>
                </c:pt>
                <c:pt idx="1089">
                  <c:v>43977</c:v>
                </c:pt>
                <c:pt idx="1090">
                  <c:v>43978</c:v>
                </c:pt>
                <c:pt idx="1091">
                  <c:v>43979</c:v>
                </c:pt>
                <c:pt idx="1092">
                  <c:v>43980</c:v>
                </c:pt>
                <c:pt idx="1093">
                  <c:v>43983</c:v>
                </c:pt>
                <c:pt idx="1094">
                  <c:v>43984</c:v>
                </c:pt>
                <c:pt idx="1095">
                  <c:v>43985</c:v>
                </c:pt>
                <c:pt idx="1096">
                  <c:v>43986</c:v>
                </c:pt>
                <c:pt idx="1097">
                  <c:v>43987</c:v>
                </c:pt>
                <c:pt idx="1098">
                  <c:v>43990</c:v>
                </c:pt>
                <c:pt idx="1099">
                  <c:v>43991</c:v>
                </c:pt>
                <c:pt idx="1100">
                  <c:v>43992</c:v>
                </c:pt>
                <c:pt idx="1101">
                  <c:v>43993</c:v>
                </c:pt>
                <c:pt idx="1102">
                  <c:v>43994</c:v>
                </c:pt>
                <c:pt idx="1103">
                  <c:v>43997</c:v>
                </c:pt>
                <c:pt idx="1104">
                  <c:v>43999</c:v>
                </c:pt>
                <c:pt idx="1105">
                  <c:v>44000</c:v>
                </c:pt>
                <c:pt idx="1106">
                  <c:v>44001</c:v>
                </c:pt>
                <c:pt idx="1107">
                  <c:v>44004</c:v>
                </c:pt>
                <c:pt idx="1108">
                  <c:v>44005</c:v>
                </c:pt>
                <c:pt idx="1109">
                  <c:v>44006</c:v>
                </c:pt>
                <c:pt idx="1110">
                  <c:v>44007</c:v>
                </c:pt>
                <c:pt idx="1111">
                  <c:v>44008</c:v>
                </c:pt>
                <c:pt idx="1112">
                  <c:v>44011</c:v>
                </c:pt>
                <c:pt idx="1113">
                  <c:v>44012</c:v>
                </c:pt>
                <c:pt idx="1114">
                  <c:v>44013</c:v>
                </c:pt>
                <c:pt idx="1115">
                  <c:v>44014</c:v>
                </c:pt>
                <c:pt idx="1116">
                  <c:v>44015</c:v>
                </c:pt>
                <c:pt idx="1117">
                  <c:v>44018</c:v>
                </c:pt>
                <c:pt idx="1118">
                  <c:v>44019</c:v>
                </c:pt>
                <c:pt idx="1119">
                  <c:v>44020</c:v>
                </c:pt>
                <c:pt idx="1120">
                  <c:v>44021</c:v>
                </c:pt>
                <c:pt idx="1121">
                  <c:v>44022</c:v>
                </c:pt>
                <c:pt idx="1122">
                  <c:v>44025</c:v>
                </c:pt>
                <c:pt idx="1123">
                  <c:v>44026</c:v>
                </c:pt>
                <c:pt idx="1124">
                  <c:v>44027</c:v>
                </c:pt>
                <c:pt idx="1125">
                  <c:v>44028</c:v>
                </c:pt>
                <c:pt idx="1126">
                  <c:v>44029</c:v>
                </c:pt>
                <c:pt idx="1127">
                  <c:v>44032</c:v>
                </c:pt>
                <c:pt idx="1128">
                  <c:v>44033</c:v>
                </c:pt>
                <c:pt idx="1129">
                  <c:v>44034</c:v>
                </c:pt>
                <c:pt idx="1130">
                  <c:v>44035</c:v>
                </c:pt>
                <c:pt idx="1131">
                  <c:v>44036</c:v>
                </c:pt>
                <c:pt idx="1132">
                  <c:v>44039</c:v>
                </c:pt>
                <c:pt idx="1133">
                  <c:v>44040</c:v>
                </c:pt>
                <c:pt idx="1134">
                  <c:v>44041</c:v>
                </c:pt>
                <c:pt idx="1135">
                  <c:v>44042</c:v>
                </c:pt>
                <c:pt idx="1136">
                  <c:v>44043</c:v>
                </c:pt>
                <c:pt idx="1137">
                  <c:v>44046</c:v>
                </c:pt>
                <c:pt idx="1138">
                  <c:v>44047</c:v>
                </c:pt>
                <c:pt idx="1139">
                  <c:v>44048</c:v>
                </c:pt>
                <c:pt idx="1140">
                  <c:v>44049</c:v>
                </c:pt>
                <c:pt idx="1141">
                  <c:v>44050</c:v>
                </c:pt>
                <c:pt idx="1142">
                  <c:v>44054</c:v>
                </c:pt>
                <c:pt idx="1143">
                  <c:v>44055</c:v>
                </c:pt>
                <c:pt idx="1144">
                  <c:v>44056</c:v>
                </c:pt>
                <c:pt idx="1145">
                  <c:v>44057</c:v>
                </c:pt>
                <c:pt idx="1146">
                  <c:v>44060</c:v>
                </c:pt>
                <c:pt idx="1147">
                  <c:v>44061</c:v>
                </c:pt>
                <c:pt idx="1148">
                  <c:v>44062</c:v>
                </c:pt>
                <c:pt idx="1149">
                  <c:v>44063</c:v>
                </c:pt>
                <c:pt idx="1150">
                  <c:v>44064</c:v>
                </c:pt>
                <c:pt idx="1151">
                  <c:v>44067</c:v>
                </c:pt>
                <c:pt idx="1152">
                  <c:v>44068</c:v>
                </c:pt>
                <c:pt idx="1153">
                  <c:v>44069</c:v>
                </c:pt>
                <c:pt idx="1154">
                  <c:v>44070</c:v>
                </c:pt>
                <c:pt idx="1155">
                  <c:v>44071</c:v>
                </c:pt>
                <c:pt idx="1156">
                  <c:v>44074</c:v>
                </c:pt>
                <c:pt idx="1157">
                  <c:v>44075</c:v>
                </c:pt>
                <c:pt idx="1158">
                  <c:v>44076</c:v>
                </c:pt>
                <c:pt idx="1159">
                  <c:v>44077</c:v>
                </c:pt>
                <c:pt idx="1160">
                  <c:v>44078</c:v>
                </c:pt>
                <c:pt idx="1161">
                  <c:v>44081</c:v>
                </c:pt>
                <c:pt idx="1162">
                  <c:v>44082</c:v>
                </c:pt>
                <c:pt idx="1163">
                  <c:v>44083</c:v>
                </c:pt>
                <c:pt idx="1164">
                  <c:v>44084</c:v>
                </c:pt>
                <c:pt idx="1165">
                  <c:v>44085</c:v>
                </c:pt>
                <c:pt idx="1166">
                  <c:v>44088</c:v>
                </c:pt>
                <c:pt idx="1167">
                  <c:v>44089</c:v>
                </c:pt>
                <c:pt idx="1168">
                  <c:v>44090</c:v>
                </c:pt>
                <c:pt idx="1169">
                  <c:v>44091</c:v>
                </c:pt>
                <c:pt idx="1170">
                  <c:v>44092</c:v>
                </c:pt>
                <c:pt idx="1171">
                  <c:v>44095</c:v>
                </c:pt>
                <c:pt idx="1172">
                  <c:v>44096</c:v>
                </c:pt>
                <c:pt idx="1173">
                  <c:v>44097</c:v>
                </c:pt>
                <c:pt idx="1174">
                  <c:v>44099</c:v>
                </c:pt>
                <c:pt idx="1175">
                  <c:v>44102</c:v>
                </c:pt>
                <c:pt idx="1176">
                  <c:v>44103</c:v>
                </c:pt>
                <c:pt idx="1177">
                  <c:v>44104</c:v>
                </c:pt>
                <c:pt idx="1178">
                  <c:v>44105</c:v>
                </c:pt>
                <c:pt idx="1179">
                  <c:v>44106</c:v>
                </c:pt>
                <c:pt idx="1180">
                  <c:v>44109</c:v>
                </c:pt>
                <c:pt idx="1181">
                  <c:v>44110</c:v>
                </c:pt>
                <c:pt idx="1182">
                  <c:v>44111</c:v>
                </c:pt>
                <c:pt idx="1183">
                  <c:v>44112</c:v>
                </c:pt>
                <c:pt idx="1184">
                  <c:v>44113</c:v>
                </c:pt>
                <c:pt idx="1185">
                  <c:v>44116</c:v>
                </c:pt>
                <c:pt idx="1186">
                  <c:v>44117</c:v>
                </c:pt>
                <c:pt idx="1187">
                  <c:v>44118</c:v>
                </c:pt>
                <c:pt idx="1188">
                  <c:v>44119</c:v>
                </c:pt>
                <c:pt idx="1189">
                  <c:v>44120</c:v>
                </c:pt>
                <c:pt idx="1190">
                  <c:v>44123</c:v>
                </c:pt>
                <c:pt idx="1191">
                  <c:v>44124</c:v>
                </c:pt>
                <c:pt idx="1192">
                  <c:v>44125</c:v>
                </c:pt>
                <c:pt idx="1193">
                  <c:v>44126</c:v>
                </c:pt>
                <c:pt idx="1194">
                  <c:v>44127</c:v>
                </c:pt>
                <c:pt idx="1195">
                  <c:v>44130</c:v>
                </c:pt>
                <c:pt idx="1196">
                  <c:v>44131</c:v>
                </c:pt>
                <c:pt idx="1197">
                  <c:v>44132</c:v>
                </c:pt>
                <c:pt idx="1198">
                  <c:v>44133</c:v>
                </c:pt>
                <c:pt idx="1199">
                  <c:v>44134</c:v>
                </c:pt>
                <c:pt idx="1200">
                  <c:v>44137</c:v>
                </c:pt>
                <c:pt idx="1201">
                  <c:v>44138</c:v>
                </c:pt>
                <c:pt idx="1202">
                  <c:v>44139</c:v>
                </c:pt>
                <c:pt idx="1203">
                  <c:v>44140</c:v>
                </c:pt>
                <c:pt idx="1204">
                  <c:v>44141</c:v>
                </c:pt>
                <c:pt idx="1205">
                  <c:v>44144</c:v>
                </c:pt>
                <c:pt idx="1206">
                  <c:v>44145</c:v>
                </c:pt>
                <c:pt idx="1207">
                  <c:v>44146</c:v>
                </c:pt>
                <c:pt idx="1208">
                  <c:v>44147</c:v>
                </c:pt>
                <c:pt idx="1209">
                  <c:v>44148</c:v>
                </c:pt>
                <c:pt idx="1210">
                  <c:v>44151</c:v>
                </c:pt>
                <c:pt idx="1211">
                  <c:v>44152</c:v>
                </c:pt>
                <c:pt idx="1212">
                  <c:v>44153</c:v>
                </c:pt>
                <c:pt idx="1213">
                  <c:v>44154</c:v>
                </c:pt>
                <c:pt idx="1214">
                  <c:v>44155</c:v>
                </c:pt>
                <c:pt idx="1215">
                  <c:v>44158</c:v>
                </c:pt>
                <c:pt idx="1216">
                  <c:v>44159</c:v>
                </c:pt>
                <c:pt idx="1217">
                  <c:v>44160</c:v>
                </c:pt>
                <c:pt idx="1218">
                  <c:v>44161</c:v>
                </c:pt>
                <c:pt idx="1219">
                  <c:v>44162</c:v>
                </c:pt>
                <c:pt idx="1220">
                  <c:v>44165</c:v>
                </c:pt>
                <c:pt idx="1221">
                  <c:v>44166</c:v>
                </c:pt>
                <c:pt idx="1222">
                  <c:v>44167</c:v>
                </c:pt>
                <c:pt idx="1223">
                  <c:v>44168</c:v>
                </c:pt>
                <c:pt idx="1224">
                  <c:v>44169</c:v>
                </c:pt>
                <c:pt idx="1225">
                  <c:v>44172</c:v>
                </c:pt>
                <c:pt idx="1226">
                  <c:v>44173</c:v>
                </c:pt>
                <c:pt idx="1227">
                  <c:v>44174</c:v>
                </c:pt>
                <c:pt idx="1228">
                  <c:v>44175</c:v>
                </c:pt>
                <c:pt idx="1229">
                  <c:v>44176</c:v>
                </c:pt>
                <c:pt idx="1230">
                  <c:v>44179</c:v>
                </c:pt>
                <c:pt idx="1231">
                  <c:v>44180</c:v>
                </c:pt>
                <c:pt idx="1232">
                  <c:v>44182</c:v>
                </c:pt>
                <c:pt idx="1233">
                  <c:v>44183</c:v>
                </c:pt>
                <c:pt idx="1234">
                  <c:v>44186</c:v>
                </c:pt>
                <c:pt idx="1235">
                  <c:v>44187</c:v>
                </c:pt>
                <c:pt idx="1236">
                  <c:v>44188</c:v>
                </c:pt>
                <c:pt idx="1237">
                  <c:v>44189</c:v>
                </c:pt>
                <c:pt idx="1238">
                  <c:v>44193</c:v>
                </c:pt>
                <c:pt idx="1239">
                  <c:v>44194</c:v>
                </c:pt>
                <c:pt idx="1240">
                  <c:v>44195</c:v>
                </c:pt>
                <c:pt idx="1241">
                  <c:v>44196</c:v>
                </c:pt>
                <c:pt idx="1242">
                  <c:v>44200</c:v>
                </c:pt>
                <c:pt idx="1243">
                  <c:v>44201</c:v>
                </c:pt>
                <c:pt idx="1244">
                  <c:v>44202</c:v>
                </c:pt>
                <c:pt idx="1245">
                  <c:v>44203</c:v>
                </c:pt>
                <c:pt idx="1246">
                  <c:v>44204</c:v>
                </c:pt>
                <c:pt idx="1247">
                  <c:v>44207</c:v>
                </c:pt>
                <c:pt idx="1248">
                  <c:v>44208</c:v>
                </c:pt>
                <c:pt idx="1249">
                  <c:v>44209</c:v>
                </c:pt>
                <c:pt idx="1250">
                  <c:v>44210</c:v>
                </c:pt>
                <c:pt idx="1251">
                  <c:v>44211</c:v>
                </c:pt>
                <c:pt idx="1252">
                  <c:v>44214</c:v>
                </c:pt>
                <c:pt idx="1253">
                  <c:v>44215</c:v>
                </c:pt>
                <c:pt idx="1254">
                  <c:v>44216</c:v>
                </c:pt>
                <c:pt idx="1255">
                  <c:v>44217</c:v>
                </c:pt>
                <c:pt idx="1256">
                  <c:v>44218</c:v>
                </c:pt>
                <c:pt idx="1257">
                  <c:v>44221</c:v>
                </c:pt>
                <c:pt idx="1258">
                  <c:v>44222</c:v>
                </c:pt>
                <c:pt idx="1259">
                  <c:v>44223</c:v>
                </c:pt>
                <c:pt idx="1260">
                  <c:v>44224</c:v>
                </c:pt>
                <c:pt idx="1261">
                  <c:v>44225</c:v>
                </c:pt>
                <c:pt idx="1262">
                  <c:v>44228</c:v>
                </c:pt>
                <c:pt idx="1263">
                  <c:v>44229</c:v>
                </c:pt>
                <c:pt idx="1264">
                  <c:v>44230</c:v>
                </c:pt>
                <c:pt idx="1265">
                  <c:v>44231</c:v>
                </c:pt>
                <c:pt idx="1266">
                  <c:v>44232</c:v>
                </c:pt>
                <c:pt idx="1267">
                  <c:v>44235</c:v>
                </c:pt>
                <c:pt idx="1268">
                  <c:v>44236</c:v>
                </c:pt>
                <c:pt idx="1269">
                  <c:v>44237</c:v>
                </c:pt>
                <c:pt idx="1270">
                  <c:v>44238</c:v>
                </c:pt>
                <c:pt idx="1271">
                  <c:v>44239</c:v>
                </c:pt>
                <c:pt idx="1272">
                  <c:v>44242</c:v>
                </c:pt>
                <c:pt idx="1273">
                  <c:v>44243</c:v>
                </c:pt>
                <c:pt idx="1274">
                  <c:v>44244</c:v>
                </c:pt>
                <c:pt idx="1275">
                  <c:v>44245</c:v>
                </c:pt>
                <c:pt idx="1276">
                  <c:v>44246</c:v>
                </c:pt>
                <c:pt idx="1277">
                  <c:v>44249</c:v>
                </c:pt>
                <c:pt idx="1278">
                  <c:v>44250</c:v>
                </c:pt>
                <c:pt idx="1279">
                  <c:v>44251</c:v>
                </c:pt>
                <c:pt idx="1280">
                  <c:v>44252</c:v>
                </c:pt>
                <c:pt idx="1281">
                  <c:v>44253</c:v>
                </c:pt>
                <c:pt idx="1282">
                  <c:v>44256</c:v>
                </c:pt>
                <c:pt idx="1283">
                  <c:v>44257</c:v>
                </c:pt>
                <c:pt idx="1284">
                  <c:v>44258</c:v>
                </c:pt>
                <c:pt idx="1285">
                  <c:v>44259</c:v>
                </c:pt>
                <c:pt idx="1286">
                  <c:v>44260</c:v>
                </c:pt>
                <c:pt idx="1287">
                  <c:v>44263</c:v>
                </c:pt>
                <c:pt idx="1288">
                  <c:v>44264</c:v>
                </c:pt>
                <c:pt idx="1289">
                  <c:v>44265</c:v>
                </c:pt>
                <c:pt idx="1290">
                  <c:v>44266</c:v>
                </c:pt>
                <c:pt idx="1291">
                  <c:v>44267</c:v>
                </c:pt>
                <c:pt idx="1292">
                  <c:v>44270</c:v>
                </c:pt>
                <c:pt idx="1293">
                  <c:v>44271</c:v>
                </c:pt>
                <c:pt idx="1294">
                  <c:v>44272</c:v>
                </c:pt>
                <c:pt idx="1295">
                  <c:v>44273</c:v>
                </c:pt>
                <c:pt idx="1296">
                  <c:v>44274</c:v>
                </c:pt>
                <c:pt idx="1297">
                  <c:v>44278</c:v>
                </c:pt>
                <c:pt idx="1298">
                  <c:v>44279</c:v>
                </c:pt>
                <c:pt idx="1299">
                  <c:v>44280</c:v>
                </c:pt>
                <c:pt idx="1300">
                  <c:v>44281</c:v>
                </c:pt>
                <c:pt idx="1301">
                  <c:v>44284</c:v>
                </c:pt>
                <c:pt idx="1302">
                  <c:v>44285</c:v>
                </c:pt>
                <c:pt idx="1303">
                  <c:v>44286</c:v>
                </c:pt>
                <c:pt idx="1304">
                  <c:v>44287</c:v>
                </c:pt>
                <c:pt idx="1305">
                  <c:v>44292</c:v>
                </c:pt>
                <c:pt idx="1306">
                  <c:v>44293</c:v>
                </c:pt>
                <c:pt idx="1307">
                  <c:v>44294</c:v>
                </c:pt>
                <c:pt idx="1308">
                  <c:v>44295</c:v>
                </c:pt>
                <c:pt idx="1309">
                  <c:v>44298</c:v>
                </c:pt>
                <c:pt idx="1310">
                  <c:v>44299</c:v>
                </c:pt>
                <c:pt idx="1311">
                  <c:v>44300</c:v>
                </c:pt>
                <c:pt idx="1312">
                  <c:v>44301</c:v>
                </c:pt>
                <c:pt idx="1313">
                  <c:v>44302</c:v>
                </c:pt>
                <c:pt idx="1314">
                  <c:v>44305</c:v>
                </c:pt>
                <c:pt idx="1315">
                  <c:v>44306</c:v>
                </c:pt>
                <c:pt idx="1316">
                  <c:v>44307</c:v>
                </c:pt>
                <c:pt idx="1317">
                  <c:v>44308</c:v>
                </c:pt>
                <c:pt idx="1318">
                  <c:v>44309</c:v>
                </c:pt>
                <c:pt idx="1319">
                  <c:v>44312</c:v>
                </c:pt>
                <c:pt idx="1320">
                  <c:v>44314</c:v>
                </c:pt>
                <c:pt idx="1321">
                  <c:v>44315</c:v>
                </c:pt>
                <c:pt idx="1322">
                  <c:v>44316</c:v>
                </c:pt>
                <c:pt idx="1323">
                  <c:v>44319</c:v>
                </c:pt>
                <c:pt idx="1324">
                  <c:v>44320</c:v>
                </c:pt>
                <c:pt idx="1325">
                  <c:v>44321</c:v>
                </c:pt>
                <c:pt idx="1326">
                  <c:v>44322</c:v>
                </c:pt>
                <c:pt idx="1327">
                  <c:v>44323</c:v>
                </c:pt>
                <c:pt idx="1328">
                  <c:v>44326</c:v>
                </c:pt>
                <c:pt idx="1329">
                  <c:v>44327</c:v>
                </c:pt>
                <c:pt idx="1330">
                  <c:v>44328</c:v>
                </c:pt>
                <c:pt idx="1331">
                  <c:v>44329</c:v>
                </c:pt>
                <c:pt idx="1332">
                  <c:v>44330</c:v>
                </c:pt>
                <c:pt idx="1333">
                  <c:v>44333</c:v>
                </c:pt>
                <c:pt idx="1334">
                  <c:v>44334</c:v>
                </c:pt>
                <c:pt idx="1335">
                  <c:v>44335</c:v>
                </c:pt>
                <c:pt idx="1336">
                  <c:v>44336</c:v>
                </c:pt>
                <c:pt idx="1337">
                  <c:v>44337</c:v>
                </c:pt>
                <c:pt idx="1338">
                  <c:v>44340</c:v>
                </c:pt>
                <c:pt idx="1339">
                  <c:v>44341</c:v>
                </c:pt>
                <c:pt idx="1340">
                  <c:v>44342</c:v>
                </c:pt>
                <c:pt idx="1341">
                  <c:v>44343</c:v>
                </c:pt>
                <c:pt idx="1342">
                  <c:v>44344</c:v>
                </c:pt>
                <c:pt idx="1343">
                  <c:v>44347</c:v>
                </c:pt>
                <c:pt idx="1344">
                  <c:v>44348</c:v>
                </c:pt>
                <c:pt idx="1345">
                  <c:v>44349</c:v>
                </c:pt>
                <c:pt idx="1346">
                  <c:v>44350</c:v>
                </c:pt>
                <c:pt idx="1347">
                  <c:v>44351</c:v>
                </c:pt>
                <c:pt idx="1348">
                  <c:v>44354</c:v>
                </c:pt>
                <c:pt idx="1349">
                  <c:v>44355</c:v>
                </c:pt>
                <c:pt idx="1350">
                  <c:v>44356</c:v>
                </c:pt>
                <c:pt idx="1351">
                  <c:v>44357</c:v>
                </c:pt>
                <c:pt idx="1352">
                  <c:v>44358</c:v>
                </c:pt>
                <c:pt idx="1353">
                  <c:v>44361</c:v>
                </c:pt>
                <c:pt idx="1354">
                  <c:v>44362</c:v>
                </c:pt>
                <c:pt idx="1355">
                  <c:v>44364</c:v>
                </c:pt>
                <c:pt idx="1356">
                  <c:v>44365</c:v>
                </c:pt>
                <c:pt idx="1357">
                  <c:v>44368</c:v>
                </c:pt>
                <c:pt idx="1358">
                  <c:v>44369</c:v>
                </c:pt>
                <c:pt idx="1359">
                  <c:v>44370</c:v>
                </c:pt>
                <c:pt idx="1360">
                  <c:v>44371</c:v>
                </c:pt>
                <c:pt idx="1361">
                  <c:v>44372</c:v>
                </c:pt>
                <c:pt idx="1362">
                  <c:v>44375</c:v>
                </c:pt>
                <c:pt idx="1363">
                  <c:v>44376</c:v>
                </c:pt>
                <c:pt idx="1364">
                  <c:v>44377</c:v>
                </c:pt>
                <c:pt idx="1365">
                  <c:v>44378</c:v>
                </c:pt>
                <c:pt idx="1366">
                  <c:v>44379</c:v>
                </c:pt>
                <c:pt idx="1367">
                  <c:v>44382</c:v>
                </c:pt>
                <c:pt idx="1368">
                  <c:v>44383</c:v>
                </c:pt>
                <c:pt idx="1369">
                  <c:v>44384</c:v>
                </c:pt>
                <c:pt idx="1370">
                  <c:v>44385</c:v>
                </c:pt>
                <c:pt idx="1371">
                  <c:v>44386</c:v>
                </c:pt>
                <c:pt idx="1372">
                  <c:v>44389</c:v>
                </c:pt>
                <c:pt idx="1373">
                  <c:v>44390</c:v>
                </c:pt>
                <c:pt idx="1374">
                  <c:v>44391</c:v>
                </c:pt>
                <c:pt idx="1375">
                  <c:v>44392</c:v>
                </c:pt>
                <c:pt idx="1376">
                  <c:v>44393</c:v>
                </c:pt>
                <c:pt idx="1377">
                  <c:v>44396</c:v>
                </c:pt>
                <c:pt idx="1378">
                  <c:v>44397</c:v>
                </c:pt>
                <c:pt idx="1379">
                  <c:v>44398</c:v>
                </c:pt>
                <c:pt idx="1380">
                  <c:v>44399</c:v>
                </c:pt>
                <c:pt idx="1381">
                  <c:v>44400</c:v>
                </c:pt>
                <c:pt idx="1382">
                  <c:v>44403</c:v>
                </c:pt>
                <c:pt idx="1383">
                  <c:v>44404</c:v>
                </c:pt>
                <c:pt idx="1384">
                  <c:v>44405</c:v>
                </c:pt>
                <c:pt idx="1385">
                  <c:v>44406</c:v>
                </c:pt>
                <c:pt idx="1386">
                  <c:v>44407</c:v>
                </c:pt>
                <c:pt idx="1387">
                  <c:v>44410</c:v>
                </c:pt>
                <c:pt idx="1388">
                  <c:v>44411</c:v>
                </c:pt>
                <c:pt idx="1389">
                  <c:v>44412</c:v>
                </c:pt>
                <c:pt idx="1390">
                  <c:v>44413</c:v>
                </c:pt>
                <c:pt idx="1391">
                  <c:v>44414</c:v>
                </c:pt>
                <c:pt idx="1392">
                  <c:v>44418</c:v>
                </c:pt>
                <c:pt idx="1393">
                  <c:v>44419</c:v>
                </c:pt>
                <c:pt idx="1394">
                  <c:v>44420</c:v>
                </c:pt>
                <c:pt idx="1395">
                  <c:v>44421</c:v>
                </c:pt>
                <c:pt idx="1396">
                  <c:v>44424</c:v>
                </c:pt>
                <c:pt idx="1397">
                  <c:v>44425</c:v>
                </c:pt>
                <c:pt idx="1398">
                  <c:v>44426</c:v>
                </c:pt>
                <c:pt idx="1399">
                  <c:v>44427</c:v>
                </c:pt>
                <c:pt idx="1400">
                  <c:v>44428</c:v>
                </c:pt>
                <c:pt idx="1401">
                  <c:v>44431</c:v>
                </c:pt>
                <c:pt idx="1402">
                  <c:v>44432</c:v>
                </c:pt>
                <c:pt idx="1403">
                  <c:v>44433</c:v>
                </c:pt>
                <c:pt idx="1404">
                  <c:v>44434</c:v>
                </c:pt>
                <c:pt idx="1405">
                  <c:v>44435</c:v>
                </c:pt>
                <c:pt idx="1406">
                  <c:v>44438</c:v>
                </c:pt>
                <c:pt idx="1407">
                  <c:v>44439</c:v>
                </c:pt>
                <c:pt idx="1408">
                  <c:v>44440</c:v>
                </c:pt>
                <c:pt idx="1409">
                  <c:v>44441</c:v>
                </c:pt>
                <c:pt idx="1410">
                  <c:v>44442</c:v>
                </c:pt>
                <c:pt idx="1411">
                  <c:v>44445</c:v>
                </c:pt>
                <c:pt idx="1412">
                  <c:v>44446</c:v>
                </c:pt>
                <c:pt idx="1413">
                  <c:v>44447</c:v>
                </c:pt>
                <c:pt idx="1414">
                  <c:v>44448</c:v>
                </c:pt>
                <c:pt idx="1415">
                  <c:v>44449</c:v>
                </c:pt>
                <c:pt idx="1416">
                  <c:v>44452</c:v>
                </c:pt>
                <c:pt idx="1417">
                  <c:v>44453</c:v>
                </c:pt>
                <c:pt idx="1418">
                  <c:v>44454</c:v>
                </c:pt>
                <c:pt idx="1419">
                  <c:v>44455</c:v>
                </c:pt>
                <c:pt idx="1420">
                  <c:v>44456</c:v>
                </c:pt>
                <c:pt idx="1421">
                  <c:v>44459</c:v>
                </c:pt>
                <c:pt idx="1422">
                  <c:v>44460</c:v>
                </c:pt>
                <c:pt idx="1423">
                  <c:v>44461</c:v>
                </c:pt>
                <c:pt idx="1424">
                  <c:v>44462</c:v>
                </c:pt>
                <c:pt idx="1425">
                  <c:v>44466</c:v>
                </c:pt>
                <c:pt idx="1426">
                  <c:v>44467</c:v>
                </c:pt>
                <c:pt idx="1427">
                  <c:v>44468</c:v>
                </c:pt>
                <c:pt idx="1428">
                  <c:v>44469</c:v>
                </c:pt>
                <c:pt idx="1429">
                  <c:v>44470</c:v>
                </c:pt>
                <c:pt idx="1430">
                  <c:v>44473</c:v>
                </c:pt>
                <c:pt idx="1431">
                  <c:v>44474</c:v>
                </c:pt>
                <c:pt idx="1432">
                  <c:v>44475</c:v>
                </c:pt>
                <c:pt idx="1433">
                  <c:v>44476</c:v>
                </c:pt>
                <c:pt idx="1434">
                  <c:v>44477</c:v>
                </c:pt>
                <c:pt idx="1435">
                  <c:v>44480</c:v>
                </c:pt>
                <c:pt idx="1436">
                  <c:v>44481</c:v>
                </c:pt>
                <c:pt idx="1437">
                  <c:v>44482</c:v>
                </c:pt>
                <c:pt idx="1438">
                  <c:v>44483</c:v>
                </c:pt>
                <c:pt idx="1439">
                  <c:v>44484</c:v>
                </c:pt>
                <c:pt idx="1440">
                  <c:v>44487</c:v>
                </c:pt>
                <c:pt idx="1441">
                  <c:v>44488</c:v>
                </c:pt>
                <c:pt idx="1442">
                  <c:v>44489</c:v>
                </c:pt>
                <c:pt idx="1443">
                  <c:v>44490</c:v>
                </c:pt>
                <c:pt idx="1444">
                  <c:v>44491</c:v>
                </c:pt>
                <c:pt idx="1445">
                  <c:v>44494</c:v>
                </c:pt>
                <c:pt idx="1446">
                  <c:v>44495</c:v>
                </c:pt>
                <c:pt idx="1447">
                  <c:v>44496</c:v>
                </c:pt>
                <c:pt idx="1448">
                  <c:v>44497</c:v>
                </c:pt>
                <c:pt idx="1449">
                  <c:v>44498</c:v>
                </c:pt>
                <c:pt idx="1450">
                  <c:v>44502</c:v>
                </c:pt>
                <c:pt idx="1451">
                  <c:v>44503</c:v>
                </c:pt>
                <c:pt idx="1452">
                  <c:v>44504</c:v>
                </c:pt>
                <c:pt idx="1453">
                  <c:v>44505</c:v>
                </c:pt>
                <c:pt idx="1454">
                  <c:v>44508</c:v>
                </c:pt>
                <c:pt idx="1455">
                  <c:v>44509</c:v>
                </c:pt>
                <c:pt idx="1456">
                  <c:v>44510</c:v>
                </c:pt>
                <c:pt idx="1457">
                  <c:v>44511</c:v>
                </c:pt>
                <c:pt idx="1458">
                  <c:v>44512</c:v>
                </c:pt>
                <c:pt idx="1459">
                  <c:v>44515</c:v>
                </c:pt>
                <c:pt idx="1460">
                  <c:v>44516</c:v>
                </c:pt>
                <c:pt idx="1461">
                  <c:v>44517</c:v>
                </c:pt>
                <c:pt idx="1462">
                  <c:v>44518</c:v>
                </c:pt>
                <c:pt idx="1463">
                  <c:v>44519</c:v>
                </c:pt>
                <c:pt idx="1464">
                  <c:v>44522</c:v>
                </c:pt>
                <c:pt idx="1465">
                  <c:v>44523</c:v>
                </c:pt>
                <c:pt idx="1466">
                  <c:v>44524</c:v>
                </c:pt>
                <c:pt idx="1467">
                  <c:v>44525</c:v>
                </c:pt>
                <c:pt idx="1468">
                  <c:v>44526</c:v>
                </c:pt>
                <c:pt idx="1469">
                  <c:v>44529</c:v>
                </c:pt>
                <c:pt idx="1470">
                  <c:v>44530</c:v>
                </c:pt>
                <c:pt idx="1471">
                  <c:v>44531</c:v>
                </c:pt>
                <c:pt idx="1472">
                  <c:v>44532</c:v>
                </c:pt>
                <c:pt idx="1473">
                  <c:v>44533</c:v>
                </c:pt>
                <c:pt idx="1474">
                  <c:v>44536</c:v>
                </c:pt>
                <c:pt idx="1475">
                  <c:v>44537</c:v>
                </c:pt>
                <c:pt idx="1476">
                  <c:v>44538</c:v>
                </c:pt>
                <c:pt idx="1477">
                  <c:v>44539</c:v>
                </c:pt>
                <c:pt idx="1478">
                  <c:v>44540</c:v>
                </c:pt>
                <c:pt idx="1479">
                  <c:v>44543</c:v>
                </c:pt>
                <c:pt idx="1480">
                  <c:v>44544</c:v>
                </c:pt>
                <c:pt idx="1481">
                  <c:v>44545</c:v>
                </c:pt>
                <c:pt idx="1482">
                  <c:v>44547</c:v>
                </c:pt>
                <c:pt idx="1483">
                  <c:v>44550</c:v>
                </c:pt>
                <c:pt idx="1484">
                  <c:v>44551</c:v>
                </c:pt>
                <c:pt idx="1485">
                  <c:v>44552</c:v>
                </c:pt>
                <c:pt idx="1486">
                  <c:v>44553</c:v>
                </c:pt>
                <c:pt idx="1487">
                  <c:v>44554</c:v>
                </c:pt>
                <c:pt idx="1488">
                  <c:v>44558</c:v>
                </c:pt>
                <c:pt idx="1489">
                  <c:v>44559</c:v>
                </c:pt>
                <c:pt idx="1490">
                  <c:v>44560</c:v>
                </c:pt>
                <c:pt idx="1491">
                  <c:v>44561</c:v>
                </c:pt>
                <c:pt idx="1492">
                  <c:v>44564</c:v>
                </c:pt>
                <c:pt idx="1493">
                  <c:v>44565</c:v>
                </c:pt>
                <c:pt idx="1494">
                  <c:v>44566</c:v>
                </c:pt>
                <c:pt idx="1495">
                  <c:v>44567</c:v>
                </c:pt>
                <c:pt idx="1496">
                  <c:v>44568</c:v>
                </c:pt>
                <c:pt idx="1497">
                  <c:v>44571</c:v>
                </c:pt>
                <c:pt idx="1498">
                  <c:v>44572</c:v>
                </c:pt>
                <c:pt idx="1499">
                  <c:v>44573</c:v>
                </c:pt>
                <c:pt idx="1500">
                  <c:v>44574</c:v>
                </c:pt>
                <c:pt idx="1501">
                  <c:v>44575</c:v>
                </c:pt>
                <c:pt idx="1502">
                  <c:v>44578</c:v>
                </c:pt>
                <c:pt idx="1503">
                  <c:v>44579</c:v>
                </c:pt>
                <c:pt idx="1504">
                  <c:v>44580</c:v>
                </c:pt>
                <c:pt idx="1505">
                  <c:v>44581</c:v>
                </c:pt>
                <c:pt idx="1506">
                  <c:v>44582</c:v>
                </c:pt>
                <c:pt idx="1507">
                  <c:v>44585</c:v>
                </c:pt>
                <c:pt idx="1508">
                  <c:v>44586</c:v>
                </c:pt>
                <c:pt idx="1509">
                  <c:v>44587</c:v>
                </c:pt>
                <c:pt idx="1510">
                  <c:v>44588</c:v>
                </c:pt>
                <c:pt idx="1511">
                  <c:v>44589</c:v>
                </c:pt>
                <c:pt idx="1512">
                  <c:v>44592</c:v>
                </c:pt>
                <c:pt idx="1513">
                  <c:v>44593</c:v>
                </c:pt>
                <c:pt idx="1514">
                  <c:v>44594</c:v>
                </c:pt>
                <c:pt idx="1515">
                  <c:v>44595</c:v>
                </c:pt>
                <c:pt idx="1516">
                  <c:v>44596</c:v>
                </c:pt>
                <c:pt idx="1517">
                  <c:v>44599</c:v>
                </c:pt>
                <c:pt idx="1518">
                  <c:v>44600</c:v>
                </c:pt>
                <c:pt idx="1519">
                  <c:v>44601</c:v>
                </c:pt>
                <c:pt idx="1520">
                  <c:v>44602</c:v>
                </c:pt>
                <c:pt idx="1521">
                  <c:v>44603</c:v>
                </c:pt>
                <c:pt idx="1522">
                  <c:v>44606</c:v>
                </c:pt>
                <c:pt idx="1523">
                  <c:v>44607</c:v>
                </c:pt>
                <c:pt idx="1524">
                  <c:v>44608</c:v>
                </c:pt>
                <c:pt idx="1525">
                  <c:v>44609</c:v>
                </c:pt>
                <c:pt idx="1526">
                  <c:v>44610</c:v>
                </c:pt>
                <c:pt idx="1527">
                  <c:v>44613</c:v>
                </c:pt>
                <c:pt idx="1528">
                  <c:v>44614</c:v>
                </c:pt>
                <c:pt idx="1529">
                  <c:v>44615</c:v>
                </c:pt>
                <c:pt idx="1530">
                  <c:v>44616</c:v>
                </c:pt>
                <c:pt idx="1531">
                  <c:v>44617</c:v>
                </c:pt>
                <c:pt idx="1532">
                  <c:v>44620</c:v>
                </c:pt>
                <c:pt idx="1533">
                  <c:v>44621</c:v>
                </c:pt>
                <c:pt idx="1534">
                  <c:v>44622</c:v>
                </c:pt>
                <c:pt idx="1535">
                  <c:v>44623</c:v>
                </c:pt>
                <c:pt idx="1536">
                  <c:v>44624</c:v>
                </c:pt>
                <c:pt idx="1537">
                  <c:v>44627</c:v>
                </c:pt>
                <c:pt idx="1538">
                  <c:v>44628</c:v>
                </c:pt>
                <c:pt idx="1539">
                  <c:v>44629</c:v>
                </c:pt>
                <c:pt idx="1540">
                  <c:v>44630</c:v>
                </c:pt>
                <c:pt idx="1541">
                  <c:v>44631</c:v>
                </c:pt>
                <c:pt idx="1542">
                  <c:v>44634</c:v>
                </c:pt>
                <c:pt idx="1543">
                  <c:v>44635</c:v>
                </c:pt>
                <c:pt idx="1544">
                  <c:v>44636</c:v>
                </c:pt>
                <c:pt idx="1545">
                  <c:v>44637</c:v>
                </c:pt>
                <c:pt idx="1546">
                  <c:v>44638</c:v>
                </c:pt>
                <c:pt idx="1547">
                  <c:v>44642</c:v>
                </c:pt>
                <c:pt idx="1548">
                  <c:v>44643</c:v>
                </c:pt>
                <c:pt idx="1549">
                  <c:v>44644</c:v>
                </c:pt>
                <c:pt idx="1550">
                  <c:v>44645</c:v>
                </c:pt>
                <c:pt idx="1551">
                  <c:v>44648</c:v>
                </c:pt>
                <c:pt idx="1552">
                  <c:v>44649</c:v>
                </c:pt>
                <c:pt idx="1553">
                  <c:v>44650</c:v>
                </c:pt>
                <c:pt idx="1554">
                  <c:v>44651</c:v>
                </c:pt>
                <c:pt idx="1555">
                  <c:v>44652</c:v>
                </c:pt>
                <c:pt idx="1556">
                  <c:v>44655</c:v>
                </c:pt>
                <c:pt idx="1557">
                  <c:v>44656</c:v>
                </c:pt>
                <c:pt idx="1558">
                  <c:v>44657</c:v>
                </c:pt>
                <c:pt idx="1559">
                  <c:v>44658</c:v>
                </c:pt>
                <c:pt idx="1560">
                  <c:v>44659</c:v>
                </c:pt>
                <c:pt idx="1561">
                  <c:v>44662</c:v>
                </c:pt>
                <c:pt idx="1562">
                  <c:v>44663</c:v>
                </c:pt>
                <c:pt idx="1563">
                  <c:v>44664</c:v>
                </c:pt>
                <c:pt idx="1564">
                  <c:v>44665</c:v>
                </c:pt>
                <c:pt idx="1565">
                  <c:v>44670</c:v>
                </c:pt>
                <c:pt idx="1566">
                  <c:v>44671</c:v>
                </c:pt>
                <c:pt idx="1567">
                  <c:v>44672</c:v>
                </c:pt>
                <c:pt idx="1568">
                  <c:v>44673</c:v>
                </c:pt>
                <c:pt idx="1569">
                  <c:v>44676</c:v>
                </c:pt>
                <c:pt idx="1570">
                  <c:v>44677</c:v>
                </c:pt>
                <c:pt idx="1571">
                  <c:v>44679</c:v>
                </c:pt>
                <c:pt idx="1572">
                  <c:v>44680</c:v>
                </c:pt>
                <c:pt idx="1573">
                  <c:v>44684</c:v>
                </c:pt>
                <c:pt idx="1574">
                  <c:v>44685</c:v>
                </c:pt>
                <c:pt idx="1575">
                  <c:v>44686</c:v>
                </c:pt>
                <c:pt idx="1576">
                  <c:v>44687</c:v>
                </c:pt>
                <c:pt idx="1577">
                  <c:v>44690</c:v>
                </c:pt>
                <c:pt idx="1578">
                  <c:v>44691</c:v>
                </c:pt>
                <c:pt idx="1579">
                  <c:v>44692</c:v>
                </c:pt>
                <c:pt idx="1580">
                  <c:v>44693</c:v>
                </c:pt>
                <c:pt idx="1581">
                  <c:v>44694</c:v>
                </c:pt>
                <c:pt idx="1582">
                  <c:v>44697</c:v>
                </c:pt>
                <c:pt idx="1583">
                  <c:v>44698</c:v>
                </c:pt>
                <c:pt idx="1584">
                  <c:v>44699</c:v>
                </c:pt>
                <c:pt idx="1585">
                  <c:v>44700</c:v>
                </c:pt>
                <c:pt idx="1586">
                  <c:v>44701</c:v>
                </c:pt>
                <c:pt idx="1587">
                  <c:v>44704</c:v>
                </c:pt>
                <c:pt idx="1588">
                  <c:v>44705</c:v>
                </c:pt>
                <c:pt idx="1589">
                  <c:v>44706</c:v>
                </c:pt>
                <c:pt idx="1590">
                  <c:v>44707</c:v>
                </c:pt>
                <c:pt idx="1591">
                  <c:v>44708</c:v>
                </c:pt>
                <c:pt idx="1592">
                  <c:v>44711</c:v>
                </c:pt>
                <c:pt idx="1593">
                  <c:v>44712</c:v>
                </c:pt>
                <c:pt idx="1594">
                  <c:v>44713</c:v>
                </c:pt>
                <c:pt idx="1595">
                  <c:v>44714</c:v>
                </c:pt>
                <c:pt idx="1596">
                  <c:v>44715</c:v>
                </c:pt>
                <c:pt idx="1597">
                  <c:v>44718</c:v>
                </c:pt>
                <c:pt idx="1598">
                  <c:v>44719</c:v>
                </c:pt>
                <c:pt idx="1599">
                  <c:v>44720</c:v>
                </c:pt>
                <c:pt idx="1600">
                  <c:v>44721</c:v>
                </c:pt>
                <c:pt idx="1601">
                  <c:v>44722</c:v>
                </c:pt>
                <c:pt idx="1602">
                  <c:v>44725</c:v>
                </c:pt>
                <c:pt idx="1603">
                  <c:v>44726</c:v>
                </c:pt>
                <c:pt idx="1604">
                  <c:v>44727</c:v>
                </c:pt>
                <c:pt idx="1605">
                  <c:v>44729</c:v>
                </c:pt>
                <c:pt idx="1606">
                  <c:v>44732</c:v>
                </c:pt>
                <c:pt idx="1607">
                  <c:v>44733</c:v>
                </c:pt>
                <c:pt idx="1608">
                  <c:v>44734</c:v>
                </c:pt>
                <c:pt idx="1609">
                  <c:v>44735</c:v>
                </c:pt>
                <c:pt idx="1610">
                  <c:v>44736</c:v>
                </c:pt>
                <c:pt idx="1611">
                  <c:v>44739</c:v>
                </c:pt>
                <c:pt idx="1612">
                  <c:v>44740</c:v>
                </c:pt>
                <c:pt idx="1613">
                  <c:v>44741</c:v>
                </c:pt>
                <c:pt idx="1614">
                  <c:v>44742</c:v>
                </c:pt>
                <c:pt idx="1615">
                  <c:v>44743</c:v>
                </c:pt>
                <c:pt idx="1616">
                  <c:v>44746</c:v>
                </c:pt>
                <c:pt idx="1617">
                  <c:v>44747</c:v>
                </c:pt>
                <c:pt idx="1618">
                  <c:v>44748</c:v>
                </c:pt>
                <c:pt idx="1619">
                  <c:v>44749</c:v>
                </c:pt>
                <c:pt idx="1620">
                  <c:v>44750</c:v>
                </c:pt>
                <c:pt idx="1621">
                  <c:v>44753</c:v>
                </c:pt>
                <c:pt idx="1622">
                  <c:v>44754</c:v>
                </c:pt>
                <c:pt idx="1623">
                  <c:v>44755</c:v>
                </c:pt>
                <c:pt idx="1624">
                  <c:v>44756</c:v>
                </c:pt>
                <c:pt idx="1625">
                  <c:v>44757</c:v>
                </c:pt>
                <c:pt idx="1626">
                  <c:v>44760</c:v>
                </c:pt>
                <c:pt idx="1627">
                  <c:v>44761</c:v>
                </c:pt>
                <c:pt idx="1628">
                  <c:v>44762</c:v>
                </c:pt>
                <c:pt idx="1629">
                  <c:v>44763</c:v>
                </c:pt>
                <c:pt idx="1630">
                  <c:v>44764</c:v>
                </c:pt>
                <c:pt idx="1631">
                  <c:v>44767</c:v>
                </c:pt>
                <c:pt idx="1632">
                  <c:v>44768</c:v>
                </c:pt>
                <c:pt idx="1633">
                  <c:v>44769</c:v>
                </c:pt>
                <c:pt idx="1634">
                  <c:v>44770</c:v>
                </c:pt>
                <c:pt idx="1635">
                  <c:v>44771</c:v>
                </c:pt>
                <c:pt idx="1636">
                  <c:v>44774</c:v>
                </c:pt>
                <c:pt idx="1637">
                  <c:v>44775</c:v>
                </c:pt>
                <c:pt idx="1638">
                  <c:v>44776</c:v>
                </c:pt>
                <c:pt idx="1639">
                  <c:v>44777</c:v>
                </c:pt>
                <c:pt idx="1640">
                  <c:v>44778</c:v>
                </c:pt>
                <c:pt idx="1641">
                  <c:v>44781</c:v>
                </c:pt>
                <c:pt idx="1642">
                  <c:v>44783</c:v>
                </c:pt>
                <c:pt idx="1643">
                  <c:v>44784</c:v>
                </c:pt>
                <c:pt idx="1644">
                  <c:v>44785</c:v>
                </c:pt>
                <c:pt idx="1645">
                  <c:v>44788</c:v>
                </c:pt>
                <c:pt idx="1646">
                  <c:v>44789</c:v>
                </c:pt>
                <c:pt idx="1647">
                  <c:v>44790</c:v>
                </c:pt>
                <c:pt idx="1648">
                  <c:v>44791</c:v>
                </c:pt>
                <c:pt idx="1649">
                  <c:v>44792</c:v>
                </c:pt>
                <c:pt idx="1650">
                  <c:v>44795</c:v>
                </c:pt>
                <c:pt idx="1651">
                  <c:v>44796</c:v>
                </c:pt>
                <c:pt idx="1652">
                  <c:v>44797</c:v>
                </c:pt>
                <c:pt idx="1653">
                  <c:v>44798</c:v>
                </c:pt>
                <c:pt idx="1654">
                  <c:v>44799</c:v>
                </c:pt>
                <c:pt idx="1655">
                  <c:v>44802</c:v>
                </c:pt>
                <c:pt idx="1656">
                  <c:v>44803</c:v>
                </c:pt>
                <c:pt idx="1657">
                  <c:v>44804</c:v>
                </c:pt>
                <c:pt idx="1658">
                  <c:v>44805</c:v>
                </c:pt>
                <c:pt idx="1659">
                  <c:v>44806</c:v>
                </c:pt>
                <c:pt idx="1660">
                  <c:v>44809</c:v>
                </c:pt>
                <c:pt idx="1661">
                  <c:v>44810</c:v>
                </c:pt>
                <c:pt idx="1662">
                  <c:v>44811</c:v>
                </c:pt>
                <c:pt idx="1663">
                  <c:v>44812</c:v>
                </c:pt>
                <c:pt idx="1664">
                  <c:v>44813</c:v>
                </c:pt>
                <c:pt idx="1665">
                  <c:v>44816</c:v>
                </c:pt>
                <c:pt idx="1666">
                  <c:v>44817</c:v>
                </c:pt>
                <c:pt idx="1667">
                  <c:v>44818</c:v>
                </c:pt>
                <c:pt idx="1668">
                  <c:v>44819</c:v>
                </c:pt>
                <c:pt idx="1669">
                  <c:v>44820</c:v>
                </c:pt>
                <c:pt idx="1670">
                  <c:v>44823</c:v>
                </c:pt>
                <c:pt idx="1671">
                  <c:v>44824</c:v>
                </c:pt>
                <c:pt idx="1672">
                  <c:v>44825</c:v>
                </c:pt>
                <c:pt idx="1673">
                  <c:v>44826</c:v>
                </c:pt>
                <c:pt idx="1674">
                  <c:v>44827</c:v>
                </c:pt>
                <c:pt idx="1675">
                  <c:v>44830</c:v>
                </c:pt>
                <c:pt idx="1676">
                  <c:v>44831</c:v>
                </c:pt>
                <c:pt idx="1677">
                  <c:v>44832</c:v>
                </c:pt>
                <c:pt idx="1678">
                  <c:v>44833</c:v>
                </c:pt>
                <c:pt idx="1679">
                  <c:v>44834</c:v>
                </c:pt>
                <c:pt idx="1680">
                  <c:v>44837</c:v>
                </c:pt>
                <c:pt idx="1681">
                  <c:v>44838</c:v>
                </c:pt>
                <c:pt idx="1682">
                  <c:v>44839</c:v>
                </c:pt>
                <c:pt idx="1683">
                  <c:v>44840</c:v>
                </c:pt>
                <c:pt idx="1684">
                  <c:v>44841</c:v>
                </c:pt>
                <c:pt idx="1685">
                  <c:v>44844</c:v>
                </c:pt>
                <c:pt idx="1686">
                  <c:v>44845</c:v>
                </c:pt>
                <c:pt idx="1687">
                  <c:v>44846</c:v>
                </c:pt>
                <c:pt idx="1688">
                  <c:v>44847</c:v>
                </c:pt>
                <c:pt idx="1689">
                  <c:v>44848</c:v>
                </c:pt>
                <c:pt idx="1690">
                  <c:v>44851</c:v>
                </c:pt>
                <c:pt idx="1691">
                  <c:v>44852</c:v>
                </c:pt>
                <c:pt idx="1692">
                  <c:v>44853</c:v>
                </c:pt>
                <c:pt idx="1693">
                  <c:v>44854</c:v>
                </c:pt>
                <c:pt idx="1694">
                  <c:v>44855</c:v>
                </c:pt>
                <c:pt idx="1695">
                  <c:v>44858</c:v>
                </c:pt>
                <c:pt idx="1696">
                  <c:v>44859</c:v>
                </c:pt>
                <c:pt idx="1697">
                  <c:v>44860</c:v>
                </c:pt>
                <c:pt idx="1698">
                  <c:v>44861</c:v>
                </c:pt>
                <c:pt idx="1699">
                  <c:v>44862</c:v>
                </c:pt>
                <c:pt idx="1700">
                  <c:v>44865</c:v>
                </c:pt>
                <c:pt idx="1701">
                  <c:v>44866</c:v>
                </c:pt>
                <c:pt idx="1702">
                  <c:v>44867</c:v>
                </c:pt>
                <c:pt idx="1703">
                  <c:v>44868</c:v>
                </c:pt>
                <c:pt idx="1704">
                  <c:v>44869</c:v>
                </c:pt>
                <c:pt idx="1705">
                  <c:v>44872</c:v>
                </c:pt>
                <c:pt idx="1706">
                  <c:v>44873</c:v>
                </c:pt>
                <c:pt idx="1707">
                  <c:v>44874</c:v>
                </c:pt>
                <c:pt idx="1708">
                  <c:v>44875</c:v>
                </c:pt>
                <c:pt idx="1709">
                  <c:v>44876</c:v>
                </c:pt>
                <c:pt idx="1710">
                  <c:v>44879</c:v>
                </c:pt>
                <c:pt idx="1711">
                  <c:v>44880</c:v>
                </c:pt>
                <c:pt idx="1712">
                  <c:v>44881</c:v>
                </c:pt>
                <c:pt idx="1713">
                  <c:v>44882</c:v>
                </c:pt>
                <c:pt idx="1714">
                  <c:v>44883</c:v>
                </c:pt>
                <c:pt idx="1715">
                  <c:v>44886</c:v>
                </c:pt>
                <c:pt idx="1716">
                  <c:v>44887</c:v>
                </c:pt>
                <c:pt idx="1717">
                  <c:v>44888</c:v>
                </c:pt>
                <c:pt idx="1718">
                  <c:v>44889</c:v>
                </c:pt>
                <c:pt idx="1719">
                  <c:v>44890</c:v>
                </c:pt>
                <c:pt idx="1720">
                  <c:v>44893</c:v>
                </c:pt>
                <c:pt idx="1721">
                  <c:v>44894</c:v>
                </c:pt>
                <c:pt idx="1722">
                  <c:v>44895</c:v>
                </c:pt>
                <c:pt idx="1723">
                  <c:v>44896</c:v>
                </c:pt>
                <c:pt idx="1724">
                  <c:v>44897</c:v>
                </c:pt>
                <c:pt idx="1725">
                  <c:v>44900</c:v>
                </c:pt>
                <c:pt idx="1726">
                  <c:v>44901</c:v>
                </c:pt>
                <c:pt idx="1727">
                  <c:v>44902</c:v>
                </c:pt>
                <c:pt idx="1728">
                  <c:v>44903</c:v>
                </c:pt>
                <c:pt idx="1729">
                  <c:v>44904</c:v>
                </c:pt>
                <c:pt idx="1730">
                  <c:v>44907</c:v>
                </c:pt>
                <c:pt idx="1731">
                  <c:v>44908</c:v>
                </c:pt>
                <c:pt idx="1732">
                  <c:v>44909</c:v>
                </c:pt>
                <c:pt idx="1733">
                  <c:v>44910</c:v>
                </c:pt>
                <c:pt idx="1734">
                  <c:v>44914</c:v>
                </c:pt>
                <c:pt idx="1735">
                  <c:v>44915</c:v>
                </c:pt>
                <c:pt idx="1736">
                  <c:v>44916</c:v>
                </c:pt>
                <c:pt idx="1737">
                  <c:v>44917</c:v>
                </c:pt>
                <c:pt idx="1738">
                  <c:v>44918</c:v>
                </c:pt>
                <c:pt idx="1739">
                  <c:v>44923</c:v>
                </c:pt>
                <c:pt idx="1740">
                  <c:v>44924</c:v>
                </c:pt>
                <c:pt idx="1741">
                  <c:v>44925</c:v>
                </c:pt>
                <c:pt idx="1742">
                  <c:v>44929</c:v>
                </c:pt>
                <c:pt idx="1743">
                  <c:v>44930</c:v>
                </c:pt>
                <c:pt idx="1744">
                  <c:v>44931</c:v>
                </c:pt>
                <c:pt idx="1745">
                  <c:v>44932</c:v>
                </c:pt>
                <c:pt idx="1746">
                  <c:v>44935</c:v>
                </c:pt>
                <c:pt idx="1747">
                  <c:v>44936</c:v>
                </c:pt>
                <c:pt idx="1748">
                  <c:v>44937</c:v>
                </c:pt>
                <c:pt idx="1749">
                  <c:v>44938</c:v>
                </c:pt>
                <c:pt idx="1750">
                  <c:v>44939</c:v>
                </c:pt>
                <c:pt idx="1751">
                  <c:v>44942</c:v>
                </c:pt>
                <c:pt idx="1752">
                  <c:v>44943</c:v>
                </c:pt>
                <c:pt idx="1753">
                  <c:v>44944</c:v>
                </c:pt>
                <c:pt idx="1754">
                  <c:v>44945</c:v>
                </c:pt>
                <c:pt idx="1755">
                  <c:v>44946</c:v>
                </c:pt>
                <c:pt idx="1756">
                  <c:v>44949</c:v>
                </c:pt>
                <c:pt idx="1757">
                  <c:v>44950</c:v>
                </c:pt>
                <c:pt idx="1758">
                  <c:v>44951</c:v>
                </c:pt>
                <c:pt idx="1759">
                  <c:v>44952</c:v>
                </c:pt>
                <c:pt idx="1760">
                  <c:v>44953</c:v>
                </c:pt>
                <c:pt idx="1761">
                  <c:v>44956</c:v>
                </c:pt>
                <c:pt idx="1762">
                  <c:v>44957</c:v>
                </c:pt>
                <c:pt idx="1763">
                  <c:v>44958</c:v>
                </c:pt>
                <c:pt idx="1764">
                  <c:v>44959</c:v>
                </c:pt>
                <c:pt idx="1765">
                  <c:v>44960</c:v>
                </c:pt>
                <c:pt idx="1766">
                  <c:v>44963</c:v>
                </c:pt>
                <c:pt idx="1767">
                  <c:v>44964</c:v>
                </c:pt>
                <c:pt idx="1768">
                  <c:v>44965</c:v>
                </c:pt>
                <c:pt idx="1769">
                  <c:v>44966</c:v>
                </c:pt>
                <c:pt idx="1770">
                  <c:v>44967</c:v>
                </c:pt>
                <c:pt idx="1771">
                  <c:v>44970</c:v>
                </c:pt>
                <c:pt idx="1772">
                  <c:v>44971</c:v>
                </c:pt>
                <c:pt idx="1773">
                  <c:v>44972</c:v>
                </c:pt>
                <c:pt idx="1774">
                  <c:v>44973</c:v>
                </c:pt>
                <c:pt idx="1775">
                  <c:v>44974</c:v>
                </c:pt>
                <c:pt idx="1776">
                  <c:v>44977</c:v>
                </c:pt>
                <c:pt idx="1777">
                  <c:v>44978</c:v>
                </c:pt>
                <c:pt idx="1778">
                  <c:v>44979</c:v>
                </c:pt>
                <c:pt idx="1779">
                  <c:v>44980</c:v>
                </c:pt>
                <c:pt idx="1780">
                  <c:v>44981</c:v>
                </c:pt>
                <c:pt idx="1781">
                  <c:v>44984</c:v>
                </c:pt>
                <c:pt idx="1782">
                  <c:v>44985</c:v>
                </c:pt>
                <c:pt idx="1783">
                  <c:v>44986</c:v>
                </c:pt>
                <c:pt idx="1784">
                  <c:v>44987</c:v>
                </c:pt>
                <c:pt idx="1785">
                  <c:v>44988</c:v>
                </c:pt>
                <c:pt idx="1786">
                  <c:v>44991</c:v>
                </c:pt>
                <c:pt idx="1787">
                  <c:v>44992</c:v>
                </c:pt>
                <c:pt idx="1788">
                  <c:v>44993</c:v>
                </c:pt>
                <c:pt idx="1789">
                  <c:v>44994</c:v>
                </c:pt>
                <c:pt idx="1790">
                  <c:v>44995</c:v>
                </c:pt>
                <c:pt idx="1791">
                  <c:v>44998</c:v>
                </c:pt>
                <c:pt idx="1792">
                  <c:v>44999</c:v>
                </c:pt>
                <c:pt idx="1793">
                  <c:v>45000</c:v>
                </c:pt>
                <c:pt idx="1794">
                  <c:v>45001</c:v>
                </c:pt>
                <c:pt idx="1795">
                  <c:v>45002</c:v>
                </c:pt>
                <c:pt idx="1796">
                  <c:v>45005</c:v>
                </c:pt>
                <c:pt idx="1797">
                  <c:v>45007</c:v>
                </c:pt>
                <c:pt idx="1798">
                  <c:v>45008</c:v>
                </c:pt>
                <c:pt idx="1799">
                  <c:v>45009</c:v>
                </c:pt>
                <c:pt idx="1800">
                  <c:v>45012</c:v>
                </c:pt>
                <c:pt idx="1801">
                  <c:v>45013</c:v>
                </c:pt>
                <c:pt idx="1802">
                  <c:v>45014</c:v>
                </c:pt>
                <c:pt idx="1803">
                  <c:v>45015</c:v>
                </c:pt>
                <c:pt idx="1804">
                  <c:v>45016</c:v>
                </c:pt>
                <c:pt idx="1805">
                  <c:v>45019</c:v>
                </c:pt>
                <c:pt idx="1806">
                  <c:v>45020</c:v>
                </c:pt>
                <c:pt idx="1807">
                  <c:v>45021</c:v>
                </c:pt>
                <c:pt idx="1808">
                  <c:v>45022</c:v>
                </c:pt>
                <c:pt idx="1809">
                  <c:v>45027</c:v>
                </c:pt>
                <c:pt idx="1810">
                  <c:v>45028</c:v>
                </c:pt>
                <c:pt idx="1811">
                  <c:v>45029</c:v>
                </c:pt>
                <c:pt idx="1812">
                  <c:v>45030</c:v>
                </c:pt>
                <c:pt idx="1813">
                  <c:v>45033</c:v>
                </c:pt>
                <c:pt idx="1814">
                  <c:v>45034</c:v>
                </c:pt>
                <c:pt idx="1815">
                  <c:v>45035</c:v>
                </c:pt>
                <c:pt idx="1816">
                  <c:v>45036</c:v>
                </c:pt>
                <c:pt idx="1817">
                  <c:v>45037</c:v>
                </c:pt>
                <c:pt idx="1818">
                  <c:v>45040</c:v>
                </c:pt>
                <c:pt idx="1819">
                  <c:v>45041</c:v>
                </c:pt>
                <c:pt idx="1820">
                  <c:v>45042</c:v>
                </c:pt>
                <c:pt idx="1821">
                  <c:v>45044</c:v>
                </c:pt>
                <c:pt idx="1822">
                  <c:v>45048</c:v>
                </c:pt>
                <c:pt idx="1823">
                  <c:v>45049</c:v>
                </c:pt>
                <c:pt idx="1824">
                  <c:v>45050</c:v>
                </c:pt>
                <c:pt idx="1825">
                  <c:v>45051</c:v>
                </c:pt>
                <c:pt idx="1826">
                  <c:v>45054</c:v>
                </c:pt>
                <c:pt idx="1827">
                  <c:v>45055</c:v>
                </c:pt>
                <c:pt idx="1828">
                  <c:v>45056</c:v>
                </c:pt>
                <c:pt idx="1829">
                  <c:v>45057</c:v>
                </c:pt>
                <c:pt idx="1830">
                  <c:v>45058</c:v>
                </c:pt>
                <c:pt idx="1831">
                  <c:v>45061</c:v>
                </c:pt>
                <c:pt idx="1832">
                  <c:v>45062</c:v>
                </c:pt>
                <c:pt idx="1833">
                  <c:v>45063</c:v>
                </c:pt>
                <c:pt idx="1834">
                  <c:v>45064</c:v>
                </c:pt>
                <c:pt idx="1835">
                  <c:v>45065</c:v>
                </c:pt>
                <c:pt idx="1836">
                  <c:v>45068</c:v>
                </c:pt>
                <c:pt idx="1837">
                  <c:v>45069</c:v>
                </c:pt>
                <c:pt idx="1838">
                  <c:v>45070</c:v>
                </c:pt>
                <c:pt idx="1839">
                  <c:v>45071</c:v>
                </c:pt>
                <c:pt idx="1840">
                  <c:v>45072</c:v>
                </c:pt>
                <c:pt idx="1841">
                  <c:v>45075</c:v>
                </c:pt>
                <c:pt idx="1842">
                  <c:v>45076</c:v>
                </c:pt>
                <c:pt idx="1843">
                  <c:v>45077</c:v>
                </c:pt>
                <c:pt idx="1844">
                  <c:v>45078</c:v>
                </c:pt>
                <c:pt idx="1845">
                  <c:v>45079</c:v>
                </c:pt>
                <c:pt idx="1846">
                  <c:v>45082</c:v>
                </c:pt>
                <c:pt idx="1847">
                  <c:v>45083</c:v>
                </c:pt>
                <c:pt idx="1848">
                  <c:v>45084</c:v>
                </c:pt>
                <c:pt idx="1849">
                  <c:v>45085</c:v>
                </c:pt>
                <c:pt idx="1850">
                  <c:v>45086</c:v>
                </c:pt>
                <c:pt idx="1851">
                  <c:v>45089</c:v>
                </c:pt>
                <c:pt idx="1852">
                  <c:v>45090</c:v>
                </c:pt>
                <c:pt idx="1853">
                  <c:v>45091</c:v>
                </c:pt>
                <c:pt idx="1854">
                  <c:v>45092</c:v>
                </c:pt>
                <c:pt idx="1855">
                  <c:v>45096</c:v>
                </c:pt>
                <c:pt idx="1856">
                  <c:v>45097</c:v>
                </c:pt>
                <c:pt idx="1857">
                  <c:v>45098</c:v>
                </c:pt>
                <c:pt idx="1858">
                  <c:v>45099</c:v>
                </c:pt>
                <c:pt idx="1859">
                  <c:v>45100</c:v>
                </c:pt>
                <c:pt idx="1860">
                  <c:v>45103</c:v>
                </c:pt>
                <c:pt idx="1861">
                  <c:v>45104</c:v>
                </c:pt>
                <c:pt idx="1862">
                  <c:v>45105</c:v>
                </c:pt>
                <c:pt idx="1863">
                  <c:v>45106</c:v>
                </c:pt>
                <c:pt idx="1864">
                  <c:v>45107</c:v>
                </c:pt>
                <c:pt idx="1865">
                  <c:v>45110</c:v>
                </c:pt>
                <c:pt idx="1866">
                  <c:v>45111</c:v>
                </c:pt>
                <c:pt idx="1867">
                  <c:v>45112</c:v>
                </c:pt>
                <c:pt idx="1868">
                  <c:v>45113</c:v>
                </c:pt>
                <c:pt idx="1869">
                  <c:v>45114</c:v>
                </c:pt>
                <c:pt idx="1870">
                  <c:v>45117</c:v>
                </c:pt>
                <c:pt idx="1871">
                  <c:v>45118</c:v>
                </c:pt>
                <c:pt idx="1872">
                  <c:v>45119</c:v>
                </c:pt>
                <c:pt idx="1873">
                  <c:v>45120</c:v>
                </c:pt>
                <c:pt idx="1874">
                  <c:v>45121</c:v>
                </c:pt>
                <c:pt idx="1875">
                  <c:v>45124</c:v>
                </c:pt>
                <c:pt idx="1876">
                  <c:v>45125</c:v>
                </c:pt>
                <c:pt idx="1877">
                  <c:v>45126</c:v>
                </c:pt>
                <c:pt idx="1878">
                  <c:v>45127</c:v>
                </c:pt>
                <c:pt idx="1879">
                  <c:v>45128</c:v>
                </c:pt>
                <c:pt idx="1880">
                  <c:v>45131</c:v>
                </c:pt>
                <c:pt idx="1881">
                  <c:v>45132</c:v>
                </c:pt>
                <c:pt idx="1882">
                  <c:v>45133</c:v>
                </c:pt>
                <c:pt idx="1883">
                  <c:v>45134</c:v>
                </c:pt>
                <c:pt idx="1884">
                  <c:v>45135</c:v>
                </c:pt>
                <c:pt idx="1885">
                  <c:v>45138</c:v>
                </c:pt>
                <c:pt idx="1886">
                  <c:v>45139</c:v>
                </c:pt>
                <c:pt idx="1887">
                  <c:v>45140</c:v>
                </c:pt>
                <c:pt idx="1888">
                  <c:v>45141</c:v>
                </c:pt>
                <c:pt idx="1889">
                  <c:v>45142</c:v>
                </c:pt>
                <c:pt idx="1890">
                  <c:v>45145</c:v>
                </c:pt>
                <c:pt idx="1891">
                  <c:v>45146</c:v>
                </c:pt>
                <c:pt idx="1892">
                  <c:v>45148</c:v>
                </c:pt>
                <c:pt idx="1893">
                  <c:v>45149</c:v>
                </c:pt>
                <c:pt idx="1894">
                  <c:v>45152</c:v>
                </c:pt>
                <c:pt idx="1895">
                  <c:v>45153</c:v>
                </c:pt>
                <c:pt idx="1896">
                  <c:v>45154</c:v>
                </c:pt>
                <c:pt idx="1897">
                  <c:v>45155</c:v>
                </c:pt>
                <c:pt idx="1898">
                  <c:v>45156</c:v>
                </c:pt>
                <c:pt idx="1899">
                  <c:v>45159</c:v>
                </c:pt>
                <c:pt idx="1900">
                  <c:v>45160</c:v>
                </c:pt>
                <c:pt idx="1901">
                  <c:v>45161</c:v>
                </c:pt>
                <c:pt idx="1902">
                  <c:v>45162</c:v>
                </c:pt>
                <c:pt idx="1903">
                  <c:v>45163</c:v>
                </c:pt>
                <c:pt idx="1904">
                  <c:v>45166</c:v>
                </c:pt>
                <c:pt idx="1905">
                  <c:v>45167</c:v>
                </c:pt>
                <c:pt idx="1906">
                  <c:v>45168</c:v>
                </c:pt>
                <c:pt idx="1907">
                  <c:v>45169</c:v>
                </c:pt>
                <c:pt idx="1908">
                  <c:v>45170</c:v>
                </c:pt>
                <c:pt idx="1909">
                  <c:v>45173</c:v>
                </c:pt>
                <c:pt idx="1910">
                  <c:v>45174</c:v>
                </c:pt>
                <c:pt idx="1911">
                  <c:v>45175</c:v>
                </c:pt>
                <c:pt idx="1912">
                  <c:v>45176</c:v>
                </c:pt>
                <c:pt idx="1913">
                  <c:v>45177</c:v>
                </c:pt>
                <c:pt idx="1914">
                  <c:v>45180</c:v>
                </c:pt>
                <c:pt idx="1915">
                  <c:v>45181</c:v>
                </c:pt>
                <c:pt idx="1916">
                  <c:v>45182</c:v>
                </c:pt>
                <c:pt idx="1917">
                  <c:v>45183</c:v>
                </c:pt>
                <c:pt idx="1918">
                  <c:v>45184</c:v>
                </c:pt>
                <c:pt idx="1919">
                  <c:v>45187</c:v>
                </c:pt>
                <c:pt idx="1920">
                  <c:v>45188</c:v>
                </c:pt>
                <c:pt idx="1921">
                  <c:v>45189</c:v>
                </c:pt>
                <c:pt idx="1922">
                  <c:v>45190</c:v>
                </c:pt>
                <c:pt idx="1923">
                  <c:v>45191</c:v>
                </c:pt>
                <c:pt idx="1924">
                  <c:v>45195</c:v>
                </c:pt>
                <c:pt idx="1925">
                  <c:v>45196</c:v>
                </c:pt>
                <c:pt idx="1926">
                  <c:v>45197</c:v>
                </c:pt>
                <c:pt idx="1927">
                  <c:v>45198</c:v>
                </c:pt>
                <c:pt idx="1928">
                  <c:v>45201</c:v>
                </c:pt>
                <c:pt idx="1929">
                  <c:v>45202</c:v>
                </c:pt>
                <c:pt idx="1930">
                  <c:v>45203</c:v>
                </c:pt>
                <c:pt idx="1931">
                  <c:v>45204</c:v>
                </c:pt>
                <c:pt idx="1932">
                  <c:v>45205</c:v>
                </c:pt>
                <c:pt idx="1933">
                  <c:v>45208</c:v>
                </c:pt>
                <c:pt idx="1934">
                  <c:v>45209</c:v>
                </c:pt>
                <c:pt idx="1935">
                  <c:v>45210</c:v>
                </c:pt>
                <c:pt idx="1936">
                  <c:v>45211</c:v>
                </c:pt>
                <c:pt idx="1937">
                  <c:v>45212</c:v>
                </c:pt>
                <c:pt idx="1938">
                  <c:v>45215</c:v>
                </c:pt>
                <c:pt idx="1939">
                  <c:v>45216</c:v>
                </c:pt>
                <c:pt idx="1940">
                  <c:v>45217</c:v>
                </c:pt>
                <c:pt idx="1941">
                  <c:v>45218</c:v>
                </c:pt>
                <c:pt idx="1942">
                  <c:v>45219</c:v>
                </c:pt>
                <c:pt idx="1943">
                  <c:v>45222</c:v>
                </c:pt>
                <c:pt idx="1944">
                  <c:v>45223</c:v>
                </c:pt>
                <c:pt idx="1945">
                  <c:v>45224</c:v>
                </c:pt>
                <c:pt idx="1946">
                  <c:v>45225</c:v>
                </c:pt>
                <c:pt idx="1947">
                  <c:v>45226</c:v>
                </c:pt>
                <c:pt idx="1948">
                  <c:v>45229</c:v>
                </c:pt>
                <c:pt idx="1949">
                  <c:v>45230</c:v>
                </c:pt>
                <c:pt idx="1950">
                  <c:v>45231</c:v>
                </c:pt>
                <c:pt idx="1951">
                  <c:v>45232</c:v>
                </c:pt>
                <c:pt idx="1952">
                  <c:v>45233</c:v>
                </c:pt>
                <c:pt idx="1953">
                  <c:v>45236</c:v>
                </c:pt>
                <c:pt idx="1954">
                  <c:v>45237</c:v>
                </c:pt>
                <c:pt idx="1955">
                  <c:v>45238</c:v>
                </c:pt>
                <c:pt idx="1956">
                  <c:v>45239</c:v>
                </c:pt>
                <c:pt idx="1957">
                  <c:v>45240</c:v>
                </c:pt>
                <c:pt idx="1958">
                  <c:v>45243</c:v>
                </c:pt>
                <c:pt idx="1959">
                  <c:v>45244</c:v>
                </c:pt>
                <c:pt idx="1960">
                  <c:v>45245</c:v>
                </c:pt>
                <c:pt idx="1961">
                  <c:v>45246</c:v>
                </c:pt>
                <c:pt idx="1962">
                  <c:v>45247</c:v>
                </c:pt>
                <c:pt idx="1963">
                  <c:v>45250</c:v>
                </c:pt>
                <c:pt idx="1964">
                  <c:v>45251</c:v>
                </c:pt>
                <c:pt idx="1965">
                  <c:v>45252</c:v>
                </c:pt>
                <c:pt idx="1966">
                  <c:v>45253</c:v>
                </c:pt>
                <c:pt idx="1967">
                  <c:v>45254</c:v>
                </c:pt>
                <c:pt idx="1968">
                  <c:v>45257</c:v>
                </c:pt>
                <c:pt idx="1969">
                  <c:v>45258</c:v>
                </c:pt>
                <c:pt idx="1970">
                  <c:v>45259</c:v>
                </c:pt>
                <c:pt idx="1971">
                  <c:v>45260</c:v>
                </c:pt>
                <c:pt idx="1972">
                  <c:v>45261</c:v>
                </c:pt>
                <c:pt idx="1973">
                  <c:v>45264</c:v>
                </c:pt>
                <c:pt idx="1974">
                  <c:v>45265</c:v>
                </c:pt>
                <c:pt idx="1975">
                  <c:v>45266</c:v>
                </c:pt>
                <c:pt idx="1976">
                  <c:v>45267</c:v>
                </c:pt>
                <c:pt idx="1977">
                  <c:v>45268</c:v>
                </c:pt>
                <c:pt idx="1978">
                  <c:v>45271</c:v>
                </c:pt>
                <c:pt idx="1979">
                  <c:v>45272</c:v>
                </c:pt>
                <c:pt idx="1980">
                  <c:v>45273</c:v>
                </c:pt>
                <c:pt idx="1981">
                  <c:v>45274</c:v>
                </c:pt>
                <c:pt idx="1982">
                  <c:v>45278</c:v>
                </c:pt>
                <c:pt idx="1983">
                  <c:v>45279</c:v>
                </c:pt>
                <c:pt idx="1984">
                  <c:v>45280</c:v>
                </c:pt>
                <c:pt idx="1985">
                  <c:v>45281</c:v>
                </c:pt>
                <c:pt idx="1986">
                  <c:v>45282</c:v>
                </c:pt>
                <c:pt idx="1987">
                  <c:v>45287</c:v>
                </c:pt>
                <c:pt idx="1988">
                  <c:v>45288</c:v>
                </c:pt>
                <c:pt idx="1989">
                  <c:v>45289</c:v>
                </c:pt>
                <c:pt idx="1990">
                  <c:v>45293</c:v>
                </c:pt>
                <c:pt idx="1991">
                  <c:v>45294</c:v>
                </c:pt>
                <c:pt idx="1992">
                  <c:v>45295</c:v>
                </c:pt>
                <c:pt idx="1993">
                  <c:v>45296</c:v>
                </c:pt>
                <c:pt idx="1994">
                  <c:v>45299</c:v>
                </c:pt>
                <c:pt idx="1995">
                  <c:v>45300</c:v>
                </c:pt>
                <c:pt idx="1996">
                  <c:v>45301</c:v>
                </c:pt>
                <c:pt idx="1997">
                  <c:v>45302</c:v>
                </c:pt>
                <c:pt idx="1998">
                  <c:v>45303</c:v>
                </c:pt>
                <c:pt idx="1999">
                  <c:v>45306</c:v>
                </c:pt>
                <c:pt idx="2000">
                  <c:v>45307</c:v>
                </c:pt>
                <c:pt idx="2001">
                  <c:v>45308</c:v>
                </c:pt>
                <c:pt idx="2002">
                  <c:v>45309</c:v>
                </c:pt>
                <c:pt idx="2003">
                  <c:v>45310</c:v>
                </c:pt>
                <c:pt idx="2004">
                  <c:v>45313</c:v>
                </c:pt>
                <c:pt idx="2005">
                  <c:v>45314</c:v>
                </c:pt>
                <c:pt idx="2006">
                  <c:v>45315</c:v>
                </c:pt>
                <c:pt idx="2007">
                  <c:v>45316</c:v>
                </c:pt>
                <c:pt idx="2008">
                  <c:v>45317</c:v>
                </c:pt>
                <c:pt idx="2009">
                  <c:v>45320</c:v>
                </c:pt>
                <c:pt idx="2010">
                  <c:v>45321</c:v>
                </c:pt>
                <c:pt idx="2011">
                  <c:v>45322</c:v>
                </c:pt>
                <c:pt idx="2012">
                  <c:v>45323</c:v>
                </c:pt>
                <c:pt idx="2013">
                  <c:v>45324</c:v>
                </c:pt>
                <c:pt idx="2014">
                  <c:v>45327</c:v>
                </c:pt>
                <c:pt idx="2015">
                  <c:v>45328</c:v>
                </c:pt>
                <c:pt idx="2016">
                  <c:v>45329</c:v>
                </c:pt>
                <c:pt idx="2017">
                  <c:v>45330</c:v>
                </c:pt>
                <c:pt idx="2018">
                  <c:v>45331</c:v>
                </c:pt>
                <c:pt idx="2019">
                  <c:v>45334</c:v>
                </c:pt>
                <c:pt idx="2020">
                  <c:v>45335</c:v>
                </c:pt>
                <c:pt idx="2021">
                  <c:v>45336</c:v>
                </c:pt>
                <c:pt idx="2022">
                  <c:v>45337</c:v>
                </c:pt>
                <c:pt idx="2023">
                  <c:v>45338</c:v>
                </c:pt>
                <c:pt idx="2024">
                  <c:v>45341</c:v>
                </c:pt>
                <c:pt idx="2025">
                  <c:v>45342</c:v>
                </c:pt>
                <c:pt idx="2026">
                  <c:v>45343</c:v>
                </c:pt>
                <c:pt idx="2027">
                  <c:v>45344</c:v>
                </c:pt>
                <c:pt idx="2028">
                  <c:v>45345</c:v>
                </c:pt>
                <c:pt idx="2029">
                  <c:v>45348</c:v>
                </c:pt>
                <c:pt idx="2030">
                  <c:v>45349</c:v>
                </c:pt>
                <c:pt idx="2031">
                  <c:v>45350</c:v>
                </c:pt>
                <c:pt idx="2032">
                  <c:v>45351</c:v>
                </c:pt>
                <c:pt idx="2033">
                  <c:v>45352</c:v>
                </c:pt>
                <c:pt idx="2034">
                  <c:v>45355</c:v>
                </c:pt>
                <c:pt idx="2035">
                  <c:v>45356</c:v>
                </c:pt>
                <c:pt idx="2036">
                  <c:v>45357</c:v>
                </c:pt>
                <c:pt idx="2037">
                  <c:v>45358</c:v>
                </c:pt>
                <c:pt idx="2038">
                  <c:v>45359</c:v>
                </c:pt>
                <c:pt idx="2039">
                  <c:v>45362</c:v>
                </c:pt>
                <c:pt idx="2040">
                  <c:v>45363</c:v>
                </c:pt>
                <c:pt idx="2041">
                  <c:v>45364</c:v>
                </c:pt>
                <c:pt idx="2042">
                  <c:v>45365</c:v>
                </c:pt>
                <c:pt idx="2043">
                  <c:v>45366</c:v>
                </c:pt>
                <c:pt idx="2044">
                  <c:v>45369</c:v>
                </c:pt>
                <c:pt idx="2045">
                  <c:v>45370</c:v>
                </c:pt>
                <c:pt idx="2046">
                  <c:v>45371</c:v>
                </c:pt>
                <c:pt idx="2047">
                  <c:v>45373</c:v>
                </c:pt>
                <c:pt idx="2048">
                  <c:v>45376</c:v>
                </c:pt>
                <c:pt idx="2049">
                  <c:v>45377</c:v>
                </c:pt>
                <c:pt idx="2050">
                  <c:v>45378</c:v>
                </c:pt>
                <c:pt idx="2051">
                  <c:v>45379</c:v>
                </c:pt>
                <c:pt idx="2052">
                  <c:v>45384</c:v>
                </c:pt>
                <c:pt idx="2053">
                  <c:v>45385</c:v>
                </c:pt>
                <c:pt idx="2054">
                  <c:v>45386</c:v>
                </c:pt>
                <c:pt idx="2055">
                  <c:v>45387</c:v>
                </c:pt>
                <c:pt idx="2056">
                  <c:v>45390</c:v>
                </c:pt>
                <c:pt idx="2057">
                  <c:v>45391</c:v>
                </c:pt>
                <c:pt idx="2058">
                  <c:v>45392</c:v>
                </c:pt>
                <c:pt idx="2059">
                  <c:v>45393</c:v>
                </c:pt>
                <c:pt idx="2060">
                  <c:v>45394</c:v>
                </c:pt>
                <c:pt idx="2061">
                  <c:v>45397</c:v>
                </c:pt>
                <c:pt idx="2062">
                  <c:v>45398</c:v>
                </c:pt>
                <c:pt idx="2063">
                  <c:v>45399</c:v>
                </c:pt>
                <c:pt idx="2064">
                  <c:v>45400</c:v>
                </c:pt>
                <c:pt idx="2065">
                  <c:v>45401</c:v>
                </c:pt>
                <c:pt idx="2066">
                  <c:v>45404</c:v>
                </c:pt>
                <c:pt idx="2067">
                  <c:v>45405</c:v>
                </c:pt>
                <c:pt idx="2068">
                  <c:v>45406</c:v>
                </c:pt>
                <c:pt idx="2069">
                  <c:v>45407</c:v>
                </c:pt>
                <c:pt idx="2070">
                  <c:v>45408</c:v>
                </c:pt>
                <c:pt idx="2071">
                  <c:v>45411</c:v>
                </c:pt>
                <c:pt idx="2072">
                  <c:v>45412</c:v>
                </c:pt>
                <c:pt idx="2073">
                  <c:v>45414</c:v>
                </c:pt>
                <c:pt idx="2074">
                  <c:v>45415</c:v>
                </c:pt>
                <c:pt idx="2075">
                  <c:v>45418</c:v>
                </c:pt>
                <c:pt idx="2076">
                  <c:v>45419</c:v>
                </c:pt>
                <c:pt idx="2077">
                  <c:v>45420</c:v>
                </c:pt>
                <c:pt idx="2078">
                  <c:v>45421</c:v>
                </c:pt>
                <c:pt idx="2079">
                  <c:v>45422</c:v>
                </c:pt>
                <c:pt idx="2080">
                  <c:v>45425</c:v>
                </c:pt>
                <c:pt idx="2081">
                  <c:v>45426</c:v>
                </c:pt>
                <c:pt idx="2082">
                  <c:v>45427</c:v>
                </c:pt>
                <c:pt idx="2083">
                  <c:v>45428</c:v>
                </c:pt>
                <c:pt idx="2084">
                  <c:v>45429</c:v>
                </c:pt>
                <c:pt idx="2085">
                  <c:v>45432</c:v>
                </c:pt>
                <c:pt idx="2086">
                  <c:v>45433</c:v>
                </c:pt>
                <c:pt idx="2087">
                  <c:v>45434</c:v>
                </c:pt>
                <c:pt idx="2088">
                  <c:v>45435</c:v>
                </c:pt>
                <c:pt idx="2089">
                  <c:v>45436</c:v>
                </c:pt>
                <c:pt idx="2090">
                  <c:v>45439</c:v>
                </c:pt>
                <c:pt idx="2091">
                  <c:v>45440</c:v>
                </c:pt>
                <c:pt idx="2092">
                  <c:v>45442</c:v>
                </c:pt>
                <c:pt idx="2093">
                  <c:v>45443</c:v>
                </c:pt>
                <c:pt idx="2094">
                  <c:v>45446</c:v>
                </c:pt>
                <c:pt idx="2095">
                  <c:v>45447</c:v>
                </c:pt>
                <c:pt idx="2096">
                  <c:v>45448</c:v>
                </c:pt>
                <c:pt idx="2097">
                  <c:v>45449</c:v>
                </c:pt>
                <c:pt idx="2098">
                  <c:v>45450</c:v>
                </c:pt>
                <c:pt idx="2099">
                  <c:v>45453</c:v>
                </c:pt>
                <c:pt idx="2100">
                  <c:v>45454</c:v>
                </c:pt>
                <c:pt idx="2101">
                  <c:v>45455</c:v>
                </c:pt>
                <c:pt idx="2102">
                  <c:v>45456</c:v>
                </c:pt>
                <c:pt idx="2103">
                  <c:v>45457</c:v>
                </c:pt>
                <c:pt idx="2104">
                  <c:v>45461</c:v>
                </c:pt>
                <c:pt idx="2105">
                  <c:v>45462</c:v>
                </c:pt>
                <c:pt idx="2106">
                  <c:v>45463</c:v>
                </c:pt>
                <c:pt idx="2107">
                  <c:v>45464</c:v>
                </c:pt>
                <c:pt idx="2108">
                  <c:v>45467</c:v>
                </c:pt>
                <c:pt idx="2109">
                  <c:v>45468</c:v>
                </c:pt>
                <c:pt idx="2110">
                  <c:v>45469</c:v>
                </c:pt>
                <c:pt idx="2111">
                  <c:v>45470</c:v>
                </c:pt>
                <c:pt idx="2112">
                  <c:v>45471</c:v>
                </c:pt>
                <c:pt idx="2113">
                  <c:v>45474</c:v>
                </c:pt>
                <c:pt idx="2114">
                  <c:v>45475</c:v>
                </c:pt>
                <c:pt idx="2115">
                  <c:v>45476</c:v>
                </c:pt>
                <c:pt idx="2116">
                  <c:v>45477</c:v>
                </c:pt>
                <c:pt idx="2117">
                  <c:v>45478</c:v>
                </c:pt>
                <c:pt idx="2118">
                  <c:v>45481</c:v>
                </c:pt>
                <c:pt idx="2119">
                  <c:v>45482</c:v>
                </c:pt>
                <c:pt idx="2120">
                  <c:v>45483</c:v>
                </c:pt>
                <c:pt idx="2121">
                  <c:v>45484</c:v>
                </c:pt>
                <c:pt idx="2122">
                  <c:v>45485</c:v>
                </c:pt>
                <c:pt idx="2123">
                  <c:v>45488</c:v>
                </c:pt>
                <c:pt idx="2124">
                  <c:v>45489</c:v>
                </c:pt>
                <c:pt idx="2125">
                  <c:v>45490</c:v>
                </c:pt>
                <c:pt idx="2126">
                  <c:v>45491</c:v>
                </c:pt>
                <c:pt idx="2127">
                  <c:v>45492</c:v>
                </c:pt>
                <c:pt idx="2128">
                  <c:v>45495</c:v>
                </c:pt>
                <c:pt idx="2129">
                  <c:v>45496</c:v>
                </c:pt>
                <c:pt idx="2130">
                  <c:v>45497</c:v>
                </c:pt>
                <c:pt idx="2131">
                  <c:v>45498</c:v>
                </c:pt>
                <c:pt idx="2132">
                  <c:v>45499</c:v>
                </c:pt>
                <c:pt idx="2133">
                  <c:v>45502</c:v>
                </c:pt>
                <c:pt idx="2134">
                  <c:v>45503</c:v>
                </c:pt>
                <c:pt idx="2135">
                  <c:v>45504</c:v>
                </c:pt>
                <c:pt idx="2136">
                  <c:v>45505</c:v>
                </c:pt>
                <c:pt idx="2137">
                  <c:v>45506</c:v>
                </c:pt>
                <c:pt idx="2138">
                  <c:v>45509</c:v>
                </c:pt>
                <c:pt idx="2139">
                  <c:v>45510</c:v>
                </c:pt>
                <c:pt idx="2140">
                  <c:v>45511</c:v>
                </c:pt>
                <c:pt idx="2141">
                  <c:v>45512</c:v>
                </c:pt>
                <c:pt idx="2142">
                  <c:v>45516</c:v>
                </c:pt>
                <c:pt idx="2143">
                  <c:v>45517</c:v>
                </c:pt>
                <c:pt idx="2144">
                  <c:v>45518</c:v>
                </c:pt>
                <c:pt idx="2145">
                  <c:v>45519</c:v>
                </c:pt>
                <c:pt idx="2146">
                  <c:v>45520</c:v>
                </c:pt>
                <c:pt idx="2147">
                  <c:v>45523</c:v>
                </c:pt>
                <c:pt idx="2148">
                  <c:v>45524</c:v>
                </c:pt>
                <c:pt idx="2149">
                  <c:v>45525</c:v>
                </c:pt>
                <c:pt idx="2150">
                  <c:v>45526</c:v>
                </c:pt>
                <c:pt idx="2151">
                  <c:v>45527</c:v>
                </c:pt>
                <c:pt idx="2152">
                  <c:v>45530</c:v>
                </c:pt>
                <c:pt idx="2153">
                  <c:v>45531</c:v>
                </c:pt>
                <c:pt idx="2154">
                  <c:v>45532</c:v>
                </c:pt>
                <c:pt idx="2155">
                  <c:v>45533</c:v>
                </c:pt>
                <c:pt idx="2156">
                  <c:v>45534</c:v>
                </c:pt>
                <c:pt idx="2157">
                  <c:v>45537</c:v>
                </c:pt>
                <c:pt idx="2158">
                  <c:v>45538</c:v>
                </c:pt>
                <c:pt idx="2159">
                  <c:v>45539</c:v>
                </c:pt>
                <c:pt idx="2160">
                  <c:v>45540</c:v>
                </c:pt>
                <c:pt idx="2161">
                  <c:v>45541</c:v>
                </c:pt>
                <c:pt idx="2162">
                  <c:v>45544</c:v>
                </c:pt>
                <c:pt idx="2163">
                  <c:v>45545</c:v>
                </c:pt>
                <c:pt idx="2164">
                  <c:v>45546</c:v>
                </c:pt>
                <c:pt idx="2165">
                  <c:v>45547</c:v>
                </c:pt>
                <c:pt idx="2166">
                  <c:v>45548</c:v>
                </c:pt>
                <c:pt idx="2167">
                  <c:v>45551</c:v>
                </c:pt>
                <c:pt idx="2168">
                  <c:v>45552</c:v>
                </c:pt>
                <c:pt idx="2169">
                  <c:v>45553</c:v>
                </c:pt>
                <c:pt idx="2170">
                  <c:v>45554</c:v>
                </c:pt>
                <c:pt idx="2171">
                  <c:v>45555</c:v>
                </c:pt>
                <c:pt idx="2172">
                  <c:v>45558</c:v>
                </c:pt>
                <c:pt idx="2173">
                  <c:v>45560</c:v>
                </c:pt>
                <c:pt idx="2174">
                  <c:v>45561</c:v>
                </c:pt>
                <c:pt idx="2175">
                  <c:v>45562</c:v>
                </c:pt>
                <c:pt idx="2176">
                  <c:v>45565</c:v>
                </c:pt>
                <c:pt idx="2177">
                  <c:v>45566</c:v>
                </c:pt>
                <c:pt idx="2178">
                  <c:v>45567</c:v>
                </c:pt>
                <c:pt idx="2179">
                  <c:v>45568</c:v>
                </c:pt>
                <c:pt idx="2180">
                  <c:v>45569</c:v>
                </c:pt>
                <c:pt idx="2181">
                  <c:v>45572</c:v>
                </c:pt>
                <c:pt idx="2182">
                  <c:v>45573</c:v>
                </c:pt>
                <c:pt idx="2183">
                  <c:v>45574</c:v>
                </c:pt>
                <c:pt idx="2184">
                  <c:v>45575</c:v>
                </c:pt>
                <c:pt idx="2185">
                  <c:v>45576</c:v>
                </c:pt>
                <c:pt idx="2186">
                  <c:v>45579</c:v>
                </c:pt>
                <c:pt idx="2187">
                  <c:v>45580</c:v>
                </c:pt>
                <c:pt idx="2188">
                  <c:v>45581</c:v>
                </c:pt>
                <c:pt idx="2189">
                  <c:v>45582</c:v>
                </c:pt>
                <c:pt idx="2190">
                  <c:v>45583</c:v>
                </c:pt>
                <c:pt idx="2191">
                  <c:v>45586</c:v>
                </c:pt>
                <c:pt idx="2192">
                  <c:v>45587</c:v>
                </c:pt>
                <c:pt idx="2193">
                  <c:v>45588</c:v>
                </c:pt>
                <c:pt idx="2194">
                  <c:v>45589</c:v>
                </c:pt>
                <c:pt idx="2195">
                  <c:v>45590</c:v>
                </c:pt>
                <c:pt idx="2196">
                  <c:v>45593</c:v>
                </c:pt>
                <c:pt idx="2197">
                  <c:v>45594</c:v>
                </c:pt>
                <c:pt idx="2198">
                  <c:v>45595</c:v>
                </c:pt>
                <c:pt idx="2199">
                  <c:v>45596</c:v>
                </c:pt>
                <c:pt idx="2200">
                  <c:v>45597</c:v>
                </c:pt>
                <c:pt idx="2201">
                  <c:v>45600</c:v>
                </c:pt>
                <c:pt idx="2202">
                  <c:v>45601</c:v>
                </c:pt>
                <c:pt idx="2203">
                  <c:v>45602</c:v>
                </c:pt>
                <c:pt idx="2204">
                  <c:v>45603</c:v>
                </c:pt>
                <c:pt idx="2205">
                  <c:v>45604</c:v>
                </c:pt>
                <c:pt idx="2206">
                  <c:v>45607</c:v>
                </c:pt>
                <c:pt idx="2207">
                  <c:v>45608</c:v>
                </c:pt>
                <c:pt idx="2208">
                  <c:v>45609</c:v>
                </c:pt>
                <c:pt idx="2209">
                  <c:v>45610</c:v>
                </c:pt>
                <c:pt idx="2210">
                  <c:v>45611</c:v>
                </c:pt>
                <c:pt idx="2211">
                  <c:v>45614</c:v>
                </c:pt>
                <c:pt idx="2212">
                  <c:v>45615</c:v>
                </c:pt>
                <c:pt idx="2213">
                  <c:v>45616</c:v>
                </c:pt>
                <c:pt idx="2214">
                  <c:v>45617</c:v>
                </c:pt>
                <c:pt idx="2215">
                  <c:v>45618</c:v>
                </c:pt>
                <c:pt idx="2216">
                  <c:v>45621</c:v>
                </c:pt>
                <c:pt idx="2217">
                  <c:v>45622</c:v>
                </c:pt>
                <c:pt idx="2218">
                  <c:v>45623</c:v>
                </c:pt>
                <c:pt idx="2219">
                  <c:v>45624</c:v>
                </c:pt>
                <c:pt idx="2220">
                  <c:v>45625</c:v>
                </c:pt>
                <c:pt idx="2221">
                  <c:v>45628</c:v>
                </c:pt>
                <c:pt idx="2222">
                  <c:v>45629</c:v>
                </c:pt>
                <c:pt idx="2223">
                  <c:v>45630</c:v>
                </c:pt>
                <c:pt idx="2224">
                  <c:v>45631</c:v>
                </c:pt>
                <c:pt idx="2225">
                  <c:v>45632</c:v>
                </c:pt>
                <c:pt idx="2226">
                  <c:v>45635</c:v>
                </c:pt>
                <c:pt idx="2227">
                  <c:v>45636</c:v>
                </c:pt>
                <c:pt idx="2228">
                  <c:v>45637</c:v>
                </c:pt>
                <c:pt idx="2229">
                  <c:v>45638</c:v>
                </c:pt>
                <c:pt idx="2230">
                  <c:v>45639</c:v>
                </c:pt>
                <c:pt idx="2231">
                  <c:v>45643</c:v>
                </c:pt>
                <c:pt idx="2232">
                  <c:v>45644</c:v>
                </c:pt>
                <c:pt idx="2233">
                  <c:v>45645</c:v>
                </c:pt>
                <c:pt idx="2234">
                  <c:v>45646</c:v>
                </c:pt>
                <c:pt idx="2235">
                  <c:v>45649</c:v>
                </c:pt>
                <c:pt idx="2236">
                  <c:v>45650</c:v>
                </c:pt>
                <c:pt idx="2237">
                  <c:v>45653</c:v>
                </c:pt>
                <c:pt idx="2238">
                  <c:v>45656</c:v>
                </c:pt>
                <c:pt idx="2239">
                  <c:v>45657</c:v>
                </c:pt>
                <c:pt idx="2240">
                  <c:v>45659</c:v>
                </c:pt>
                <c:pt idx="2241">
                  <c:v>45660</c:v>
                </c:pt>
                <c:pt idx="2242">
                  <c:v>45663</c:v>
                </c:pt>
                <c:pt idx="2243">
                  <c:v>45664</c:v>
                </c:pt>
                <c:pt idx="2244">
                  <c:v>45665</c:v>
                </c:pt>
                <c:pt idx="2245">
                  <c:v>45666</c:v>
                </c:pt>
                <c:pt idx="2246">
                  <c:v>45667</c:v>
                </c:pt>
                <c:pt idx="2247">
                  <c:v>45670</c:v>
                </c:pt>
                <c:pt idx="2248">
                  <c:v>45671</c:v>
                </c:pt>
                <c:pt idx="2249">
                  <c:v>45672</c:v>
                </c:pt>
                <c:pt idx="2250">
                  <c:v>45673</c:v>
                </c:pt>
                <c:pt idx="2251">
                  <c:v>45674</c:v>
                </c:pt>
                <c:pt idx="2252">
                  <c:v>45677</c:v>
                </c:pt>
                <c:pt idx="2253">
                  <c:v>45678</c:v>
                </c:pt>
                <c:pt idx="2254">
                  <c:v>45679</c:v>
                </c:pt>
                <c:pt idx="2255">
                  <c:v>45680</c:v>
                </c:pt>
                <c:pt idx="2256">
                  <c:v>45681</c:v>
                </c:pt>
                <c:pt idx="2257">
                  <c:v>45684</c:v>
                </c:pt>
                <c:pt idx="2258">
                  <c:v>45685</c:v>
                </c:pt>
                <c:pt idx="2259">
                  <c:v>45686</c:v>
                </c:pt>
                <c:pt idx="2260">
                  <c:v>45687</c:v>
                </c:pt>
                <c:pt idx="2261">
                  <c:v>45688</c:v>
                </c:pt>
                <c:pt idx="2262">
                  <c:v>45691</c:v>
                </c:pt>
                <c:pt idx="2263">
                  <c:v>45692</c:v>
                </c:pt>
                <c:pt idx="2264">
                  <c:v>45693</c:v>
                </c:pt>
                <c:pt idx="2265">
                  <c:v>45694</c:v>
                </c:pt>
                <c:pt idx="2266">
                  <c:v>45695</c:v>
                </c:pt>
                <c:pt idx="2267">
                  <c:v>45698</c:v>
                </c:pt>
                <c:pt idx="2268">
                  <c:v>45699</c:v>
                </c:pt>
                <c:pt idx="2269">
                  <c:v>45700</c:v>
                </c:pt>
                <c:pt idx="2270">
                  <c:v>45701</c:v>
                </c:pt>
                <c:pt idx="2271">
                  <c:v>45702</c:v>
                </c:pt>
                <c:pt idx="2272">
                  <c:v>45705</c:v>
                </c:pt>
                <c:pt idx="2273">
                  <c:v>45706</c:v>
                </c:pt>
                <c:pt idx="2274">
                  <c:v>45707</c:v>
                </c:pt>
                <c:pt idx="2275">
                  <c:v>45708</c:v>
                </c:pt>
                <c:pt idx="2276">
                  <c:v>45709</c:v>
                </c:pt>
                <c:pt idx="2277">
                  <c:v>45712</c:v>
                </c:pt>
                <c:pt idx="2278">
                  <c:v>45713</c:v>
                </c:pt>
                <c:pt idx="2279">
                  <c:v>45714</c:v>
                </c:pt>
                <c:pt idx="2280">
                  <c:v>45715</c:v>
                </c:pt>
                <c:pt idx="2281">
                  <c:v>45716</c:v>
                </c:pt>
                <c:pt idx="2282">
                  <c:v>45719</c:v>
                </c:pt>
                <c:pt idx="2283">
                  <c:v>45720</c:v>
                </c:pt>
                <c:pt idx="2284">
                  <c:v>45721</c:v>
                </c:pt>
                <c:pt idx="2285">
                  <c:v>45722</c:v>
                </c:pt>
                <c:pt idx="2286">
                  <c:v>45723</c:v>
                </c:pt>
                <c:pt idx="2287">
                  <c:v>45726</c:v>
                </c:pt>
                <c:pt idx="2288">
                  <c:v>45727</c:v>
                </c:pt>
                <c:pt idx="2289">
                  <c:v>45728</c:v>
                </c:pt>
                <c:pt idx="2290">
                  <c:v>45729</c:v>
                </c:pt>
                <c:pt idx="2291">
                  <c:v>45730</c:v>
                </c:pt>
                <c:pt idx="2292">
                  <c:v>45733</c:v>
                </c:pt>
                <c:pt idx="2293">
                  <c:v>45734</c:v>
                </c:pt>
                <c:pt idx="2294">
                  <c:v>45735</c:v>
                </c:pt>
                <c:pt idx="2295">
                  <c:v>45736</c:v>
                </c:pt>
                <c:pt idx="2296">
                  <c:v>45740</c:v>
                </c:pt>
                <c:pt idx="2297">
                  <c:v>45741</c:v>
                </c:pt>
                <c:pt idx="2298">
                  <c:v>45742</c:v>
                </c:pt>
                <c:pt idx="2299">
                  <c:v>45743</c:v>
                </c:pt>
                <c:pt idx="2300">
                  <c:v>45744</c:v>
                </c:pt>
                <c:pt idx="2301">
                  <c:v>45747</c:v>
                </c:pt>
                <c:pt idx="2302">
                  <c:v>45748</c:v>
                </c:pt>
                <c:pt idx="2303">
                  <c:v>45749</c:v>
                </c:pt>
                <c:pt idx="2304">
                  <c:v>45750</c:v>
                </c:pt>
                <c:pt idx="2305">
                  <c:v>45751</c:v>
                </c:pt>
                <c:pt idx="2306">
                  <c:v>45754</c:v>
                </c:pt>
                <c:pt idx="2307">
                  <c:v>45755</c:v>
                </c:pt>
                <c:pt idx="2308">
                  <c:v>45756</c:v>
                </c:pt>
                <c:pt idx="2309">
                  <c:v>45757</c:v>
                </c:pt>
                <c:pt idx="2310">
                  <c:v>45758</c:v>
                </c:pt>
                <c:pt idx="2311">
                  <c:v>45761</c:v>
                </c:pt>
                <c:pt idx="2312">
                  <c:v>45762</c:v>
                </c:pt>
                <c:pt idx="2313">
                  <c:v>45763</c:v>
                </c:pt>
                <c:pt idx="2314">
                  <c:v>45764</c:v>
                </c:pt>
                <c:pt idx="2315">
                  <c:v>45769</c:v>
                </c:pt>
                <c:pt idx="2316">
                  <c:v>45770</c:v>
                </c:pt>
                <c:pt idx="2317">
                  <c:v>45771</c:v>
                </c:pt>
                <c:pt idx="2318">
                  <c:v>45772</c:v>
                </c:pt>
                <c:pt idx="2319">
                  <c:v>45776</c:v>
                </c:pt>
                <c:pt idx="2320">
                  <c:v>45777</c:v>
                </c:pt>
                <c:pt idx="2321">
                  <c:v>45779</c:v>
                </c:pt>
                <c:pt idx="2322">
                  <c:v>45782</c:v>
                </c:pt>
                <c:pt idx="2323">
                  <c:v>45783</c:v>
                </c:pt>
                <c:pt idx="2324">
                  <c:v>45784</c:v>
                </c:pt>
                <c:pt idx="2325">
                  <c:v>45785</c:v>
                </c:pt>
                <c:pt idx="2326">
                  <c:v>45786</c:v>
                </c:pt>
                <c:pt idx="2327">
                  <c:v>45789</c:v>
                </c:pt>
                <c:pt idx="2328">
                  <c:v>45790</c:v>
                </c:pt>
                <c:pt idx="2329">
                  <c:v>45791</c:v>
                </c:pt>
                <c:pt idx="2330">
                  <c:v>45792</c:v>
                </c:pt>
                <c:pt idx="2331">
                  <c:v>45793</c:v>
                </c:pt>
                <c:pt idx="2332">
                  <c:v>45796</c:v>
                </c:pt>
                <c:pt idx="2333">
                  <c:v>45797</c:v>
                </c:pt>
                <c:pt idx="2334">
                  <c:v>45798</c:v>
                </c:pt>
                <c:pt idx="2335">
                  <c:v>45799</c:v>
                </c:pt>
                <c:pt idx="2336">
                  <c:v>45800</c:v>
                </c:pt>
                <c:pt idx="2337">
                  <c:v>45803</c:v>
                </c:pt>
                <c:pt idx="2338">
                  <c:v>45804</c:v>
                </c:pt>
                <c:pt idx="2339">
                  <c:v>45805</c:v>
                </c:pt>
                <c:pt idx="2340">
                  <c:v>45806</c:v>
                </c:pt>
                <c:pt idx="2341">
                  <c:v>45807</c:v>
                </c:pt>
                <c:pt idx="2342">
                  <c:v>45810</c:v>
                </c:pt>
                <c:pt idx="2343">
                  <c:v>45811</c:v>
                </c:pt>
                <c:pt idx="2344">
                  <c:v>45812</c:v>
                </c:pt>
                <c:pt idx="2345">
                  <c:v>45813</c:v>
                </c:pt>
                <c:pt idx="2346">
                  <c:v>45814</c:v>
                </c:pt>
                <c:pt idx="2347">
                  <c:v>45817</c:v>
                </c:pt>
                <c:pt idx="2348">
                  <c:v>45818</c:v>
                </c:pt>
                <c:pt idx="2349">
                  <c:v>45819</c:v>
                </c:pt>
                <c:pt idx="2350">
                  <c:v>45820</c:v>
                </c:pt>
                <c:pt idx="2351">
                  <c:v>45821</c:v>
                </c:pt>
                <c:pt idx="2352">
                  <c:v>45825</c:v>
                </c:pt>
                <c:pt idx="2353">
                  <c:v>45826</c:v>
                </c:pt>
                <c:pt idx="2354">
                  <c:v>45827</c:v>
                </c:pt>
                <c:pt idx="2355">
                  <c:v>45828</c:v>
                </c:pt>
                <c:pt idx="2356">
                  <c:v>45831</c:v>
                </c:pt>
                <c:pt idx="2357">
                  <c:v>45832</c:v>
                </c:pt>
                <c:pt idx="2358">
                  <c:v>45833</c:v>
                </c:pt>
                <c:pt idx="2359">
                  <c:v>45834</c:v>
                </c:pt>
                <c:pt idx="2360">
                  <c:v>45835</c:v>
                </c:pt>
                <c:pt idx="2361">
                  <c:v>45838</c:v>
                </c:pt>
                <c:pt idx="2362">
                  <c:v>45839</c:v>
                </c:pt>
                <c:pt idx="2363">
                  <c:v>45840</c:v>
                </c:pt>
                <c:pt idx="2364">
                  <c:v>45841</c:v>
                </c:pt>
                <c:pt idx="2365">
                  <c:v>45842</c:v>
                </c:pt>
                <c:pt idx="2366">
                  <c:v>45845</c:v>
                </c:pt>
                <c:pt idx="2367">
                  <c:v>45846</c:v>
                </c:pt>
                <c:pt idx="2368">
                  <c:v>45847</c:v>
                </c:pt>
                <c:pt idx="2369">
                  <c:v>45848</c:v>
                </c:pt>
                <c:pt idx="2370">
                  <c:v>45849</c:v>
                </c:pt>
                <c:pt idx="2371">
                  <c:v>45852</c:v>
                </c:pt>
                <c:pt idx="2372">
                  <c:v>45853</c:v>
                </c:pt>
                <c:pt idx="2373">
                  <c:v>45854</c:v>
                </c:pt>
                <c:pt idx="2374">
                  <c:v>45855</c:v>
                </c:pt>
                <c:pt idx="2375">
                  <c:v>45856</c:v>
                </c:pt>
                <c:pt idx="2376">
                  <c:v>45859</c:v>
                </c:pt>
                <c:pt idx="2377">
                  <c:v>45860</c:v>
                </c:pt>
                <c:pt idx="2378">
                  <c:v>45861</c:v>
                </c:pt>
                <c:pt idx="2379">
                  <c:v>45862</c:v>
                </c:pt>
                <c:pt idx="2380">
                  <c:v>45863</c:v>
                </c:pt>
                <c:pt idx="2381">
                  <c:v>45866</c:v>
                </c:pt>
                <c:pt idx="2382">
                  <c:v>45867</c:v>
                </c:pt>
                <c:pt idx="2383">
                  <c:v>45868</c:v>
                </c:pt>
                <c:pt idx="2384">
                  <c:v>45869</c:v>
                </c:pt>
                <c:pt idx="2385">
                  <c:v>45870</c:v>
                </c:pt>
                <c:pt idx="2386">
                  <c:v>45873</c:v>
                </c:pt>
                <c:pt idx="2387">
                  <c:v>45874</c:v>
                </c:pt>
                <c:pt idx="2388">
                  <c:v>45875</c:v>
                </c:pt>
                <c:pt idx="2389">
                  <c:v>45876</c:v>
                </c:pt>
                <c:pt idx="2390">
                  <c:v>45877</c:v>
                </c:pt>
                <c:pt idx="2391">
                  <c:v>45880</c:v>
                </c:pt>
                <c:pt idx="2392">
                  <c:v>45881</c:v>
                </c:pt>
                <c:pt idx="2393">
                  <c:v>45882</c:v>
                </c:pt>
                <c:pt idx="2394">
                  <c:v>45883</c:v>
                </c:pt>
                <c:pt idx="2395">
                  <c:v>45884</c:v>
                </c:pt>
                <c:pt idx="2396">
                  <c:v>45887</c:v>
                </c:pt>
                <c:pt idx="2397">
                  <c:v>45888</c:v>
                </c:pt>
                <c:pt idx="2398">
                  <c:v>45889</c:v>
                </c:pt>
                <c:pt idx="2399">
                  <c:v>45890</c:v>
                </c:pt>
                <c:pt idx="2400">
                  <c:v>45891</c:v>
                </c:pt>
                <c:pt idx="2401">
                  <c:v>45894</c:v>
                </c:pt>
                <c:pt idx="2402">
                  <c:v>45895</c:v>
                </c:pt>
                <c:pt idx="2403">
                  <c:v>45896</c:v>
                </c:pt>
                <c:pt idx="2404">
                  <c:v>45897</c:v>
                </c:pt>
                <c:pt idx="2405">
                  <c:v>45898</c:v>
                </c:pt>
                <c:pt idx="2406">
                  <c:v>45901</c:v>
                </c:pt>
                <c:pt idx="2407">
                  <c:v>45902</c:v>
                </c:pt>
                <c:pt idx="2408">
                  <c:v>45903</c:v>
                </c:pt>
                <c:pt idx="2409">
                  <c:v>45904</c:v>
                </c:pt>
                <c:pt idx="2410">
                  <c:v>45905</c:v>
                </c:pt>
                <c:pt idx="2411">
                  <c:v>45908</c:v>
                </c:pt>
                <c:pt idx="2412">
                  <c:v>45909</c:v>
                </c:pt>
                <c:pt idx="2413">
                  <c:v>45910</c:v>
                </c:pt>
                <c:pt idx="2414">
                  <c:v>45911</c:v>
                </c:pt>
                <c:pt idx="2415">
                  <c:v>45912</c:v>
                </c:pt>
                <c:pt idx="2416">
                  <c:v>45915</c:v>
                </c:pt>
                <c:pt idx="2417">
                  <c:v>45916</c:v>
                </c:pt>
                <c:pt idx="2418">
                  <c:v>45917</c:v>
                </c:pt>
                <c:pt idx="2419">
                  <c:v>45918</c:v>
                </c:pt>
                <c:pt idx="2420">
                  <c:v>45919</c:v>
                </c:pt>
                <c:pt idx="2421">
                  <c:v>45922</c:v>
                </c:pt>
                <c:pt idx="2422">
                  <c:v>45923</c:v>
                </c:pt>
                <c:pt idx="2423">
                  <c:v>45925</c:v>
                </c:pt>
                <c:pt idx="2424">
                  <c:v>45926</c:v>
                </c:pt>
                <c:pt idx="2425">
                  <c:v>45929</c:v>
                </c:pt>
                <c:pt idx="2426">
                  <c:v>45930</c:v>
                </c:pt>
                <c:pt idx="2427">
                  <c:v>45931</c:v>
                </c:pt>
                <c:pt idx="2428">
                  <c:v>45932</c:v>
                </c:pt>
                <c:pt idx="2429">
                  <c:v>45933</c:v>
                </c:pt>
                <c:pt idx="2430">
                  <c:v>45936</c:v>
                </c:pt>
                <c:pt idx="2431">
                  <c:v>45937</c:v>
                </c:pt>
                <c:pt idx="2432">
                  <c:v>45938</c:v>
                </c:pt>
                <c:pt idx="2433">
                  <c:v>45939</c:v>
                </c:pt>
                <c:pt idx="2434">
                  <c:v>45940</c:v>
                </c:pt>
                <c:pt idx="2435">
                  <c:v>45943</c:v>
                </c:pt>
                <c:pt idx="2436">
                  <c:v>45944</c:v>
                </c:pt>
                <c:pt idx="2437">
                  <c:v>45945</c:v>
                </c:pt>
                <c:pt idx="2438">
                  <c:v>45946</c:v>
                </c:pt>
                <c:pt idx="2439">
                  <c:v>45947</c:v>
                </c:pt>
                <c:pt idx="2440">
                  <c:v>45950</c:v>
                </c:pt>
                <c:pt idx="2441">
                  <c:v>45951</c:v>
                </c:pt>
                <c:pt idx="2442">
                  <c:v>45952</c:v>
                </c:pt>
                <c:pt idx="2443">
                  <c:v>45953</c:v>
                </c:pt>
                <c:pt idx="2444">
                  <c:v>45954</c:v>
                </c:pt>
                <c:pt idx="2445">
                  <c:v>45957</c:v>
                </c:pt>
                <c:pt idx="2446">
                  <c:v>45958</c:v>
                </c:pt>
                <c:pt idx="2447">
                  <c:v>45959</c:v>
                </c:pt>
                <c:pt idx="2448">
                  <c:v>45960</c:v>
                </c:pt>
                <c:pt idx="2449">
                  <c:v>45961</c:v>
                </c:pt>
                <c:pt idx="2450">
                  <c:v>45964</c:v>
                </c:pt>
                <c:pt idx="2451">
                  <c:v>45965</c:v>
                </c:pt>
                <c:pt idx="2452">
                  <c:v>45966</c:v>
                </c:pt>
                <c:pt idx="2453">
                  <c:v>45967</c:v>
                </c:pt>
                <c:pt idx="2454">
                  <c:v>45968</c:v>
                </c:pt>
                <c:pt idx="2455">
                  <c:v>45971</c:v>
                </c:pt>
                <c:pt idx="2456">
                  <c:v>45972</c:v>
                </c:pt>
                <c:pt idx="2457">
                  <c:v>45973</c:v>
                </c:pt>
                <c:pt idx="2458">
                  <c:v>45974</c:v>
                </c:pt>
                <c:pt idx="2459">
                  <c:v>45975</c:v>
                </c:pt>
                <c:pt idx="2460">
                  <c:v>45978</c:v>
                </c:pt>
                <c:pt idx="2461">
                  <c:v>45979</c:v>
                </c:pt>
                <c:pt idx="2462">
                  <c:v>45980</c:v>
                </c:pt>
                <c:pt idx="2463">
                  <c:v>45981</c:v>
                </c:pt>
                <c:pt idx="2464">
                  <c:v>45982</c:v>
                </c:pt>
                <c:pt idx="2465">
                  <c:v>45985</c:v>
                </c:pt>
                <c:pt idx="2466">
                  <c:v>45986</c:v>
                </c:pt>
                <c:pt idx="2467">
                  <c:v>45987</c:v>
                </c:pt>
                <c:pt idx="2468">
                  <c:v>45988</c:v>
                </c:pt>
                <c:pt idx="2469">
                  <c:v>45989</c:v>
                </c:pt>
                <c:pt idx="2470">
                  <c:v>45992</c:v>
                </c:pt>
                <c:pt idx="2471">
                  <c:v>45993</c:v>
                </c:pt>
                <c:pt idx="2472">
                  <c:v>45994</c:v>
                </c:pt>
                <c:pt idx="2473">
                  <c:v>45995</c:v>
                </c:pt>
                <c:pt idx="2474">
                  <c:v>45996</c:v>
                </c:pt>
                <c:pt idx="2475">
                  <c:v>45999</c:v>
                </c:pt>
                <c:pt idx="2476">
                  <c:v>46000</c:v>
                </c:pt>
                <c:pt idx="2477">
                  <c:v>46001</c:v>
                </c:pt>
                <c:pt idx="2478">
                  <c:v>46002</c:v>
                </c:pt>
                <c:pt idx="2479">
                  <c:v>46003</c:v>
                </c:pt>
                <c:pt idx="2480">
                  <c:v>46006</c:v>
                </c:pt>
                <c:pt idx="2481">
                  <c:v>46008</c:v>
                </c:pt>
                <c:pt idx="2482">
                  <c:v>46009</c:v>
                </c:pt>
                <c:pt idx="2483">
                  <c:v>46010</c:v>
                </c:pt>
                <c:pt idx="2484">
                  <c:v>46013</c:v>
                </c:pt>
                <c:pt idx="2485">
                  <c:v>46014</c:v>
                </c:pt>
                <c:pt idx="2486">
                  <c:v>46015</c:v>
                </c:pt>
                <c:pt idx="2487">
                  <c:v>46020</c:v>
                </c:pt>
                <c:pt idx="2488">
                  <c:v>46021</c:v>
                </c:pt>
                <c:pt idx="2489">
                  <c:v>46022</c:v>
                </c:pt>
                <c:pt idx="2490">
                  <c:v>46024</c:v>
                </c:pt>
                <c:pt idx="2491">
                  <c:v>46027</c:v>
                </c:pt>
                <c:pt idx="2492">
                  <c:v>46028</c:v>
                </c:pt>
                <c:pt idx="2493">
                  <c:v>46029</c:v>
                </c:pt>
                <c:pt idx="2494">
                  <c:v>46030</c:v>
                </c:pt>
                <c:pt idx="2495">
                  <c:v>46031</c:v>
                </c:pt>
                <c:pt idx="2496">
                  <c:v>46034</c:v>
                </c:pt>
                <c:pt idx="2497">
                  <c:v>46035</c:v>
                </c:pt>
                <c:pt idx="2498">
                  <c:v>46036</c:v>
                </c:pt>
                <c:pt idx="2499">
                  <c:v>46037</c:v>
                </c:pt>
                <c:pt idx="2500">
                  <c:v>46038</c:v>
                </c:pt>
                <c:pt idx="2501">
                  <c:v>46041</c:v>
                </c:pt>
                <c:pt idx="2502">
                  <c:v>46042</c:v>
                </c:pt>
                <c:pt idx="2503">
                  <c:v>46043</c:v>
                </c:pt>
                <c:pt idx="2504">
                  <c:v>46044</c:v>
                </c:pt>
                <c:pt idx="2505">
                  <c:v>46045</c:v>
                </c:pt>
                <c:pt idx="2506">
                  <c:v>46048</c:v>
                </c:pt>
                <c:pt idx="2507">
                  <c:v>46049</c:v>
                </c:pt>
                <c:pt idx="2508">
                  <c:v>46050</c:v>
                </c:pt>
                <c:pt idx="2509">
                  <c:v>46051</c:v>
                </c:pt>
                <c:pt idx="2510">
                  <c:v>46052</c:v>
                </c:pt>
                <c:pt idx="2511">
                  <c:v>46055</c:v>
                </c:pt>
                <c:pt idx="2512">
                  <c:v>46056</c:v>
                </c:pt>
                <c:pt idx="2513">
                  <c:v>46057</c:v>
                </c:pt>
                <c:pt idx="2514">
                  <c:v>46058</c:v>
                </c:pt>
                <c:pt idx="2515">
                  <c:v>46059</c:v>
                </c:pt>
                <c:pt idx="2516">
                  <c:v>46062</c:v>
                </c:pt>
                <c:pt idx="2517">
                  <c:v>46063</c:v>
                </c:pt>
                <c:pt idx="2518">
                  <c:v>46064</c:v>
                </c:pt>
                <c:pt idx="2519">
                  <c:v>46065</c:v>
                </c:pt>
                <c:pt idx="2520">
                  <c:v>46066</c:v>
                </c:pt>
                <c:pt idx="2521">
                  <c:v>46069</c:v>
                </c:pt>
                <c:pt idx="2522">
                  <c:v>46070</c:v>
                </c:pt>
                <c:pt idx="2523">
                  <c:v>46071</c:v>
                </c:pt>
                <c:pt idx="2524">
                  <c:v>46072</c:v>
                </c:pt>
                <c:pt idx="2525">
                  <c:v>46073</c:v>
                </c:pt>
                <c:pt idx="2526">
                  <c:v>46076</c:v>
                </c:pt>
                <c:pt idx="2527">
                  <c:v>46077</c:v>
                </c:pt>
                <c:pt idx="2528">
                  <c:v>46078</c:v>
                </c:pt>
                <c:pt idx="2529">
                  <c:v>46079</c:v>
                </c:pt>
                <c:pt idx="2530">
                  <c:v>46080</c:v>
                </c:pt>
                <c:pt idx="2531">
                  <c:v>46083</c:v>
                </c:pt>
                <c:pt idx="2532">
                  <c:v>46084</c:v>
                </c:pt>
                <c:pt idx="2533">
                  <c:v>46085</c:v>
                </c:pt>
                <c:pt idx="2534">
                  <c:v>46086</c:v>
                </c:pt>
                <c:pt idx="2535">
                  <c:v>46087</c:v>
                </c:pt>
                <c:pt idx="2536">
                  <c:v>46090</c:v>
                </c:pt>
                <c:pt idx="2537">
                  <c:v>46091</c:v>
                </c:pt>
                <c:pt idx="2538">
                  <c:v>46092</c:v>
                </c:pt>
                <c:pt idx="2539">
                  <c:v>46093</c:v>
                </c:pt>
                <c:pt idx="2540">
                  <c:v>46094</c:v>
                </c:pt>
                <c:pt idx="2541">
                  <c:v>46097</c:v>
                </c:pt>
                <c:pt idx="2542">
                  <c:v>46098</c:v>
                </c:pt>
                <c:pt idx="2543">
                  <c:v>46099</c:v>
                </c:pt>
                <c:pt idx="2544">
                  <c:v>46100</c:v>
                </c:pt>
                <c:pt idx="2545">
                  <c:v>46101</c:v>
                </c:pt>
                <c:pt idx="2546">
                  <c:v>46104</c:v>
                </c:pt>
                <c:pt idx="2547">
                  <c:v>46105</c:v>
                </c:pt>
                <c:pt idx="2548">
                  <c:v>46106</c:v>
                </c:pt>
                <c:pt idx="2549">
                  <c:v>46107</c:v>
                </c:pt>
                <c:pt idx="2550">
                  <c:v>46108</c:v>
                </c:pt>
                <c:pt idx="2551">
                  <c:v>46111</c:v>
                </c:pt>
                <c:pt idx="2552">
                  <c:v>46112</c:v>
                </c:pt>
                <c:pt idx="2553">
                  <c:v>46113</c:v>
                </c:pt>
                <c:pt idx="2554">
                  <c:v>46114</c:v>
                </c:pt>
                <c:pt idx="2555">
                  <c:v>46119</c:v>
                </c:pt>
                <c:pt idx="2556">
                  <c:v>46120</c:v>
                </c:pt>
                <c:pt idx="2557">
                  <c:v>46121</c:v>
                </c:pt>
                <c:pt idx="2558">
                  <c:v>46122</c:v>
                </c:pt>
                <c:pt idx="2559">
                  <c:v>46125</c:v>
                </c:pt>
                <c:pt idx="2560">
                  <c:v>46126</c:v>
                </c:pt>
                <c:pt idx="2561">
                  <c:v>46127</c:v>
                </c:pt>
                <c:pt idx="2562">
                  <c:v>46128</c:v>
                </c:pt>
                <c:pt idx="2563">
                  <c:v>46129</c:v>
                </c:pt>
                <c:pt idx="2564">
                  <c:v>46132</c:v>
                </c:pt>
                <c:pt idx="2565">
                  <c:v>46133</c:v>
                </c:pt>
                <c:pt idx="2566">
                  <c:v>46134</c:v>
                </c:pt>
                <c:pt idx="2567">
                  <c:v>46135</c:v>
                </c:pt>
                <c:pt idx="2568">
                  <c:v>46136</c:v>
                </c:pt>
                <c:pt idx="2569">
                  <c:v>46140</c:v>
                </c:pt>
                <c:pt idx="2570">
                  <c:v>46141</c:v>
                </c:pt>
                <c:pt idx="2571">
                  <c:v>46142</c:v>
                </c:pt>
                <c:pt idx="2572">
                  <c:v>46146</c:v>
                </c:pt>
                <c:pt idx="2573">
                  <c:v>46147</c:v>
                </c:pt>
                <c:pt idx="2574">
                  <c:v>46148</c:v>
                </c:pt>
                <c:pt idx="2575">
                  <c:v>46149</c:v>
                </c:pt>
                <c:pt idx="2576">
                  <c:v>46150</c:v>
                </c:pt>
                <c:pt idx="2577">
                  <c:v>46153</c:v>
                </c:pt>
                <c:pt idx="2578">
                  <c:v>46154</c:v>
                </c:pt>
                <c:pt idx="2579">
                  <c:v>46155</c:v>
                </c:pt>
                <c:pt idx="2580">
                  <c:v>46156</c:v>
                </c:pt>
                <c:pt idx="2581">
                  <c:v>46157</c:v>
                </c:pt>
                <c:pt idx="2582">
                  <c:v>46160</c:v>
                </c:pt>
                <c:pt idx="2583">
                  <c:v>46161</c:v>
                </c:pt>
                <c:pt idx="2584">
                  <c:v>46162</c:v>
                </c:pt>
                <c:pt idx="2585">
                  <c:v>46163</c:v>
                </c:pt>
                <c:pt idx="2586">
                  <c:v>46164</c:v>
                </c:pt>
                <c:pt idx="2587">
                  <c:v>46167</c:v>
                </c:pt>
                <c:pt idx="2588">
                  <c:v>46168</c:v>
                </c:pt>
                <c:pt idx="2589">
                  <c:v>46169</c:v>
                </c:pt>
                <c:pt idx="2590">
                  <c:v>46170</c:v>
                </c:pt>
                <c:pt idx="2591">
                  <c:v>46171</c:v>
                </c:pt>
                <c:pt idx="2592">
                  <c:v>46174</c:v>
                </c:pt>
                <c:pt idx="2593">
                  <c:v>46175</c:v>
                </c:pt>
                <c:pt idx="2594">
                  <c:v>46176</c:v>
                </c:pt>
              </c:numCache>
            </c:numRef>
          </c:cat>
          <c:val>
            <c:numRef>
              <c:f>'FTSE_JSE All Share Historical D'!$M$9:$M$2603</c:f>
              <c:numCache>
                <c:formatCode>0.0000</c:formatCode>
                <c:ptCount val="2595"/>
                <c:pt idx="0">
                  <c:v>1.1692949844126966E-2</c:v>
                </c:pt>
                <c:pt idx="1">
                  <c:v>1.5548439081046349E-2</c:v>
                </c:pt>
                <c:pt idx="2">
                  <c:v>1.3910365477760686E-2</c:v>
                </c:pt>
                <c:pt idx="3">
                  <c:v>1.0848217615781927E-2</c:v>
                </c:pt>
                <c:pt idx="4">
                  <c:v>1.1111142562596982E-2</c:v>
                </c:pt>
                <c:pt idx="5">
                  <c:v>1.2067597655012656E-2</c:v>
                </c:pt>
                <c:pt idx="6">
                  <c:v>1.1958268038572089E-2</c:v>
                </c:pt>
                <c:pt idx="7">
                  <c:v>1.5514675242171368E-2</c:v>
                </c:pt>
                <c:pt idx="8">
                  <c:v>1.0722236993660584E-2</c:v>
                </c:pt>
                <c:pt idx="9">
                  <c:v>1.1335839393882885E-2</c:v>
                </c:pt>
                <c:pt idx="10">
                  <c:v>1.2079539399241834E-2</c:v>
                </c:pt>
                <c:pt idx="11">
                  <c:v>1.1440068118115529E-2</c:v>
                </c:pt>
                <c:pt idx="12">
                  <c:v>1.141180467537368E-2</c:v>
                </c:pt>
                <c:pt idx="13">
                  <c:v>1.1069367923381656E-2</c:v>
                </c:pt>
                <c:pt idx="14">
                  <c:v>1.6151681074595334E-2</c:v>
                </c:pt>
                <c:pt idx="15">
                  <c:v>1.609650134425257E-2</c:v>
                </c:pt>
                <c:pt idx="16">
                  <c:v>1.6325401989834509E-2</c:v>
                </c:pt>
                <c:pt idx="17">
                  <c:v>1.4896251805384331E-2</c:v>
                </c:pt>
                <c:pt idx="18">
                  <c:v>1.5407272927587265E-2</c:v>
                </c:pt>
                <c:pt idx="19">
                  <c:v>1.6941587655556842E-2</c:v>
                </c:pt>
                <c:pt idx="20">
                  <c:v>1.6911639451375506E-2</c:v>
                </c:pt>
                <c:pt idx="21">
                  <c:v>1.0240690779311853E-2</c:v>
                </c:pt>
                <c:pt idx="22">
                  <c:v>9.8144313867060805E-3</c:v>
                </c:pt>
                <c:pt idx="23">
                  <c:v>1.0356793778886457E-2</c:v>
                </c:pt>
                <c:pt idx="24">
                  <c:v>7.0098934717248915E-3</c:v>
                </c:pt>
                <c:pt idx="25">
                  <c:v>1.3451422531377877E-2</c:v>
                </c:pt>
                <c:pt idx="26">
                  <c:v>1.2101868086899429E-2</c:v>
                </c:pt>
                <c:pt idx="27">
                  <c:v>1.1947806953309348E-2</c:v>
                </c:pt>
                <c:pt idx="28">
                  <c:v>1.2243338546289811E-2</c:v>
                </c:pt>
                <c:pt idx="29">
                  <c:v>1.2311609559416608E-2</c:v>
                </c:pt>
                <c:pt idx="30">
                  <c:v>1.1179199326344489E-2</c:v>
                </c:pt>
                <c:pt idx="31">
                  <c:v>1.1327899837859992E-2</c:v>
                </c:pt>
                <c:pt idx="32">
                  <c:v>1.692009178823238E-2</c:v>
                </c:pt>
                <c:pt idx="33">
                  <c:v>1.7459095127878885E-2</c:v>
                </c:pt>
                <c:pt idx="34">
                  <c:v>1.7489053968948027E-2</c:v>
                </c:pt>
                <c:pt idx="35">
                  <c:v>1.868522497487872E-2</c:v>
                </c:pt>
                <c:pt idx="36">
                  <c:v>1.837984945926506E-2</c:v>
                </c:pt>
                <c:pt idx="37">
                  <c:v>1.839900051066487E-2</c:v>
                </c:pt>
                <c:pt idx="38">
                  <c:v>1.8134072872887496E-2</c:v>
                </c:pt>
                <c:pt idx="39">
                  <c:v>1.3517078823774301E-2</c:v>
                </c:pt>
                <c:pt idx="40">
                  <c:v>1.6625795039924243E-2</c:v>
                </c:pt>
                <c:pt idx="41">
                  <c:v>1.6058280991453663E-2</c:v>
                </c:pt>
                <c:pt idx="42">
                  <c:v>1.479699604258013E-2</c:v>
                </c:pt>
                <c:pt idx="43">
                  <c:v>1.4519632334882088E-2</c:v>
                </c:pt>
                <c:pt idx="44">
                  <c:v>1.8314224677956143E-2</c:v>
                </c:pt>
                <c:pt idx="45">
                  <c:v>2.1195684879857592E-2</c:v>
                </c:pt>
                <c:pt idx="46">
                  <c:v>2.1288343678659699E-2</c:v>
                </c:pt>
                <c:pt idx="47">
                  <c:v>1.7377739181940507E-2</c:v>
                </c:pt>
                <c:pt idx="48">
                  <c:v>1.7473757359268038E-2</c:v>
                </c:pt>
                <c:pt idx="49">
                  <c:v>1.6863057601007637E-2</c:v>
                </c:pt>
                <c:pt idx="50">
                  <c:v>1.705392844185101E-2</c:v>
                </c:pt>
                <c:pt idx="51">
                  <c:v>1.962699314024953E-2</c:v>
                </c:pt>
                <c:pt idx="52">
                  <c:v>1.5653310941267561E-2</c:v>
                </c:pt>
                <c:pt idx="53">
                  <c:v>1.9253769685136365E-2</c:v>
                </c:pt>
                <c:pt idx="54">
                  <c:v>1.7440011806988991E-2</c:v>
                </c:pt>
                <c:pt idx="55">
                  <c:v>1.7851175288496657E-2</c:v>
                </c:pt>
                <c:pt idx="56">
                  <c:v>2.6925858059871813E-2</c:v>
                </c:pt>
                <c:pt idx="57">
                  <c:v>2.6732418890591518E-2</c:v>
                </c:pt>
                <c:pt idx="58">
                  <c:v>2.4946554132846924E-2</c:v>
                </c:pt>
                <c:pt idx="59">
                  <c:v>2.4706752804926672E-2</c:v>
                </c:pt>
                <c:pt idx="60">
                  <c:v>2.4709828285498499E-2</c:v>
                </c:pt>
                <c:pt idx="61">
                  <c:v>2.4810238686014948E-2</c:v>
                </c:pt>
                <c:pt idx="62">
                  <c:v>2.557852218880062E-2</c:v>
                </c:pt>
                <c:pt idx="63">
                  <c:v>1.0186797528531523E-2</c:v>
                </c:pt>
                <c:pt idx="64">
                  <c:v>8.6206166792790282E-3</c:v>
                </c:pt>
                <c:pt idx="65">
                  <c:v>1.0985872803246734E-2</c:v>
                </c:pt>
                <c:pt idx="66">
                  <c:v>1.3372543437596838E-2</c:v>
                </c:pt>
                <c:pt idx="67">
                  <c:v>1.3144997946950584E-2</c:v>
                </c:pt>
                <c:pt idx="68">
                  <c:v>1.4939559190173255E-2</c:v>
                </c:pt>
                <c:pt idx="69">
                  <c:v>1.3817096370154939E-2</c:v>
                </c:pt>
                <c:pt idx="70">
                  <c:v>1.3604092611501119E-2</c:v>
                </c:pt>
                <c:pt idx="71">
                  <c:v>1.3328681669696894E-2</c:v>
                </c:pt>
                <c:pt idx="72">
                  <c:v>8.6994395135599409E-3</c:v>
                </c:pt>
                <c:pt idx="73">
                  <c:v>8.0256444420035346E-3</c:v>
                </c:pt>
                <c:pt idx="74">
                  <c:v>1.1514287390967711E-2</c:v>
                </c:pt>
                <c:pt idx="75">
                  <c:v>9.9498411136497381E-3</c:v>
                </c:pt>
                <c:pt idx="76">
                  <c:v>1.0871891773912394E-2</c:v>
                </c:pt>
                <c:pt idx="77">
                  <c:v>1.1711113918563137E-2</c:v>
                </c:pt>
                <c:pt idx="78">
                  <c:v>1.9875921027015263E-2</c:v>
                </c:pt>
                <c:pt idx="79">
                  <c:v>1.9848316170368894E-2</c:v>
                </c:pt>
                <c:pt idx="80">
                  <c:v>1.994398319214391E-2</c:v>
                </c:pt>
                <c:pt idx="81">
                  <c:v>1.9190620098446715E-2</c:v>
                </c:pt>
                <c:pt idx="82">
                  <c:v>2.1011115378941521E-2</c:v>
                </c:pt>
                <c:pt idx="83">
                  <c:v>2.029557878141067E-2</c:v>
                </c:pt>
                <c:pt idx="84">
                  <c:v>2.0317512462849772E-2</c:v>
                </c:pt>
                <c:pt idx="85">
                  <c:v>8.9027360898537283E-3</c:v>
                </c:pt>
                <c:pt idx="86">
                  <c:v>8.7809875834618679E-3</c:v>
                </c:pt>
                <c:pt idx="87">
                  <c:v>8.347272769890713E-3</c:v>
                </c:pt>
                <c:pt idx="88">
                  <c:v>7.5169779993755487E-3</c:v>
                </c:pt>
                <c:pt idx="89">
                  <c:v>4.2212429672570566E-3</c:v>
                </c:pt>
                <c:pt idx="90">
                  <c:v>3.7328598468194161E-3</c:v>
                </c:pt>
                <c:pt idx="91">
                  <c:v>3.9352239693262181E-3</c:v>
                </c:pt>
                <c:pt idx="92">
                  <c:v>7.3753092018964406E-3</c:v>
                </c:pt>
                <c:pt idx="93">
                  <c:v>7.7974414049635093E-3</c:v>
                </c:pt>
                <c:pt idx="94">
                  <c:v>8.9091820758427104E-3</c:v>
                </c:pt>
                <c:pt idx="95">
                  <c:v>9.0666327072121845E-3</c:v>
                </c:pt>
                <c:pt idx="96">
                  <c:v>1.0683488336525498E-2</c:v>
                </c:pt>
                <c:pt idx="97">
                  <c:v>1.0372655630248485E-2</c:v>
                </c:pt>
                <c:pt idx="98">
                  <c:v>1.044843117664959E-2</c:v>
                </c:pt>
                <c:pt idx="99">
                  <c:v>9.6593461092296298E-3</c:v>
                </c:pt>
                <c:pt idx="100">
                  <c:v>9.143580264767491E-3</c:v>
                </c:pt>
                <c:pt idx="101">
                  <c:v>9.3076057400662687E-3</c:v>
                </c:pt>
                <c:pt idx="102">
                  <c:v>8.6793314235008683E-3</c:v>
                </c:pt>
                <c:pt idx="103">
                  <c:v>5.7473504457164586E-3</c:v>
                </c:pt>
                <c:pt idx="104">
                  <c:v>6.4939234276720267E-3</c:v>
                </c:pt>
                <c:pt idx="105">
                  <c:v>6.5110349919887348E-3</c:v>
                </c:pt>
                <c:pt idx="106">
                  <c:v>5.6568041009113822E-3</c:v>
                </c:pt>
                <c:pt idx="107">
                  <c:v>6.31748942558051E-3</c:v>
                </c:pt>
                <c:pt idx="108">
                  <c:v>4.6864173150372411E-3</c:v>
                </c:pt>
                <c:pt idx="109">
                  <c:v>5.1467933017932529E-3</c:v>
                </c:pt>
                <c:pt idx="110">
                  <c:v>5.3781989184839936E-3</c:v>
                </c:pt>
                <c:pt idx="111">
                  <c:v>5.3131209002693384E-3</c:v>
                </c:pt>
                <c:pt idx="112">
                  <c:v>5.7608867258759529E-3</c:v>
                </c:pt>
                <c:pt idx="113">
                  <c:v>9.3721818593261834E-3</c:v>
                </c:pt>
                <c:pt idx="114">
                  <c:v>9.9738330640517774E-3</c:v>
                </c:pt>
                <c:pt idx="115">
                  <c:v>9.9519710355740702E-3</c:v>
                </c:pt>
                <c:pt idx="116">
                  <c:v>9.3966869656394204E-3</c:v>
                </c:pt>
                <c:pt idx="117">
                  <c:v>9.5312657319193105E-3</c:v>
                </c:pt>
                <c:pt idx="118">
                  <c:v>1.0204175720092282E-2</c:v>
                </c:pt>
                <c:pt idx="119">
                  <c:v>1.0297618653275057E-2</c:v>
                </c:pt>
                <c:pt idx="120">
                  <c:v>9.5652857426846514E-3</c:v>
                </c:pt>
                <c:pt idx="121">
                  <c:v>9.6065586341752551E-3</c:v>
                </c:pt>
                <c:pt idx="122">
                  <c:v>9.4081135042610869E-3</c:v>
                </c:pt>
                <c:pt idx="123">
                  <c:v>9.3647367770059043E-3</c:v>
                </c:pt>
                <c:pt idx="124">
                  <c:v>1.1958980705658614E-2</c:v>
                </c:pt>
                <c:pt idx="125">
                  <c:v>1.1310719309960126E-2</c:v>
                </c:pt>
                <c:pt idx="126">
                  <c:v>1.2792578183591771E-2</c:v>
                </c:pt>
                <c:pt idx="127">
                  <c:v>1.379984773872386E-2</c:v>
                </c:pt>
                <c:pt idx="128">
                  <c:v>1.2401209356432203E-2</c:v>
                </c:pt>
                <c:pt idx="129">
                  <c:v>1.3541549619759979E-2</c:v>
                </c:pt>
                <c:pt idx="130">
                  <c:v>1.4438302904340217E-2</c:v>
                </c:pt>
                <c:pt idx="131">
                  <c:v>1.4080402276464647E-2</c:v>
                </c:pt>
                <c:pt idx="132">
                  <c:v>1.40704331483515E-2</c:v>
                </c:pt>
                <c:pt idx="133">
                  <c:v>1.4669608673673012E-2</c:v>
                </c:pt>
                <c:pt idx="134">
                  <c:v>1.3516574986630711E-2</c:v>
                </c:pt>
                <c:pt idx="135">
                  <c:v>1.3947897312758731E-2</c:v>
                </c:pt>
                <c:pt idx="136">
                  <c:v>1.0022141106069356E-2</c:v>
                </c:pt>
                <c:pt idx="137">
                  <c:v>1.351914640285236E-2</c:v>
                </c:pt>
                <c:pt idx="138">
                  <c:v>1.2834308415676824E-2</c:v>
                </c:pt>
                <c:pt idx="139">
                  <c:v>1.3051693225034822E-2</c:v>
                </c:pt>
                <c:pt idx="140">
                  <c:v>1.0964241812933458E-2</c:v>
                </c:pt>
                <c:pt idx="141">
                  <c:v>1.0343834350686866E-2</c:v>
                </c:pt>
                <c:pt idx="142">
                  <c:v>1.0034509479757757E-2</c:v>
                </c:pt>
                <c:pt idx="143">
                  <c:v>9.7579861418067727E-3</c:v>
                </c:pt>
                <c:pt idx="144">
                  <c:v>8.2909596751506356E-3</c:v>
                </c:pt>
                <c:pt idx="145">
                  <c:v>1.1121671895778293E-2</c:v>
                </c:pt>
                <c:pt idx="146">
                  <c:v>1.0971744733598522E-2</c:v>
                </c:pt>
                <c:pt idx="147">
                  <c:v>1.3920011398107474E-2</c:v>
                </c:pt>
                <c:pt idx="148">
                  <c:v>1.3942075057974576E-2</c:v>
                </c:pt>
                <c:pt idx="149">
                  <c:v>1.4573754230830949E-2</c:v>
                </c:pt>
                <c:pt idx="150">
                  <c:v>1.5146294253359718E-2</c:v>
                </c:pt>
                <c:pt idx="151">
                  <c:v>1.544856467720539E-2</c:v>
                </c:pt>
                <c:pt idx="152">
                  <c:v>1.3391691065642286E-2</c:v>
                </c:pt>
                <c:pt idx="153">
                  <c:v>1.4144114764998635E-2</c:v>
                </c:pt>
                <c:pt idx="154">
                  <c:v>1.0963315320663995E-2</c:v>
                </c:pt>
                <c:pt idx="155">
                  <c:v>1.1174549206457041E-2</c:v>
                </c:pt>
                <c:pt idx="156">
                  <c:v>7.9025442706513113E-3</c:v>
                </c:pt>
                <c:pt idx="157">
                  <c:v>7.6834616509896076E-3</c:v>
                </c:pt>
                <c:pt idx="158">
                  <c:v>7.4084584341970747E-3</c:v>
                </c:pt>
                <c:pt idx="159">
                  <c:v>8.9341714455449736E-3</c:v>
                </c:pt>
                <c:pt idx="160">
                  <c:v>9.156438436490489E-3</c:v>
                </c:pt>
                <c:pt idx="161">
                  <c:v>9.1360434555063201E-3</c:v>
                </c:pt>
                <c:pt idx="162">
                  <c:v>8.1283779986076662E-3</c:v>
                </c:pt>
                <c:pt idx="163">
                  <c:v>7.1398764353980213E-3</c:v>
                </c:pt>
                <c:pt idx="164">
                  <c:v>6.3493927229927296E-3</c:v>
                </c:pt>
                <c:pt idx="165">
                  <c:v>8.1949386412658812E-3</c:v>
                </c:pt>
                <c:pt idx="166">
                  <c:v>6.7026174190279002E-3</c:v>
                </c:pt>
                <c:pt idx="167">
                  <c:v>6.0736341346380764E-3</c:v>
                </c:pt>
                <c:pt idx="168">
                  <c:v>6.0697314902068067E-3</c:v>
                </c:pt>
                <c:pt idx="169">
                  <c:v>5.9785753060479056E-3</c:v>
                </c:pt>
                <c:pt idx="170">
                  <c:v>5.9465923145684595E-3</c:v>
                </c:pt>
                <c:pt idx="171">
                  <c:v>5.3316433766835026E-3</c:v>
                </c:pt>
                <c:pt idx="172">
                  <c:v>3.0842294687113973E-3</c:v>
                </c:pt>
                <c:pt idx="173">
                  <c:v>2.773449617507192E-3</c:v>
                </c:pt>
                <c:pt idx="174">
                  <c:v>2.0796002072146188E-3</c:v>
                </c:pt>
                <c:pt idx="175">
                  <c:v>1.5936574758695246E-3</c:v>
                </c:pt>
                <c:pt idx="176">
                  <c:v>1.218157347705424E-3</c:v>
                </c:pt>
                <c:pt idx="177">
                  <c:v>3.4920106142500582E-3</c:v>
                </c:pt>
                <c:pt idx="178">
                  <c:v>3.9563400790021963E-3</c:v>
                </c:pt>
                <c:pt idx="179">
                  <c:v>7.4413636148790924E-3</c:v>
                </c:pt>
                <c:pt idx="180">
                  <c:v>7.4301927196624125E-3</c:v>
                </c:pt>
                <c:pt idx="181">
                  <c:v>8.5381301386691141E-3</c:v>
                </c:pt>
                <c:pt idx="182">
                  <c:v>8.5432391150196182E-3</c:v>
                </c:pt>
                <c:pt idx="183">
                  <c:v>8.4984783519320116E-3</c:v>
                </c:pt>
                <c:pt idx="184">
                  <c:v>7.0295282506667557E-3</c:v>
                </c:pt>
                <c:pt idx="185">
                  <c:v>4.8806215352202214E-3</c:v>
                </c:pt>
                <c:pt idx="186">
                  <c:v>3.7100103617359694E-3</c:v>
                </c:pt>
                <c:pt idx="187">
                  <c:v>3.4865719112756295E-3</c:v>
                </c:pt>
                <c:pt idx="188">
                  <c:v>4.9084201842160089E-3</c:v>
                </c:pt>
                <c:pt idx="189">
                  <c:v>5.5220230104289806E-3</c:v>
                </c:pt>
                <c:pt idx="190">
                  <c:v>5.5854025745531331E-3</c:v>
                </c:pt>
                <c:pt idx="191">
                  <c:v>5.4940048494476002E-3</c:v>
                </c:pt>
                <c:pt idx="192">
                  <c:v>6.2465991357273463E-3</c:v>
                </c:pt>
                <c:pt idx="193">
                  <c:v>5.7167380021596352E-3</c:v>
                </c:pt>
                <c:pt idx="194">
                  <c:v>5.8915544534856659E-3</c:v>
                </c:pt>
                <c:pt idx="195">
                  <c:v>5.9880920910897594E-3</c:v>
                </c:pt>
                <c:pt idx="196">
                  <c:v>5.9041380117442989E-3</c:v>
                </c:pt>
                <c:pt idx="197">
                  <c:v>5.9599522140775614E-3</c:v>
                </c:pt>
                <c:pt idx="198">
                  <c:v>5.9916144640558989E-3</c:v>
                </c:pt>
                <c:pt idx="199">
                  <c:v>4.7310864942046683E-3</c:v>
                </c:pt>
                <c:pt idx="200">
                  <c:v>4.5956175060021861E-3</c:v>
                </c:pt>
                <c:pt idx="201">
                  <c:v>3.7409714678541769E-3</c:v>
                </c:pt>
                <c:pt idx="202">
                  <c:v>5.5301758628691832E-3</c:v>
                </c:pt>
                <c:pt idx="203">
                  <c:v>7.3137357426892678E-3</c:v>
                </c:pt>
                <c:pt idx="204">
                  <c:v>8.2759214941803532E-3</c:v>
                </c:pt>
                <c:pt idx="205">
                  <c:v>8.2801267801778378E-3</c:v>
                </c:pt>
                <c:pt idx="206">
                  <c:v>8.2719940310466318E-3</c:v>
                </c:pt>
                <c:pt idx="207">
                  <c:v>8.3173035378929713E-3</c:v>
                </c:pt>
                <c:pt idx="208">
                  <c:v>9.271826551953426E-3</c:v>
                </c:pt>
                <c:pt idx="209">
                  <c:v>5.5768642246655379E-3</c:v>
                </c:pt>
                <c:pt idx="210">
                  <c:v>6.767389364630603E-3</c:v>
                </c:pt>
                <c:pt idx="211">
                  <c:v>6.1767497873421607E-3</c:v>
                </c:pt>
                <c:pt idx="212">
                  <c:v>7.3028366327926733E-3</c:v>
                </c:pt>
                <c:pt idx="213">
                  <c:v>8.7484342773387867E-3</c:v>
                </c:pt>
                <c:pt idx="214">
                  <c:v>8.5501227258948341E-3</c:v>
                </c:pt>
                <c:pt idx="215">
                  <c:v>6.4515009987364137E-3</c:v>
                </c:pt>
                <c:pt idx="216">
                  <c:v>5.9237081757689894E-3</c:v>
                </c:pt>
                <c:pt idx="217">
                  <c:v>6.5677940780435526E-3</c:v>
                </c:pt>
                <c:pt idx="218">
                  <c:v>6.3018572016605677E-3</c:v>
                </c:pt>
                <c:pt idx="219">
                  <c:v>5.6379658602293617E-3</c:v>
                </c:pt>
                <c:pt idx="220">
                  <c:v>2.4868163520814232E-3</c:v>
                </c:pt>
                <c:pt idx="221">
                  <c:v>2.1708617615945444E-3</c:v>
                </c:pt>
                <c:pt idx="222">
                  <c:v>2.3259036317659688E-3</c:v>
                </c:pt>
                <c:pt idx="223">
                  <c:v>2.3749902368758419E-3</c:v>
                </c:pt>
                <c:pt idx="224">
                  <c:v>1.8698701076782455E-3</c:v>
                </c:pt>
                <c:pt idx="225">
                  <c:v>2.2786734633337192E-3</c:v>
                </c:pt>
                <c:pt idx="226">
                  <c:v>2.8111436375574234E-3</c:v>
                </c:pt>
                <c:pt idx="227">
                  <c:v>3.2193619473050786E-3</c:v>
                </c:pt>
                <c:pt idx="228">
                  <c:v>3.2191944345971515E-3</c:v>
                </c:pt>
                <c:pt idx="229">
                  <c:v>3.6893173068968644E-3</c:v>
                </c:pt>
                <c:pt idx="230">
                  <c:v>4.9767905562886896E-3</c:v>
                </c:pt>
                <c:pt idx="231">
                  <c:v>5.5244428285117194E-3</c:v>
                </c:pt>
                <c:pt idx="232">
                  <c:v>5.0242396142578874E-3</c:v>
                </c:pt>
                <c:pt idx="233">
                  <c:v>5.3360215701039561E-3</c:v>
                </c:pt>
                <c:pt idx="234">
                  <c:v>5.1744104547727177E-3</c:v>
                </c:pt>
                <c:pt idx="235">
                  <c:v>5.1118446655506666E-3</c:v>
                </c:pt>
                <c:pt idx="236">
                  <c:v>5.5672829820379013E-3</c:v>
                </c:pt>
                <c:pt idx="237">
                  <c:v>8.6018031327152102E-3</c:v>
                </c:pt>
                <c:pt idx="238">
                  <c:v>8.3394732678312832E-3</c:v>
                </c:pt>
                <c:pt idx="239">
                  <c:v>7.8635273285200622E-3</c:v>
                </c:pt>
                <c:pt idx="240">
                  <c:v>8.1321671010146854E-3</c:v>
                </c:pt>
                <c:pt idx="241">
                  <c:v>8.1853000619437309E-3</c:v>
                </c:pt>
                <c:pt idx="242">
                  <c:v>7.8625415233121616E-3</c:v>
                </c:pt>
                <c:pt idx="243">
                  <c:v>8.4754996915263232E-3</c:v>
                </c:pt>
                <c:pt idx="244">
                  <c:v>4.316955789251572E-3</c:v>
                </c:pt>
                <c:pt idx="245">
                  <c:v>4.5867521318038017E-3</c:v>
                </c:pt>
                <c:pt idx="246">
                  <c:v>4.7543511685211879E-3</c:v>
                </c:pt>
                <c:pt idx="247">
                  <c:v>5.5825119197155252E-3</c:v>
                </c:pt>
                <c:pt idx="248">
                  <c:v>5.9923120024555189E-3</c:v>
                </c:pt>
                <c:pt idx="249">
                  <c:v>5.833488647723907E-3</c:v>
                </c:pt>
                <c:pt idx="250">
                  <c:v>5.6734291225132528E-3</c:v>
                </c:pt>
                <c:pt idx="251">
                  <c:v>5.1982555512644912E-3</c:v>
                </c:pt>
                <c:pt idx="252">
                  <c:v>4.73442737221259E-3</c:v>
                </c:pt>
                <c:pt idx="253">
                  <c:v>4.42518164651851E-3</c:v>
                </c:pt>
                <c:pt idx="254">
                  <c:v>4.0398688361039867E-3</c:v>
                </c:pt>
                <c:pt idx="255">
                  <c:v>3.0357368797718437E-3</c:v>
                </c:pt>
                <c:pt idx="256">
                  <c:v>3.3043779010897062E-3</c:v>
                </c:pt>
                <c:pt idx="257">
                  <c:v>3.2759915657402713E-3</c:v>
                </c:pt>
                <c:pt idx="258">
                  <c:v>3.5475039202493177E-3</c:v>
                </c:pt>
                <c:pt idx="259">
                  <c:v>3.5399911220772239E-3</c:v>
                </c:pt>
                <c:pt idx="260">
                  <c:v>3.4649761203621541E-3</c:v>
                </c:pt>
                <c:pt idx="261">
                  <c:v>2.8360700576818927E-3</c:v>
                </c:pt>
                <c:pt idx="262">
                  <c:v>4.5217011285612393E-3</c:v>
                </c:pt>
                <c:pt idx="263">
                  <c:v>5.5891930381362078E-3</c:v>
                </c:pt>
                <c:pt idx="264">
                  <c:v>6.2092812134116647E-3</c:v>
                </c:pt>
                <c:pt idx="265">
                  <c:v>6.1660441719339296E-3</c:v>
                </c:pt>
                <c:pt idx="266">
                  <c:v>6.2551731900602429E-3</c:v>
                </c:pt>
                <c:pt idx="267">
                  <c:v>6.7233294735432499E-3</c:v>
                </c:pt>
                <c:pt idx="268">
                  <c:v>6.7013228642188944E-3</c:v>
                </c:pt>
                <c:pt idx="269">
                  <c:v>5.8207205105932688E-3</c:v>
                </c:pt>
                <c:pt idx="270">
                  <c:v>4.9599856770440424E-3</c:v>
                </c:pt>
                <c:pt idx="271">
                  <c:v>4.2542154020166973E-3</c:v>
                </c:pt>
                <c:pt idx="272">
                  <c:v>4.3064661559979785E-3</c:v>
                </c:pt>
                <c:pt idx="273">
                  <c:v>3.2924145435424984E-3</c:v>
                </c:pt>
                <c:pt idx="274">
                  <c:v>3.7027216749949705E-3</c:v>
                </c:pt>
                <c:pt idx="275">
                  <c:v>3.7227952964982241E-3</c:v>
                </c:pt>
                <c:pt idx="276">
                  <c:v>4.2283873281482127E-3</c:v>
                </c:pt>
                <c:pt idx="277">
                  <c:v>9.6410499753197716E-3</c:v>
                </c:pt>
                <c:pt idx="278">
                  <c:v>9.6664658327263071E-3</c:v>
                </c:pt>
                <c:pt idx="279">
                  <c:v>1.605830030149568E-2</c:v>
                </c:pt>
                <c:pt idx="280">
                  <c:v>2.0407358683027777E-2</c:v>
                </c:pt>
                <c:pt idx="281">
                  <c:v>2.0551260868309041E-2</c:v>
                </c:pt>
                <c:pt idx="282">
                  <c:v>2.0182249743641759E-2</c:v>
                </c:pt>
                <c:pt idx="283">
                  <c:v>3.2646870908860745E-2</c:v>
                </c:pt>
                <c:pt idx="284">
                  <c:v>3.387368459909184E-2</c:v>
                </c:pt>
                <c:pt idx="285">
                  <c:v>3.3687004606083384E-2</c:v>
                </c:pt>
                <c:pt idx="286">
                  <c:v>2.8245912259085064E-2</c:v>
                </c:pt>
                <c:pt idx="287">
                  <c:v>2.7865306915204651E-2</c:v>
                </c:pt>
                <c:pt idx="288">
                  <c:v>2.3942348159914341E-2</c:v>
                </c:pt>
                <c:pt idx="289">
                  <c:v>2.3009501878048053E-2</c:v>
                </c:pt>
                <c:pt idx="290">
                  <c:v>1.5177331387829975E-2</c:v>
                </c:pt>
                <c:pt idx="291">
                  <c:v>9.1329727523331329E-3</c:v>
                </c:pt>
                <c:pt idx="292">
                  <c:v>8.6023539642588881E-3</c:v>
                </c:pt>
                <c:pt idx="293">
                  <c:v>6.3169773613772576E-3</c:v>
                </c:pt>
                <c:pt idx="294">
                  <c:v>7.7343287336821146E-3</c:v>
                </c:pt>
                <c:pt idx="295">
                  <c:v>7.4997084063601503E-3</c:v>
                </c:pt>
                <c:pt idx="296">
                  <c:v>7.5914443138602964E-3</c:v>
                </c:pt>
                <c:pt idx="297">
                  <c:v>7.9505332961260274E-3</c:v>
                </c:pt>
                <c:pt idx="298">
                  <c:v>7.7782426515363027E-3</c:v>
                </c:pt>
                <c:pt idx="299">
                  <c:v>7.1969030598845731E-3</c:v>
                </c:pt>
                <c:pt idx="300">
                  <c:v>6.1429144760761639E-3</c:v>
                </c:pt>
                <c:pt idx="301">
                  <c:v>8.0342095126780064E-3</c:v>
                </c:pt>
                <c:pt idx="302">
                  <c:v>7.9894613805237841E-3</c:v>
                </c:pt>
                <c:pt idx="303">
                  <c:v>7.8946967648668535E-3</c:v>
                </c:pt>
                <c:pt idx="304">
                  <c:v>8.2303071949368176E-3</c:v>
                </c:pt>
                <c:pt idx="305">
                  <c:v>8.9871412214612353E-3</c:v>
                </c:pt>
                <c:pt idx="306">
                  <c:v>1.1627055925949441E-2</c:v>
                </c:pt>
                <c:pt idx="307">
                  <c:v>1.3451857608608238E-2</c:v>
                </c:pt>
                <c:pt idx="308">
                  <c:v>1.2921757517027158E-2</c:v>
                </c:pt>
                <c:pt idx="309">
                  <c:v>1.3086579530580691E-2</c:v>
                </c:pt>
                <c:pt idx="310">
                  <c:v>1.2954350055175694E-2</c:v>
                </c:pt>
                <c:pt idx="311">
                  <c:v>1.3404330883830522E-2</c:v>
                </c:pt>
                <c:pt idx="312">
                  <c:v>1.31878982745753E-2</c:v>
                </c:pt>
                <c:pt idx="313">
                  <c:v>1.0432298175323157E-2</c:v>
                </c:pt>
                <c:pt idx="314">
                  <c:v>9.2830517768860005E-3</c:v>
                </c:pt>
                <c:pt idx="315">
                  <c:v>9.1220458415929052E-3</c:v>
                </c:pt>
                <c:pt idx="316">
                  <c:v>8.6947264886692421E-3</c:v>
                </c:pt>
                <c:pt idx="317">
                  <c:v>9.58748976970486E-3</c:v>
                </c:pt>
                <c:pt idx="318">
                  <c:v>6.4939247508053665E-3</c:v>
                </c:pt>
                <c:pt idx="319">
                  <c:v>6.5476801434993818E-3</c:v>
                </c:pt>
                <c:pt idx="320">
                  <c:v>6.4808591353098261E-3</c:v>
                </c:pt>
                <c:pt idx="321">
                  <c:v>5.1171905027715828E-3</c:v>
                </c:pt>
                <c:pt idx="322">
                  <c:v>4.6741214079047697E-3</c:v>
                </c:pt>
                <c:pt idx="323">
                  <c:v>4.2313271172213637E-3</c:v>
                </c:pt>
                <c:pt idx="324">
                  <c:v>3.124433314312888E-3</c:v>
                </c:pt>
                <c:pt idx="325">
                  <c:v>4.1762254141841501E-3</c:v>
                </c:pt>
                <c:pt idx="326">
                  <c:v>5.4900601352018434E-3</c:v>
                </c:pt>
                <c:pt idx="327">
                  <c:v>5.0377296759389744E-3</c:v>
                </c:pt>
                <c:pt idx="328">
                  <c:v>5.0487908009157487E-3</c:v>
                </c:pt>
                <c:pt idx="329">
                  <c:v>5.6275845633546612E-3</c:v>
                </c:pt>
                <c:pt idx="330">
                  <c:v>5.5663340438262326E-3</c:v>
                </c:pt>
                <c:pt idx="331">
                  <c:v>5.8806781228772833E-3</c:v>
                </c:pt>
                <c:pt idx="332">
                  <c:v>4.8849855745331378E-3</c:v>
                </c:pt>
                <c:pt idx="333">
                  <c:v>5.7578191662712086E-3</c:v>
                </c:pt>
                <c:pt idx="334">
                  <c:v>5.9644610898659887E-3</c:v>
                </c:pt>
                <c:pt idx="335">
                  <c:v>5.8249491037713043E-3</c:v>
                </c:pt>
                <c:pt idx="336">
                  <c:v>4.1795028832823568E-3</c:v>
                </c:pt>
                <c:pt idx="337">
                  <c:v>6.3775481348077876E-3</c:v>
                </c:pt>
                <c:pt idx="338">
                  <c:v>6.3106091881155544E-3</c:v>
                </c:pt>
                <c:pt idx="339">
                  <c:v>8.6386515692887817E-3</c:v>
                </c:pt>
                <c:pt idx="340">
                  <c:v>7.1447844603779731E-3</c:v>
                </c:pt>
                <c:pt idx="341">
                  <c:v>1.0782420180351483E-2</c:v>
                </c:pt>
                <c:pt idx="342">
                  <c:v>1.0956640759740862E-2</c:v>
                </c:pt>
                <c:pt idx="343">
                  <c:v>1.1074824957667099E-2</c:v>
                </c:pt>
                <c:pt idx="344">
                  <c:v>1.1302097436438565E-2</c:v>
                </c:pt>
                <c:pt idx="345">
                  <c:v>1.1466045263832995E-2</c:v>
                </c:pt>
                <c:pt idx="346">
                  <c:v>8.1623751689691767E-3</c:v>
                </c:pt>
                <c:pt idx="347">
                  <c:v>8.4159838064400902E-3</c:v>
                </c:pt>
                <c:pt idx="348">
                  <c:v>6.597668221590209E-3</c:v>
                </c:pt>
                <c:pt idx="349">
                  <c:v>6.6264136253454016E-3</c:v>
                </c:pt>
                <c:pt idx="350">
                  <c:v>6.5693076553897936E-3</c:v>
                </c:pt>
                <c:pt idx="351">
                  <c:v>5.2105817117985087E-3</c:v>
                </c:pt>
                <c:pt idx="352">
                  <c:v>4.6765846762477905E-3</c:v>
                </c:pt>
                <c:pt idx="353">
                  <c:v>4.6994712210723473E-3</c:v>
                </c:pt>
                <c:pt idx="354">
                  <c:v>4.5932366101434485E-3</c:v>
                </c:pt>
                <c:pt idx="355">
                  <c:v>6.3359132435244873E-3</c:v>
                </c:pt>
                <c:pt idx="356">
                  <c:v>6.0717915468742395E-3</c:v>
                </c:pt>
                <c:pt idx="357">
                  <c:v>7.5614586210981088E-3</c:v>
                </c:pt>
                <c:pt idx="358">
                  <c:v>7.8766103958059167E-3</c:v>
                </c:pt>
                <c:pt idx="359">
                  <c:v>7.4855683894844991E-3</c:v>
                </c:pt>
                <c:pt idx="360">
                  <c:v>7.2093604084875708E-3</c:v>
                </c:pt>
                <c:pt idx="361">
                  <c:v>6.7098707705214519E-3</c:v>
                </c:pt>
                <c:pt idx="362">
                  <c:v>7.2759849088961217E-3</c:v>
                </c:pt>
                <c:pt idx="363">
                  <c:v>7.3826046509858495E-3</c:v>
                </c:pt>
                <c:pt idx="364">
                  <c:v>4.4559361421382974E-3</c:v>
                </c:pt>
                <c:pt idx="365">
                  <c:v>4.764486686126182E-3</c:v>
                </c:pt>
                <c:pt idx="366">
                  <c:v>4.5230064772739222E-3</c:v>
                </c:pt>
                <c:pt idx="367">
                  <c:v>5.9781399731627929E-3</c:v>
                </c:pt>
                <c:pt idx="368">
                  <c:v>5.743835486625124E-3</c:v>
                </c:pt>
                <c:pt idx="369">
                  <c:v>6.3010923399776453E-3</c:v>
                </c:pt>
                <c:pt idx="370">
                  <c:v>6.7545382221693186E-3</c:v>
                </c:pt>
                <c:pt idx="371">
                  <c:v>6.7536955510079091E-3</c:v>
                </c:pt>
                <c:pt idx="372">
                  <c:v>7.6814241002887938E-3</c:v>
                </c:pt>
                <c:pt idx="373">
                  <c:v>7.6812268088840216E-3</c:v>
                </c:pt>
                <c:pt idx="374">
                  <c:v>4.9312281725123631E-3</c:v>
                </c:pt>
                <c:pt idx="375">
                  <c:v>6.0973069257904454E-3</c:v>
                </c:pt>
                <c:pt idx="376">
                  <c:v>5.816649859894195E-3</c:v>
                </c:pt>
                <c:pt idx="377">
                  <c:v>5.7276836187671121E-3</c:v>
                </c:pt>
                <c:pt idx="378">
                  <c:v>5.5382343985563524E-3</c:v>
                </c:pt>
                <c:pt idx="379">
                  <c:v>3.3425225566611309E-3</c:v>
                </c:pt>
                <c:pt idx="380">
                  <c:v>4.4504319807105721E-3</c:v>
                </c:pt>
                <c:pt idx="381">
                  <c:v>5.5603781794715951E-3</c:v>
                </c:pt>
                <c:pt idx="382">
                  <c:v>4.52855186266904E-3</c:v>
                </c:pt>
                <c:pt idx="383">
                  <c:v>5.5417640419731119E-3</c:v>
                </c:pt>
                <c:pt idx="384">
                  <c:v>5.8936790712404395E-3</c:v>
                </c:pt>
                <c:pt idx="385">
                  <c:v>7.4012585357557713E-3</c:v>
                </c:pt>
                <c:pt idx="386">
                  <c:v>8.0763188678071706E-3</c:v>
                </c:pt>
                <c:pt idx="387">
                  <c:v>8.2287243096060506E-3</c:v>
                </c:pt>
                <c:pt idx="388">
                  <c:v>9.3257013744770956E-3</c:v>
                </c:pt>
                <c:pt idx="389">
                  <c:v>1.0917978536463589E-2</c:v>
                </c:pt>
                <c:pt idx="390">
                  <c:v>1.0560134850399354E-2</c:v>
                </c:pt>
                <c:pt idx="391">
                  <c:v>9.6053494941827858E-3</c:v>
                </c:pt>
                <c:pt idx="392">
                  <c:v>8.8664096262809685E-3</c:v>
                </c:pt>
                <c:pt idx="393">
                  <c:v>8.5819192962530415E-3</c:v>
                </c:pt>
                <c:pt idx="394">
                  <c:v>8.9436619031567494E-3</c:v>
                </c:pt>
                <c:pt idx="395">
                  <c:v>7.8138046169665149E-3</c:v>
                </c:pt>
                <c:pt idx="396">
                  <c:v>5.1553700313818687E-3</c:v>
                </c:pt>
                <c:pt idx="397">
                  <c:v>4.5546407608424259E-3</c:v>
                </c:pt>
                <c:pt idx="398">
                  <c:v>4.8109991612259656E-3</c:v>
                </c:pt>
                <c:pt idx="399">
                  <c:v>4.1994792285998369E-3</c:v>
                </c:pt>
                <c:pt idx="400">
                  <c:v>4.4755693513236217E-3</c:v>
                </c:pt>
                <c:pt idx="401">
                  <c:v>4.7628715230103322E-3</c:v>
                </c:pt>
                <c:pt idx="402">
                  <c:v>4.5910212427279079E-3</c:v>
                </c:pt>
                <c:pt idx="403">
                  <c:v>4.8804465915609774E-3</c:v>
                </c:pt>
                <c:pt idx="404">
                  <c:v>4.6369246301569732E-3</c:v>
                </c:pt>
                <c:pt idx="405">
                  <c:v>4.5692467172826151E-3</c:v>
                </c:pt>
                <c:pt idx="406">
                  <c:v>6.2441141499268941E-3</c:v>
                </c:pt>
                <c:pt idx="407">
                  <c:v>5.8433241688994842E-3</c:v>
                </c:pt>
                <c:pt idx="408">
                  <c:v>5.5180447411420624E-3</c:v>
                </c:pt>
                <c:pt idx="409">
                  <c:v>5.9649606711568255E-3</c:v>
                </c:pt>
                <c:pt idx="410">
                  <c:v>5.1144014177294042E-3</c:v>
                </c:pt>
                <c:pt idx="411">
                  <c:v>5.1291494351109659E-3</c:v>
                </c:pt>
                <c:pt idx="412">
                  <c:v>6.3254474437798329E-3</c:v>
                </c:pt>
                <c:pt idx="413">
                  <c:v>6.0738890990759816E-3</c:v>
                </c:pt>
                <c:pt idx="414">
                  <c:v>9.0107192053814674E-3</c:v>
                </c:pt>
                <c:pt idx="415">
                  <c:v>1.0200810837031912E-2</c:v>
                </c:pt>
                <c:pt idx="416">
                  <c:v>9.4691788774884534E-3</c:v>
                </c:pt>
                <c:pt idx="417">
                  <c:v>9.6284476750784324E-3</c:v>
                </c:pt>
                <c:pt idx="418">
                  <c:v>9.8357922494699997E-3</c:v>
                </c:pt>
                <c:pt idx="419">
                  <c:v>7.5396936430294761E-3</c:v>
                </c:pt>
                <c:pt idx="420">
                  <c:v>7.4032691806804425E-3</c:v>
                </c:pt>
                <c:pt idx="421">
                  <c:v>7.3383027555081418E-3</c:v>
                </c:pt>
                <c:pt idx="422">
                  <c:v>6.6760237535965069E-3</c:v>
                </c:pt>
                <c:pt idx="423">
                  <c:v>6.5517522601966846E-3</c:v>
                </c:pt>
                <c:pt idx="424">
                  <c:v>8.6945995427571369E-3</c:v>
                </c:pt>
                <c:pt idx="425">
                  <c:v>7.7695852970882341E-3</c:v>
                </c:pt>
                <c:pt idx="426">
                  <c:v>7.353925015759908E-3</c:v>
                </c:pt>
                <c:pt idx="427">
                  <c:v>7.3025188224304571E-3</c:v>
                </c:pt>
                <c:pt idx="428">
                  <c:v>7.3951129769511403E-3</c:v>
                </c:pt>
                <c:pt idx="429">
                  <c:v>7.2734473080273542E-3</c:v>
                </c:pt>
                <c:pt idx="430">
                  <c:v>7.3342759551445896E-3</c:v>
                </c:pt>
                <c:pt idx="431">
                  <c:v>6.9393087168175497E-3</c:v>
                </c:pt>
                <c:pt idx="432">
                  <c:v>6.4124727520691715E-3</c:v>
                </c:pt>
                <c:pt idx="433">
                  <c:v>6.690035384923459E-3</c:v>
                </c:pt>
                <c:pt idx="434">
                  <c:v>6.3948804350952319E-3</c:v>
                </c:pt>
                <c:pt idx="435">
                  <c:v>6.6727959304039956E-3</c:v>
                </c:pt>
                <c:pt idx="436">
                  <c:v>6.7111499533683457E-3</c:v>
                </c:pt>
                <c:pt idx="437">
                  <c:v>5.6016655920374404E-3</c:v>
                </c:pt>
                <c:pt idx="438">
                  <c:v>5.7783715755422979E-3</c:v>
                </c:pt>
                <c:pt idx="439">
                  <c:v>5.3554425091848611E-3</c:v>
                </c:pt>
                <c:pt idx="440">
                  <c:v>5.2988908295004463E-3</c:v>
                </c:pt>
                <c:pt idx="441">
                  <c:v>5.8467884454352368E-3</c:v>
                </c:pt>
                <c:pt idx="442">
                  <c:v>6.06307352269864E-3</c:v>
                </c:pt>
                <c:pt idx="443">
                  <c:v>6.0203045378254202E-3</c:v>
                </c:pt>
                <c:pt idx="444">
                  <c:v>5.8178485325800543E-3</c:v>
                </c:pt>
                <c:pt idx="445">
                  <c:v>4.0843335540351093E-3</c:v>
                </c:pt>
                <c:pt idx="446">
                  <c:v>5.072045314593536E-3</c:v>
                </c:pt>
                <c:pt idx="447">
                  <c:v>4.4983126788882459E-3</c:v>
                </c:pt>
                <c:pt idx="448">
                  <c:v>4.4980558004691475E-3</c:v>
                </c:pt>
                <c:pt idx="449">
                  <c:v>5.3122932430167231E-3</c:v>
                </c:pt>
                <c:pt idx="450">
                  <c:v>7.6250680671087938E-3</c:v>
                </c:pt>
                <c:pt idx="451">
                  <c:v>9.8769770469979111E-3</c:v>
                </c:pt>
                <c:pt idx="452">
                  <c:v>9.9478598133942719E-3</c:v>
                </c:pt>
                <c:pt idx="453">
                  <c:v>1.3250713775119946E-2</c:v>
                </c:pt>
                <c:pt idx="454">
                  <c:v>1.3118771412538364E-2</c:v>
                </c:pt>
                <c:pt idx="455">
                  <c:v>1.185569285750152E-2</c:v>
                </c:pt>
                <c:pt idx="456">
                  <c:v>1.2289528466711502E-2</c:v>
                </c:pt>
                <c:pt idx="457">
                  <c:v>1.1475015284291288E-2</c:v>
                </c:pt>
                <c:pt idx="458">
                  <c:v>9.0778880480230275E-3</c:v>
                </c:pt>
                <c:pt idx="459">
                  <c:v>7.0874058997961653E-3</c:v>
                </c:pt>
                <c:pt idx="460">
                  <c:v>3.2044716923630397E-3</c:v>
                </c:pt>
                <c:pt idx="461">
                  <c:v>4.2514322941011309E-3</c:v>
                </c:pt>
                <c:pt idx="462">
                  <c:v>4.2645392289551269E-3</c:v>
                </c:pt>
                <c:pt idx="463">
                  <c:v>5.0619263663967606E-3</c:v>
                </c:pt>
                <c:pt idx="464">
                  <c:v>6.6302523431268851E-3</c:v>
                </c:pt>
                <c:pt idx="465">
                  <c:v>7.3717415392237232E-3</c:v>
                </c:pt>
                <c:pt idx="466">
                  <c:v>8.0089749051467114E-3</c:v>
                </c:pt>
                <c:pt idx="467">
                  <c:v>8.1733498404539771E-3</c:v>
                </c:pt>
                <c:pt idx="468">
                  <c:v>7.9938656021988595E-3</c:v>
                </c:pt>
                <c:pt idx="469">
                  <c:v>8.0077392558818173E-3</c:v>
                </c:pt>
                <c:pt idx="470">
                  <c:v>7.2544953653492688E-3</c:v>
                </c:pt>
                <c:pt idx="471">
                  <c:v>5.1165611428798646E-3</c:v>
                </c:pt>
                <c:pt idx="472">
                  <c:v>5.0019120906623403E-3</c:v>
                </c:pt>
                <c:pt idx="473">
                  <c:v>7.4502959890673315E-3</c:v>
                </c:pt>
                <c:pt idx="474">
                  <c:v>7.6313384649730944E-3</c:v>
                </c:pt>
                <c:pt idx="475">
                  <c:v>7.4983592546012121E-3</c:v>
                </c:pt>
                <c:pt idx="476">
                  <c:v>7.794787750257816E-3</c:v>
                </c:pt>
                <c:pt idx="477">
                  <c:v>8.1422046256987273E-3</c:v>
                </c:pt>
                <c:pt idx="478">
                  <c:v>8.0952271123831826E-3</c:v>
                </c:pt>
                <c:pt idx="479">
                  <c:v>9.0719281767505586E-3</c:v>
                </c:pt>
                <c:pt idx="480">
                  <c:v>6.5386043944908089E-3</c:v>
                </c:pt>
                <c:pt idx="481">
                  <c:v>6.3889278969985397E-3</c:v>
                </c:pt>
                <c:pt idx="482">
                  <c:v>6.8752097074726215E-3</c:v>
                </c:pt>
                <c:pt idx="483">
                  <c:v>7.6429526597929769E-3</c:v>
                </c:pt>
                <c:pt idx="484">
                  <c:v>1.5385453005514733E-2</c:v>
                </c:pt>
                <c:pt idx="485">
                  <c:v>1.5018248596416555E-2</c:v>
                </c:pt>
                <c:pt idx="486">
                  <c:v>1.5040652374684575E-2</c:v>
                </c:pt>
                <c:pt idx="487">
                  <c:v>1.5266831063417231E-2</c:v>
                </c:pt>
                <c:pt idx="488">
                  <c:v>1.5017446029291382E-2</c:v>
                </c:pt>
                <c:pt idx="489">
                  <c:v>1.5136986342846666E-2</c:v>
                </c:pt>
                <c:pt idx="490">
                  <c:v>1.5416260374868916E-2</c:v>
                </c:pt>
                <c:pt idx="491">
                  <c:v>8.3423074987763798E-3</c:v>
                </c:pt>
                <c:pt idx="492">
                  <c:v>7.496297593241997E-3</c:v>
                </c:pt>
                <c:pt idx="493">
                  <c:v>8.1063316901906317E-3</c:v>
                </c:pt>
                <c:pt idx="494">
                  <c:v>8.3323703945496035E-3</c:v>
                </c:pt>
                <c:pt idx="495">
                  <c:v>8.5283592312448715E-3</c:v>
                </c:pt>
                <c:pt idx="496">
                  <c:v>1.0358850161642301E-2</c:v>
                </c:pt>
                <c:pt idx="497">
                  <c:v>1.0368707560928161E-2</c:v>
                </c:pt>
                <c:pt idx="498">
                  <c:v>9.9001303364316205E-3</c:v>
                </c:pt>
                <c:pt idx="499">
                  <c:v>1.0120934159030936E-2</c:v>
                </c:pt>
                <c:pt idx="500">
                  <c:v>9.6301447849062877E-3</c:v>
                </c:pt>
                <c:pt idx="501">
                  <c:v>6.2686745818608018E-3</c:v>
                </c:pt>
                <c:pt idx="502">
                  <c:v>6.3277905876804735E-3</c:v>
                </c:pt>
                <c:pt idx="503">
                  <c:v>4.6832343480296603E-3</c:v>
                </c:pt>
                <c:pt idx="504">
                  <c:v>4.572709695303958E-3</c:v>
                </c:pt>
                <c:pt idx="505">
                  <c:v>4.6061594965656491E-3</c:v>
                </c:pt>
                <c:pt idx="506">
                  <c:v>5.8450896152663547E-3</c:v>
                </c:pt>
                <c:pt idx="507">
                  <c:v>4.952960631760441E-3</c:v>
                </c:pt>
                <c:pt idx="508">
                  <c:v>4.342783275430191E-3</c:v>
                </c:pt>
                <c:pt idx="509">
                  <c:v>4.7664774660952655E-3</c:v>
                </c:pt>
                <c:pt idx="510">
                  <c:v>4.6695535327751746E-3</c:v>
                </c:pt>
                <c:pt idx="511">
                  <c:v>4.3701953693313488E-3</c:v>
                </c:pt>
                <c:pt idx="512">
                  <c:v>4.3557158495229698E-3</c:v>
                </c:pt>
                <c:pt idx="513">
                  <c:v>3.8839301134542324E-3</c:v>
                </c:pt>
                <c:pt idx="514">
                  <c:v>3.2705978888451811E-3</c:v>
                </c:pt>
                <c:pt idx="515">
                  <c:v>3.7905225855686024E-3</c:v>
                </c:pt>
                <c:pt idx="516">
                  <c:v>3.6190206017902584E-3</c:v>
                </c:pt>
                <c:pt idx="517">
                  <c:v>5.9046627108048748E-3</c:v>
                </c:pt>
                <c:pt idx="518">
                  <c:v>7.1151408700526374E-3</c:v>
                </c:pt>
                <c:pt idx="519">
                  <c:v>7.6048640972772264E-3</c:v>
                </c:pt>
                <c:pt idx="520">
                  <c:v>7.6646074661724144E-3</c:v>
                </c:pt>
                <c:pt idx="521">
                  <c:v>7.6895905462120509E-3</c:v>
                </c:pt>
                <c:pt idx="522">
                  <c:v>7.4374888845230433E-3</c:v>
                </c:pt>
                <c:pt idx="523">
                  <c:v>6.3030770670363858E-3</c:v>
                </c:pt>
                <c:pt idx="524">
                  <c:v>5.1695736842496459E-3</c:v>
                </c:pt>
                <c:pt idx="525">
                  <c:v>3.3337736517590789E-3</c:v>
                </c:pt>
                <c:pt idx="526">
                  <c:v>9.4096625646746691E-3</c:v>
                </c:pt>
                <c:pt idx="527">
                  <c:v>9.6096086125440124E-3</c:v>
                </c:pt>
                <c:pt idx="528">
                  <c:v>8.9391808342173529E-3</c:v>
                </c:pt>
                <c:pt idx="529">
                  <c:v>8.5680275283065953E-3</c:v>
                </c:pt>
                <c:pt idx="530">
                  <c:v>8.4877765327861752E-3</c:v>
                </c:pt>
                <c:pt idx="531">
                  <c:v>8.2321616797547299E-3</c:v>
                </c:pt>
                <c:pt idx="532">
                  <c:v>9.3278922976663091E-3</c:v>
                </c:pt>
                <c:pt idx="533">
                  <c:v>6.1277887739854646E-3</c:v>
                </c:pt>
                <c:pt idx="534">
                  <c:v>8.0119222545200677E-3</c:v>
                </c:pt>
                <c:pt idx="535">
                  <c:v>8.3996235275869552E-3</c:v>
                </c:pt>
                <c:pt idx="536">
                  <c:v>8.2859847942905428E-3</c:v>
                </c:pt>
                <c:pt idx="537">
                  <c:v>8.6011717444400126E-3</c:v>
                </c:pt>
                <c:pt idx="538">
                  <c:v>8.5966019280719012E-3</c:v>
                </c:pt>
                <c:pt idx="539">
                  <c:v>8.4271611756554406E-3</c:v>
                </c:pt>
                <c:pt idx="540">
                  <c:v>7.1253537934411765E-3</c:v>
                </c:pt>
                <c:pt idx="541">
                  <c:v>5.5673308426151735E-3</c:v>
                </c:pt>
                <c:pt idx="542">
                  <c:v>4.5512046178951601E-3</c:v>
                </c:pt>
                <c:pt idx="543">
                  <c:v>6.3363138773859249E-3</c:v>
                </c:pt>
                <c:pt idx="544">
                  <c:v>7.3479992072527384E-3</c:v>
                </c:pt>
                <c:pt idx="545">
                  <c:v>8.8526011847735748E-3</c:v>
                </c:pt>
                <c:pt idx="546">
                  <c:v>8.7117469850108882E-3</c:v>
                </c:pt>
                <c:pt idx="547">
                  <c:v>9.9045472492342718E-3</c:v>
                </c:pt>
                <c:pt idx="548">
                  <c:v>8.4505079323821258E-3</c:v>
                </c:pt>
                <c:pt idx="549">
                  <c:v>7.2836881487067752E-3</c:v>
                </c:pt>
                <c:pt idx="550">
                  <c:v>7.2488672965012151E-3</c:v>
                </c:pt>
                <c:pt idx="551">
                  <c:v>6.8770341749981234E-3</c:v>
                </c:pt>
                <c:pt idx="552">
                  <c:v>8.3257528165639541E-3</c:v>
                </c:pt>
                <c:pt idx="553">
                  <c:v>8.3450046195111139E-3</c:v>
                </c:pt>
                <c:pt idx="554">
                  <c:v>7.8359515488866695E-3</c:v>
                </c:pt>
                <c:pt idx="555">
                  <c:v>7.8222010336633438E-3</c:v>
                </c:pt>
                <c:pt idx="556">
                  <c:v>7.7783981737917108E-3</c:v>
                </c:pt>
                <c:pt idx="557">
                  <c:v>9.8563065222257648E-3</c:v>
                </c:pt>
                <c:pt idx="558">
                  <c:v>1.0255107661835672E-2</c:v>
                </c:pt>
                <c:pt idx="559">
                  <c:v>6.5272654843795772E-3</c:v>
                </c:pt>
                <c:pt idx="560">
                  <c:v>6.7547138346757451E-3</c:v>
                </c:pt>
                <c:pt idx="561">
                  <c:v>9.5134542316075398E-3</c:v>
                </c:pt>
                <c:pt idx="562">
                  <c:v>9.5256443476375869E-3</c:v>
                </c:pt>
                <c:pt idx="563">
                  <c:v>9.2854670173717398E-3</c:v>
                </c:pt>
                <c:pt idx="564">
                  <c:v>8.1248100733023257E-3</c:v>
                </c:pt>
                <c:pt idx="565">
                  <c:v>8.0045323022422225E-3</c:v>
                </c:pt>
                <c:pt idx="566">
                  <c:v>7.0060624382916013E-3</c:v>
                </c:pt>
                <c:pt idx="567">
                  <c:v>7.0980499768536504E-3</c:v>
                </c:pt>
                <c:pt idx="568">
                  <c:v>5.517604891484164E-3</c:v>
                </c:pt>
                <c:pt idx="569">
                  <c:v>5.8380070037027413E-3</c:v>
                </c:pt>
                <c:pt idx="570">
                  <c:v>5.0296548673225729E-3</c:v>
                </c:pt>
                <c:pt idx="571">
                  <c:v>5.809828090188921E-3</c:v>
                </c:pt>
                <c:pt idx="572">
                  <c:v>4.9956625806944141E-3</c:v>
                </c:pt>
                <c:pt idx="573">
                  <c:v>5.9262047427296226E-3</c:v>
                </c:pt>
                <c:pt idx="574">
                  <c:v>5.9743612787510163E-3</c:v>
                </c:pt>
                <c:pt idx="575">
                  <c:v>5.2600587738266648E-3</c:v>
                </c:pt>
                <c:pt idx="576">
                  <c:v>4.6890592015973922E-3</c:v>
                </c:pt>
                <c:pt idx="577">
                  <c:v>4.6315198173411736E-3</c:v>
                </c:pt>
                <c:pt idx="578">
                  <c:v>4.0073467935394496E-3</c:v>
                </c:pt>
                <c:pt idx="579">
                  <c:v>5.3197093385945081E-3</c:v>
                </c:pt>
                <c:pt idx="580">
                  <c:v>7.3369802066918319E-3</c:v>
                </c:pt>
                <c:pt idx="581">
                  <c:v>7.2468036499527952E-3</c:v>
                </c:pt>
                <c:pt idx="582">
                  <c:v>8.7320312186703764E-3</c:v>
                </c:pt>
                <c:pt idx="583">
                  <c:v>9.523220183431394E-3</c:v>
                </c:pt>
                <c:pt idx="584">
                  <c:v>9.9182980209970018E-3</c:v>
                </c:pt>
                <c:pt idx="585">
                  <c:v>9.9170567369990838E-3</c:v>
                </c:pt>
                <c:pt idx="586">
                  <c:v>8.0047343375141567E-3</c:v>
                </c:pt>
                <c:pt idx="587">
                  <c:v>1.1514873665411131E-2</c:v>
                </c:pt>
                <c:pt idx="588">
                  <c:v>1.2122301270494323E-2</c:v>
                </c:pt>
                <c:pt idx="589">
                  <c:v>1.1196894618622142E-2</c:v>
                </c:pt>
                <c:pt idx="590">
                  <c:v>9.6771773737124121E-3</c:v>
                </c:pt>
                <c:pt idx="591">
                  <c:v>9.9231509142043445E-3</c:v>
                </c:pt>
                <c:pt idx="592">
                  <c:v>9.5435270880283359E-3</c:v>
                </c:pt>
                <c:pt idx="593">
                  <c:v>7.9714176520358504E-3</c:v>
                </c:pt>
                <c:pt idx="594">
                  <c:v>5.4249496874832119E-3</c:v>
                </c:pt>
                <c:pt idx="595">
                  <c:v>4.7034174903056395E-3</c:v>
                </c:pt>
                <c:pt idx="596">
                  <c:v>3.8979669953815971E-3</c:v>
                </c:pt>
                <c:pt idx="597">
                  <c:v>6.1599128388362939E-3</c:v>
                </c:pt>
                <c:pt idx="598">
                  <c:v>6.7220701095979298E-3</c:v>
                </c:pt>
                <c:pt idx="599">
                  <c:v>8.0187786081823993E-3</c:v>
                </c:pt>
                <c:pt idx="600">
                  <c:v>8.0792715338056948E-3</c:v>
                </c:pt>
                <c:pt idx="601">
                  <c:v>1.5486296370917663E-2</c:v>
                </c:pt>
                <c:pt idx="602">
                  <c:v>1.6377115466903683E-2</c:v>
                </c:pt>
                <c:pt idx="603">
                  <c:v>1.6700344004241901E-2</c:v>
                </c:pt>
                <c:pt idx="604">
                  <c:v>1.5297605315449726E-2</c:v>
                </c:pt>
                <c:pt idx="605">
                  <c:v>1.3335045072730034E-2</c:v>
                </c:pt>
                <c:pt idx="606">
                  <c:v>1.497633656428634E-2</c:v>
                </c:pt>
                <c:pt idx="607">
                  <c:v>1.9345412230167041E-2</c:v>
                </c:pt>
                <c:pt idx="608">
                  <c:v>1.6670557340991956E-2</c:v>
                </c:pt>
                <c:pt idx="609">
                  <c:v>1.7321870823980855E-2</c:v>
                </c:pt>
                <c:pt idx="610">
                  <c:v>1.7234891878516345E-2</c:v>
                </c:pt>
                <c:pt idx="611">
                  <c:v>1.8225260953859068E-2</c:v>
                </c:pt>
                <c:pt idx="612">
                  <c:v>1.8149252824480197E-2</c:v>
                </c:pt>
                <c:pt idx="613">
                  <c:v>1.7504708406559773E-2</c:v>
                </c:pt>
                <c:pt idx="614">
                  <c:v>7.804529694293451E-3</c:v>
                </c:pt>
                <c:pt idx="615">
                  <c:v>8.2662367794685172E-3</c:v>
                </c:pt>
                <c:pt idx="616">
                  <c:v>6.9813991326219274E-3</c:v>
                </c:pt>
                <c:pt idx="617">
                  <c:v>7.3089629796171986E-3</c:v>
                </c:pt>
                <c:pt idx="618">
                  <c:v>5.7712537881003511E-3</c:v>
                </c:pt>
                <c:pt idx="619">
                  <c:v>5.127673486730943E-3</c:v>
                </c:pt>
                <c:pt idx="620">
                  <c:v>5.2615549616203258E-3</c:v>
                </c:pt>
                <c:pt idx="621">
                  <c:v>3.8068717900876154E-3</c:v>
                </c:pt>
                <c:pt idx="622">
                  <c:v>4.8640736704810665E-3</c:v>
                </c:pt>
                <c:pt idx="623">
                  <c:v>5.2018205272237493E-3</c:v>
                </c:pt>
                <c:pt idx="624">
                  <c:v>5.2719433832477723E-3</c:v>
                </c:pt>
                <c:pt idx="625">
                  <c:v>4.5675945860047754E-3</c:v>
                </c:pt>
                <c:pt idx="626">
                  <c:v>4.5744827166119949E-3</c:v>
                </c:pt>
                <c:pt idx="627">
                  <c:v>7.7212668728560878E-3</c:v>
                </c:pt>
                <c:pt idx="628">
                  <c:v>9.9835489003179019E-3</c:v>
                </c:pt>
                <c:pt idx="629">
                  <c:v>1.2789534937323018E-2</c:v>
                </c:pt>
                <c:pt idx="630">
                  <c:v>1.2827400749479743E-2</c:v>
                </c:pt>
                <c:pt idx="631">
                  <c:v>1.4304637084602707E-2</c:v>
                </c:pt>
                <c:pt idx="632">
                  <c:v>1.4547194375074322E-2</c:v>
                </c:pt>
                <c:pt idx="633">
                  <c:v>1.4982712777112319E-2</c:v>
                </c:pt>
                <c:pt idx="634">
                  <c:v>1.7193536785329692E-2</c:v>
                </c:pt>
                <c:pt idx="635">
                  <c:v>1.5939474692603942E-2</c:v>
                </c:pt>
                <c:pt idx="636">
                  <c:v>1.4864531410769072E-2</c:v>
                </c:pt>
                <c:pt idx="637">
                  <c:v>1.7226142964562617E-2</c:v>
                </c:pt>
                <c:pt idx="638">
                  <c:v>1.6008841483919869E-2</c:v>
                </c:pt>
                <c:pt idx="639">
                  <c:v>1.5992892203896467E-2</c:v>
                </c:pt>
                <c:pt idx="640">
                  <c:v>1.5694161290656847E-2</c:v>
                </c:pt>
                <c:pt idx="641">
                  <c:v>1.1362856433115796E-2</c:v>
                </c:pt>
                <c:pt idx="642">
                  <c:v>1.219373132031386E-2</c:v>
                </c:pt>
                <c:pt idx="643">
                  <c:v>1.0500406430576611E-2</c:v>
                </c:pt>
                <c:pt idx="644">
                  <c:v>5.472978953126241E-3</c:v>
                </c:pt>
                <c:pt idx="645">
                  <c:v>5.4041803756062065E-3</c:v>
                </c:pt>
                <c:pt idx="646">
                  <c:v>6.5431902591197872E-3</c:v>
                </c:pt>
                <c:pt idx="647">
                  <c:v>6.7404008398520496E-3</c:v>
                </c:pt>
                <c:pt idx="648">
                  <c:v>7.2170392032318729E-3</c:v>
                </c:pt>
                <c:pt idx="649">
                  <c:v>7.2327507887043211E-3</c:v>
                </c:pt>
                <c:pt idx="650">
                  <c:v>7.9793265635852706E-3</c:v>
                </c:pt>
                <c:pt idx="651">
                  <c:v>6.1762297915423396E-3</c:v>
                </c:pt>
                <c:pt idx="652">
                  <c:v>5.7591974721073955E-3</c:v>
                </c:pt>
                <c:pt idx="653">
                  <c:v>6.1023916038308555E-3</c:v>
                </c:pt>
                <c:pt idx="654">
                  <c:v>1.3881025192480865E-2</c:v>
                </c:pt>
                <c:pt idx="655">
                  <c:v>1.2774084526056443E-2</c:v>
                </c:pt>
                <c:pt idx="656">
                  <c:v>1.2463972524618488E-2</c:v>
                </c:pt>
                <c:pt idx="657">
                  <c:v>1.2651924146865804E-2</c:v>
                </c:pt>
                <c:pt idx="658">
                  <c:v>1.2201095010424608E-2</c:v>
                </c:pt>
                <c:pt idx="659">
                  <c:v>1.225083250965543E-2</c:v>
                </c:pt>
                <c:pt idx="660">
                  <c:v>1.4623238754271316E-2</c:v>
                </c:pt>
                <c:pt idx="661">
                  <c:v>8.3092681196394961E-3</c:v>
                </c:pt>
                <c:pt idx="662">
                  <c:v>8.6423106562608046E-3</c:v>
                </c:pt>
                <c:pt idx="663">
                  <c:v>8.2890464214710607E-3</c:v>
                </c:pt>
                <c:pt idx="664">
                  <c:v>6.5354519758356435E-3</c:v>
                </c:pt>
                <c:pt idx="665">
                  <c:v>7.1465976212419947E-3</c:v>
                </c:pt>
                <c:pt idx="666">
                  <c:v>9.5344026660861159E-3</c:v>
                </c:pt>
                <c:pt idx="667">
                  <c:v>1.1322408855054141E-2</c:v>
                </c:pt>
                <c:pt idx="668">
                  <c:v>1.1328224267674545E-2</c:v>
                </c:pt>
                <c:pt idx="669">
                  <c:v>1.1036369176429136E-2</c:v>
                </c:pt>
                <c:pt idx="670">
                  <c:v>1.1368430582461175E-2</c:v>
                </c:pt>
                <c:pt idx="671">
                  <c:v>1.2584729670115525E-2</c:v>
                </c:pt>
                <c:pt idx="672">
                  <c:v>1.3165218268130328E-2</c:v>
                </c:pt>
                <c:pt idx="673">
                  <c:v>9.8885272586197275E-3</c:v>
                </c:pt>
                <c:pt idx="674">
                  <c:v>8.655500815100076E-3</c:v>
                </c:pt>
                <c:pt idx="675">
                  <c:v>8.8974456896291059E-3</c:v>
                </c:pt>
                <c:pt idx="676">
                  <c:v>1.0642729202420589E-2</c:v>
                </c:pt>
                <c:pt idx="677">
                  <c:v>1.0990828812434156E-2</c:v>
                </c:pt>
                <c:pt idx="678">
                  <c:v>8.6098961364462628E-3</c:v>
                </c:pt>
                <c:pt idx="679">
                  <c:v>9.0501800846625041E-3</c:v>
                </c:pt>
                <c:pt idx="680">
                  <c:v>9.0415849251380461E-3</c:v>
                </c:pt>
                <c:pt idx="681">
                  <c:v>8.3789911271271323E-3</c:v>
                </c:pt>
                <c:pt idx="682">
                  <c:v>8.3847274211588125E-3</c:v>
                </c:pt>
                <c:pt idx="683">
                  <c:v>6.0126990261233689E-3</c:v>
                </c:pt>
                <c:pt idx="684">
                  <c:v>8.2243488897208381E-3</c:v>
                </c:pt>
                <c:pt idx="685">
                  <c:v>8.4560809931245907E-3</c:v>
                </c:pt>
                <c:pt idx="686">
                  <c:v>8.1249845303570638E-3</c:v>
                </c:pt>
                <c:pt idx="687">
                  <c:v>8.5184803073711114E-3</c:v>
                </c:pt>
                <c:pt idx="688">
                  <c:v>8.9224600856260099E-3</c:v>
                </c:pt>
                <c:pt idx="689">
                  <c:v>9.1723777664020796E-3</c:v>
                </c:pt>
                <c:pt idx="690">
                  <c:v>1.1965589879798528E-2</c:v>
                </c:pt>
                <c:pt idx="691">
                  <c:v>1.0123666598797196E-2</c:v>
                </c:pt>
                <c:pt idx="692">
                  <c:v>1.0359767422845383E-2</c:v>
                </c:pt>
                <c:pt idx="693">
                  <c:v>1.0105053373733975E-2</c:v>
                </c:pt>
                <c:pt idx="694">
                  <c:v>8.0948677919278778E-3</c:v>
                </c:pt>
                <c:pt idx="695">
                  <c:v>8.1668639083298626E-3</c:v>
                </c:pt>
                <c:pt idx="696">
                  <c:v>9.0490518539366096E-3</c:v>
                </c:pt>
                <c:pt idx="697">
                  <c:v>7.8916427678161535E-3</c:v>
                </c:pt>
                <c:pt idx="698">
                  <c:v>8.0811654145592059E-3</c:v>
                </c:pt>
                <c:pt idx="699">
                  <c:v>8.057934163149599E-3</c:v>
                </c:pt>
                <c:pt idx="700">
                  <c:v>7.9164578582455545E-3</c:v>
                </c:pt>
                <c:pt idx="701">
                  <c:v>1.2774092944971298E-2</c:v>
                </c:pt>
                <c:pt idx="702">
                  <c:v>1.2431858212816515E-2</c:v>
                </c:pt>
                <c:pt idx="703">
                  <c:v>1.1495500574623259E-2</c:v>
                </c:pt>
                <c:pt idx="704">
                  <c:v>1.1731271415814018E-2</c:v>
                </c:pt>
                <c:pt idx="705">
                  <c:v>1.2516020828073446E-2</c:v>
                </c:pt>
                <c:pt idx="706">
                  <c:v>1.2422630475106134E-2</c:v>
                </c:pt>
                <c:pt idx="707">
                  <c:v>1.3057363407938361E-2</c:v>
                </c:pt>
                <c:pt idx="708">
                  <c:v>5.3015339493547881E-3</c:v>
                </c:pt>
                <c:pt idx="709">
                  <c:v>4.9018993891492288E-3</c:v>
                </c:pt>
                <c:pt idx="710">
                  <c:v>5.0233694049502684E-3</c:v>
                </c:pt>
                <c:pt idx="711">
                  <c:v>5.1279366600388773E-3</c:v>
                </c:pt>
                <c:pt idx="712">
                  <c:v>4.2126170016972952E-3</c:v>
                </c:pt>
                <c:pt idx="713">
                  <c:v>4.9728488717166314E-3</c:v>
                </c:pt>
                <c:pt idx="714">
                  <c:v>3.57183610453694E-3</c:v>
                </c:pt>
                <c:pt idx="715">
                  <c:v>5.5095939096642763E-3</c:v>
                </c:pt>
                <c:pt idx="716">
                  <c:v>9.5743950885221491E-3</c:v>
                </c:pt>
                <c:pt idx="717">
                  <c:v>9.3711785757813661E-3</c:v>
                </c:pt>
                <c:pt idx="718">
                  <c:v>1.021437716411696E-2</c:v>
                </c:pt>
                <c:pt idx="719">
                  <c:v>9.9584493333487074E-3</c:v>
                </c:pt>
                <c:pt idx="720">
                  <c:v>1.467071554023453E-2</c:v>
                </c:pt>
                <c:pt idx="721">
                  <c:v>1.4889957423370839E-2</c:v>
                </c:pt>
                <c:pt idx="722">
                  <c:v>1.446881764655774E-2</c:v>
                </c:pt>
                <c:pt idx="723">
                  <c:v>1.1157843797324273E-2</c:v>
                </c:pt>
                <c:pt idx="724">
                  <c:v>1.2572279049741954E-2</c:v>
                </c:pt>
                <c:pt idx="725">
                  <c:v>1.2354480566533333E-2</c:v>
                </c:pt>
                <c:pt idx="726">
                  <c:v>1.179683839980695E-2</c:v>
                </c:pt>
                <c:pt idx="727">
                  <c:v>5.9408610038989189E-3</c:v>
                </c:pt>
                <c:pt idx="728">
                  <c:v>5.5250424119809181E-3</c:v>
                </c:pt>
                <c:pt idx="729">
                  <c:v>7.3405659595847271E-3</c:v>
                </c:pt>
                <c:pt idx="730">
                  <c:v>8.0844426334279428E-3</c:v>
                </c:pt>
                <c:pt idx="731">
                  <c:v>7.1388458903608627E-3</c:v>
                </c:pt>
                <c:pt idx="732">
                  <c:v>8.2010647863782326E-3</c:v>
                </c:pt>
                <c:pt idx="733">
                  <c:v>6.9792059784002719E-3</c:v>
                </c:pt>
                <c:pt idx="734">
                  <c:v>7.6130793407460607E-3</c:v>
                </c:pt>
                <c:pt idx="735">
                  <c:v>8.3541726130881844E-3</c:v>
                </c:pt>
                <c:pt idx="736">
                  <c:v>1.2829186343740995E-2</c:v>
                </c:pt>
                <c:pt idx="737">
                  <c:v>1.2939995059090692E-2</c:v>
                </c:pt>
                <c:pt idx="738">
                  <c:v>1.1708771986306953E-2</c:v>
                </c:pt>
                <c:pt idx="739">
                  <c:v>9.5611710875680937E-3</c:v>
                </c:pt>
                <c:pt idx="740">
                  <c:v>8.8464923284366573E-3</c:v>
                </c:pt>
                <c:pt idx="741">
                  <c:v>8.754571943225993E-3</c:v>
                </c:pt>
                <c:pt idx="742">
                  <c:v>9.4544363919211276E-3</c:v>
                </c:pt>
                <c:pt idx="743">
                  <c:v>8.64108318692061E-3</c:v>
                </c:pt>
                <c:pt idx="744">
                  <c:v>8.0101870233086729E-3</c:v>
                </c:pt>
                <c:pt idx="745">
                  <c:v>9.7929042483842228E-3</c:v>
                </c:pt>
                <c:pt idx="746">
                  <c:v>1.0593369675543335E-2</c:v>
                </c:pt>
                <c:pt idx="747">
                  <c:v>1.0523486578137802E-2</c:v>
                </c:pt>
                <c:pt idx="748">
                  <c:v>1.0657101346859123E-2</c:v>
                </c:pt>
                <c:pt idx="749">
                  <c:v>1.0305441482259722E-2</c:v>
                </c:pt>
                <c:pt idx="750">
                  <c:v>9.8307058307299244E-3</c:v>
                </c:pt>
                <c:pt idx="751">
                  <c:v>9.6139706030690004E-3</c:v>
                </c:pt>
                <c:pt idx="752">
                  <c:v>9.2456101239676743E-3</c:v>
                </c:pt>
                <c:pt idx="753">
                  <c:v>9.7549238475673847E-3</c:v>
                </c:pt>
                <c:pt idx="754">
                  <c:v>1.0051260105024874E-2</c:v>
                </c:pt>
                <c:pt idx="755">
                  <c:v>1.0038337340823301E-2</c:v>
                </c:pt>
                <c:pt idx="756">
                  <c:v>8.8959792036587704E-3</c:v>
                </c:pt>
                <c:pt idx="757">
                  <c:v>7.8072982986765434E-3</c:v>
                </c:pt>
                <c:pt idx="758">
                  <c:v>8.6711837254503429E-3</c:v>
                </c:pt>
                <c:pt idx="759">
                  <c:v>9.6879402932244629E-3</c:v>
                </c:pt>
                <c:pt idx="760">
                  <c:v>9.3465925650613874E-3</c:v>
                </c:pt>
                <c:pt idx="761">
                  <c:v>9.4991804299509111E-3</c:v>
                </c:pt>
                <c:pt idx="762">
                  <c:v>9.5262667076866248E-3</c:v>
                </c:pt>
                <c:pt idx="763">
                  <c:v>1.0257010264152851E-2</c:v>
                </c:pt>
                <c:pt idx="764">
                  <c:v>1.1560580467189482E-2</c:v>
                </c:pt>
                <c:pt idx="765">
                  <c:v>9.8167180170924719E-3</c:v>
                </c:pt>
                <c:pt idx="766">
                  <c:v>9.634144600404685E-3</c:v>
                </c:pt>
                <c:pt idx="767">
                  <c:v>9.6628950722434069E-3</c:v>
                </c:pt>
                <c:pt idx="768">
                  <c:v>8.7314330350142851E-3</c:v>
                </c:pt>
                <c:pt idx="769">
                  <c:v>8.616797372555652E-3</c:v>
                </c:pt>
                <c:pt idx="770">
                  <c:v>7.3039763053540816E-3</c:v>
                </c:pt>
                <c:pt idx="771">
                  <c:v>7.3583225529271473E-3</c:v>
                </c:pt>
                <c:pt idx="772">
                  <c:v>6.0747081443171987E-3</c:v>
                </c:pt>
                <c:pt idx="773">
                  <c:v>5.6903561689730731E-3</c:v>
                </c:pt>
                <c:pt idx="774">
                  <c:v>6.6242658406757927E-3</c:v>
                </c:pt>
                <c:pt idx="775">
                  <c:v>6.3782124850343446E-3</c:v>
                </c:pt>
                <c:pt idx="776">
                  <c:v>6.8532798616904277E-3</c:v>
                </c:pt>
                <c:pt idx="777">
                  <c:v>7.7679003536237252E-3</c:v>
                </c:pt>
                <c:pt idx="778">
                  <c:v>5.7835451330513505E-3</c:v>
                </c:pt>
                <c:pt idx="779">
                  <c:v>6.8219795018656442E-3</c:v>
                </c:pt>
                <c:pt idx="780">
                  <c:v>5.4460672816764363E-3</c:v>
                </c:pt>
                <c:pt idx="781">
                  <c:v>7.7477795111743292E-3</c:v>
                </c:pt>
                <c:pt idx="782">
                  <c:v>8.1021839532127941E-3</c:v>
                </c:pt>
                <c:pt idx="783">
                  <c:v>8.1567464962559438E-3</c:v>
                </c:pt>
                <c:pt idx="784">
                  <c:v>8.9826740278277015E-3</c:v>
                </c:pt>
                <c:pt idx="785">
                  <c:v>8.6939107977144336E-3</c:v>
                </c:pt>
                <c:pt idx="786">
                  <c:v>8.0083874282939668E-3</c:v>
                </c:pt>
                <c:pt idx="787">
                  <c:v>8.4886954140820318E-3</c:v>
                </c:pt>
                <c:pt idx="788">
                  <c:v>6.3730524874633498E-3</c:v>
                </c:pt>
                <c:pt idx="789">
                  <c:v>8.4312791595070671E-3</c:v>
                </c:pt>
                <c:pt idx="790">
                  <c:v>8.2608729198343066E-3</c:v>
                </c:pt>
                <c:pt idx="791">
                  <c:v>8.0194288845114436E-3</c:v>
                </c:pt>
                <c:pt idx="792">
                  <c:v>1.0705450133481006E-2</c:v>
                </c:pt>
                <c:pt idx="793">
                  <c:v>1.1763451348521159E-2</c:v>
                </c:pt>
                <c:pt idx="794">
                  <c:v>1.1791859241749858E-2</c:v>
                </c:pt>
                <c:pt idx="795">
                  <c:v>1.7005990067898619E-2</c:v>
                </c:pt>
                <c:pt idx="796">
                  <c:v>1.6533917648272421E-2</c:v>
                </c:pt>
                <c:pt idx="797">
                  <c:v>1.7031687274583589E-2</c:v>
                </c:pt>
                <c:pt idx="798">
                  <c:v>1.6171284177260485E-2</c:v>
                </c:pt>
                <c:pt idx="799">
                  <c:v>1.0021640092984504E-2</c:v>
                </c:pt>
                <c:pt idx="800">
                  <c:v>9.8032394247022665E-3</c:v>
                </c:pt>
                <c:pt idx="801">
                  <c:v>9.4697252463830182E-3</c:v>
                </c:pt>
                <c:pt idx="802">
                  <c:v>7.3444608665727742E-3</c:v>
                </c:pt>
                <c:pt idx="803">
                  <c:v>9.4219612725156016E-3</c:v>
                </c:pt>
                <c:pt idx="804">
                  <c:v>9.6423885091389289E-3</c:v>
                </c:pt>
                <c:pt idx="805">
                  <c:v>9.6239665810880955E-3</c:v>
                </c:pt>
                <c:pt idx="806">
                  <c:v>9.675088571076922E-3</c:v>
                </c:pt>
                <c:pt idx="807">
                  <c:v>8.6399478466700711E-3</c:v>
                </c:pt>
                <c:pt idx="808">
                  <c:v>1.4208388412174408E-2</c:v>
                </c:pt>
                <c:pt idx="809">
                  <c:v>1.4725267447540082E-2</c:v>
                </c:pt>
                <c:pt idx="810">
                  <c:v>1.4370221574610586E-2</c:v>
                </c:pt>
                <c:pt idx="811">
                  <c:v>1.423420334627837E-2</c:v>
                </c:pt>
                <c:pt idx="812">
                  <c:v>1.3606564836855111E-2</c:v>
                </c:pt>
                <c:pt idx="813">
                  <c:v>1.3735793599390426E-2</c:v>
                </c:pt>
                <c:pt idx="814">
                  <c:v>1.405353719274435E-2</c:v>
                </c:pt>
                <c:pt idx="815">
                  <c:v>1.0290430008743865E-2</c:v>
                </c:pt>
                <c:pt idx="816">
                  <c:v>8.9418118522720559E-3</c:v>
                </c:pt>
                <c:pt idx="817">
                  <c:v>9.7363841477763977E-3</c:v>
                </c:pt>
                <c:pt idx="818">
                  <c:v>9.7771446967923874E-3</c:v>
                </c:pt>
                <c:pt idx="819">
                  <c:v>9.2592777679539086E-3</c:v>
                </c:pt>
                <c:pt idx="820">
                  <c:v>8.184487931805623E-3</c:v>
                </c:pt>
                <c:pt idx="821">
                  <c:v>7.3400168912450868E-3</c:v>
                </c:pt>
                <c:pt idx="822">
                  <c:v>7.7950387666152919E-3</c:v>
                </c:pt>
                <c:pt idx="823">
                  <c:v>8.1310562642417789E-3</c:v>
                </c:pt>
                <c:pt idx="824">
                  <c:v>6.8715195116165785E-3</c:v>
                </c:pt>
                <c:pt idx="825">
                  <c:v>4.8449719711672282E-3</c:v>
                </c:pt>
                <c:pt idx="826">
                  <c:v>6.5469614641550343E-3</c:v>
                </c:pt>
                <c:pt idx="827">
                  <c:v>6.1598410102299836E-3</c:v>
                </c:pt>
                <c:pt idx="828">
                  <c:v>6.5263472808411247E-3</c:v>
                </c:pt>
                <c:pt idx="829">
                  <c:v>7.0305536508332581E-3</c:v>
                </c:pt>
                <c:pt idx="830">
                  <c:v>6.9090410004883336E-3</c:v>
                </c:pt>
                <c:pt idx="831">
                  <c:v>6.9131158074106688E-3</c:v>
                </c:pt>
                <c:pt idx="832">
                  <c:v>8.0189995294417012E-3</c:v>
                </c:pt>
                <c:pt idx="833">
                  <c:v>6.6812673465179535E-3</c:v>
                </c:pt>
                <c:pt idx="834">
                  <c:v>6.4654758990071457E-3</c:v>
                </c:pt>
                <c:pt idx="835">
                  <c:v>6.6545469767194231E-3</c:v>
                </c:pt>
                <c:pt idx="836">
                  <c:v>5.7556326205166703E-3</c:v>
                </c:pt>
                <c:pt idx="837">
                  <c:v>5.5354369327300559E-3</c:v>
                </c:pt>
                <c:pt idx="838">
                  <c:v>6.0898716938043683E-3</c:v>
                </c:pt>
                <c:pt idx="839">
                  <c:v>4.9404805165209542E-3</c:v>
                </c:pt>
                <c:pt idx="840">
                  <c:v>4.8783540782282742E-3</c:v>
                </c:pt>
                <c:pt idx="841">
                  <c:v>4.8430777914247264E-3</c:v>
                </c:pt>
                <c:pt idx="842">
                  <c:v>7.8897606265662789E-3</c:v>
                </c:pt>
                <c:pt idx="843">
                  <c:v>9.4029699258562586E-3</c:v>
                </c:pt>
                <c:pt idx="844">
                  <c:v>8.6145626955150129E-3</c:v>
                </c:pt>
                <c:pt idx="845">
                  <c:v>9.0200739456317864E-3</c:v>
                </c:pt>
                <c:pt idx="846">
                  <c:v>9.3399995172991582E-3</c:v>
                </c:pt>
                <c:pt idx="847">
                  <c:v>1.153568778874573E-2</c:v>
                </c:pt>
                <c:pt idx="848">
                  <c:v>1.2521195867120489E-2</c:v>
                </c:pt>
                <c:pt idx="849">
                  <c:v>1.1596581834991553E-2</c:v>
                </c:pt>
                <c:pt idx="850">
                  <c:v>1.0265758420739336E-2</c:v>
                </c:pt>
                <c:pt idx="851">
                  <c:v>1.0641008266757316E-2</c:v>
                </c:pt>
                <c:pt idx="852">
                  <c:v>1.1229001668507184E-2</c:v>
                </c:pt>
                <c:pt idx="853">
                  <c:v>8.8498286268383838E-3</c:v>
                </c:pt>
                <c:pt idx="854">
                  <c:v>8.4882307171334024E-3</c:v>
                </c:pt>
                <c:pt idx="855">
                  <c:v>1.0580101778436829E-2</c:v>
                </c:pt>
                <c:pt idx="856">
                  <c:v>1.1830641830868134E-2</c:v>
                </c:pt>
                <c:pt idx="857">
                  <c:v>1.4624770978505893E-2</c:v>
                </c:pt>
                <c:pt idx="858">
                  <c:v>1.4383867485591381E-2</c:v>
                </c:pt>
                <c:pt idx="859">
                  <c:v>1.3445033987470559E-2</c:v>
                </c:pt>
                <c:pt idx="860">
                  <c:v>1.3818208417788462E-2</c:v>
                </c:pt>
                <c:pt idx="861">
                  <c:v>1.366716266480934E-2</c:v>
                </c:pt>
                <c:pt idx="862">
                  <c:v>1.2043771082626796E-2</c:v>
                </c:pt>
                <c:pt idx="863">
                  <c:v>8.3646975804614609E-3</c:v>
                </c:pt>
                <c:pt idx="864">
                  <c:v>5.8010963482088484E-3</c:v>
                </c:pt>
                <c:pt idx="865">
                  <c:v>5.9548750700193429E-3</c:v>
                </c:pt>
                <c:pt idx="866">
                  <c:v>1.0760281476141456E-2</c:v>
                </c:pt>
                <c:pt idx="867">
                  <c:v>1.0831281407244285E-2</c:v>
                </c:pt>
                <c:pt idx="868">
                  <c:v>1.014642982672068E-2</c:v>
                </c:pt>
                <c:pt idx="869">
                  <c:v>1.0017578761053638E-2</c:v>
                </c:pt>
                <c:pt idx="870">
                  <c:v>9.9827675257037774E-3</c:v>
                </c:pt>
                <c:pt idx="871">
                  <c:v>8.577848958515117E-3</c:v>
                </c:pt>
                <c:pt idx="872">
                  <c:v>8.5093747957996103E-3</c:v>
                </c:pt>
                <c:pt idx="873">
                  <c:v>5.743230256189836E-3</c:v>
                </c:pt>
                <c:pt idx="874">
                  <c:v>5.6206730084708409E-3</c:v>
                </c:pt>
                <c:pt idx="875">
                  <c:v>6.4750636845693375E-3</c:v>
                </c:pt>
                <c:pt idx="876">
                  <c:v>6.926315030590588E-3</c:v>
                </c:pt>
                <c:pt idx="877">
                  <c:v>6.8745956529327407E-3</c:v>
                </c:pt>
                <c:pt idx="878">
                  <c:v>5.6811496726584089E-3</c:v>
                </c:pt>
                <c:pt idx="879">
                  <c:v>1.3838365511727246E-2</c:v>
                </c:pt>
                <c:pt idx="880">
                  <c:v>1.3552145676261118E-2</c:v>
                </c:pt>
                <c:pt idx="881">
                  <c:v>1.3604533227053768E-2</c:v>
                </c:pt>
                <c:pt idx="882">
                  <c:v>1.3594320978197409E-2</c:v>
                </c:pt>
                <c:pt idx="883">
                  <c:v>1.2799216243616377E-2</c:v>
                </c:pt>
                <c:pt idx="884">
                  <c:v>1.9658983313088838E-2</c:v>
                </c:pt>
                <c:pt idx="885">
                  <c:v>2.2125655296667771E-2</c:v>
                </c:pt>
                <c:pt idx="886">
                  <c:v>2.0938634209326026E-2</c:v>
                </c:pt>
                <c:pt idx="887">
                  <c:v>2.0716935699289354E-2</c:v>
                </c:pt>
                <c:pt idx="888">
                  <c:v>2.0686118653198263E-2</c:v>
                </c:pt>
                <c:pt idx="889">
                  <c:v>2.1221329210587642E-2</c:v>
                </c:pt>
                <c:pt idx="890">
                  <c:v>2.1267527740293533E-2</c:v>
                </c:pt>
                <c:pt idx="891">
                  <c:v>1.2228113884796882E-2</c:v>
                </c:pt>
                <c:pt idx="892">
                  <c:v>1.0527304928857914E-2</c:v>
                </c:pt>
                <c:pt idx="893">
                  <c:v>1.1240150746854265E-2</c:v>
                </c:pt>
                <c:pt idx="894">
                  <c:v>1.1098284924546214E-2</c:v>
                </c:pt>
                <c:pt idx="895">
                  <c:v>1.1050260347722555E-2</c:v>
                </c:pt>
                <c:pt idx="896">
                  <c:v>1.096170769218058E-2</c:v>
                </c:pt>
                <c:pt idx="897">
                  <c:v>1.0947411848761241E-2</c:v>
                </c:pt>
                <c:pt idx="898">
                  <c:v>1.3980349289605393E-2</c:v>
                </c:pt>
                <c:pt idx="899">
                  <c:v>1.3353715360558965E-2</c:v>
                </c:pt>
                <c:pt idx="900">
                  <c:v>1.2760349237722334E-2</c:v>
                </c:pt>
                <c:pt idx="901">
                  <c:v>1.2572144800991183E-2</c:v>
                </c:pt>
                <c:pt idx="902">
                  <c:v>1.2742558267694487E-2</c:v>
                </c:pt>
                <c:pt idx="903">
                  <c:v>1.3332770183525191E-2</c:v>
                </c:pt>
                <c:pt idx="904">
                  <c:v>1.3399010379206945E-2</c:v>
                </c:pt>
                <c:pt idx="905">
                  <c:v>5.2555049750652189E-3</c:v>
                </c:pt>
                <c:pt idx="906">
                  <c:v>5.9497923422222468E-3</c:v>
                </c:pt>
                <c:pt idx="907">
                  <c:v>1.4996702736303066E-2</c:v>
                </c:pt>
                <c:pt idx="908">
                  <c:v>1.5205194481267809E-2</c:v>
                </c:pt>
                <c:pt idx="909">
                  <c:v>1.5161184764063192E-2</c:v>
                </c:pt>
                <c:pt idx="910">
                  <c:v>1.4257461105923686E-2</c:v>
                </c:pt>
                <c:pt idx="911">
                  <c:v>1.4339578331167814E-2</c:v>
                </c:pt>
                <c:pt idx="912">
                  <c:v>1.436079666161952E-2</c:v>
                </c:pt>
                <c:pt idx="913">
                  <c:v>1.2817958630313429E-2</c:v>
                </c:pt>
                <c:pt idx="914">
                  <c:v>1.3215474755752302E-2</c:v>
                </c:pt>
                <c:pt idx="915">
                  <c:v>1.3015405385314304E-2</c:v>
                </c:pt>
                <c:pt idx="916">
                  <c:v>1.1756643870976339E-2</c:v>
                </c:pt>
                <c:pt idx="917">
                  <c:v>1.2234137985997031E-2</c:v>
                </c:pt>
                <c:pt idx="918">
                  <c:v>1.2310539083277771E-2</c:v>
                </c:pt>
                <c:pt idx="919">
                  <c:v>1.1460632109032125E-2</c:v>
                </c:pt>
                <c:pt idx="920">
                  <c:v>1.0349004736514135E-2</c:v>
                </c:pt>
                <c:pt idx="921">
                  <c:v>6.1188021445199242E-3</c:v>
                </c:pt>
                <c:pt idx="922">
                  <c:v>8.066699920062561E-3</c:v>
                </c:pt>
                <c:pt idx="923">
                  <c:v>1.1871323168151572E-2</c:v>
                </c:pt>
                <c:pt idx="924">
                  <c:v>1.5353614698960572E-2</c:v>
                </c:pt>
                <c:pt idx="925">
                  <c:v>1.5794990657986421E-2</c:v>
                </c:pt>
                <c:pt idx="926">
                  <c:v>1.5451742731161735E-2</c:v>
                </c:pt>
                <c:pt idx="927">
                  <c:v>1.5235833936600371E-2</c:v>
                </c:pt>
                <c:pt idx="928">
                  <c:v>1.5040265331258603E-2</c:v>
                </c:pt>
                <c:pt idx="929">
                  <c:v>1.2166886641781224E-2</c:v>
                </c:pt>
                <c:pt idx="930">
                  <c:v>1.5093291420608257E-2</c:v>
                </c:pt>
                <c:pt idx="931">
                  <c:v>1.3266035435273093E-2</c:v>
                </c:pt>
                <c:pt idx="932">
                  <c:v>1.3987860226983936E-2</c:v>
                </c:pt>
                <c:pt idx="933">
                  <c:v>1.4134347318910974E-2</c:v>
                </c:pt>
                <c:pt idx="934">
                  <c:v>1.3835981162925379E-2</c:v>
                </c:pt>
                <c:pt idx="935">
                  <c:v>1.464814301763653E-2</c:v>
                </c:pt>
                <c:pt idx="936">
                  <c:v>1.0142649730143978E-2</c:v>
                </c:pt>
                <c:pt idx="937">
                  <c:v>1.0513447172478657E-2</c:v>
                </c:pt>
                <c:pt idx="938">
                  <c:v>1.036777911769577E-2</c:v>
                </c:pt>
                <c:pt idx="939">
                  <c:v>1.0198245187652057E-2</c:v>
                </c:pt>
                <c:pt idx="940">
                  <c:v>9.2084701451245112E-3</c:v>
                </c:pt>
                <c:pt idx="941">
                  <c:v>9.4833018021032462E-3</c:v>
                </c:pt>
                <c:pt idx="942">
                  <c:v>1.0089036292788001E-2</c:v>
                </c:pt>
                <c:pt idx="943">
                  <c:v>1.0074515552080351E-2</c:v>
                </c:pt>
                <c:pt idx="944">
                  <c:v>9.1209427579293529E-3</c:v>
                </c:pt>
                <c:pt idx="945">
                  <c:v>1.3108622541539753E-2</c:v>
                </c:pt>
                <c:pt idx="946">
                  <c:v>1.1056224774238756E-2</c:v>
                </c:pt>
                <c:pt idx="947">
                  <c:v>1.1564522511990373E-2</c:v>
                </c:pt>
                <c:pt idx="948">
                  <c:v>1.0916841198234736E-2</c:v>
                </c:pt>
                <c:pt idx="949">
                  <c:v>1.0758170525529754E-2</c:v>
                </c:pt>
                <c:pt idx="950">
                  <c:v>1.0693333979926022E-2</c:v>
                </c:pt>
                <c:pt idx="951">
                  <c:v>1.1089661328872253E-2</c:v>
                </c:pt>
                <c:pt idx="952">
                  <c:v>8.8725138247192688E-3</c:v>
                </c:pt>
                <c:pt idx="953">
                  <c:v>7.9301888503128266E-3</c:v>
                </c:pt>
                <c:pt idx="954">
                  <c:v>7.2540221607944504E-3</c:v>
                </c:pt>
                <c:pt idx="955">
                  <c:v>5.9765822419589783E-3</c:v>
                </c:pt>
                <c:pt idx="956">
                  <c:v>6.9427455525974445E-3</c:v>
                </c:pt>
                <c:pt idx="957">
                  <c:v>6.5153379885261892E-3</c:v>
                </c:pt>
                <c:pt idx="958">
                  <c:v>5.1009774217334238E-3</c:v>
                </c:pt>
                <c:pt idx="959">
                  <c:v>4.4453158398093991E-3</c:v>
                </c:pt>
                <c:pt idx="960">
                  <c:v>4.6488382713574172E-3</c:v>
                </c:pt>
                <c:pt idx="961">
                  <c:v>5.93819027198976E-3</c:v>
                </c:pt>
                <c:pt idx="962">
                  <c:v>1.1318073492039712E-2</c:v>
                </c:pt>
                <c:pt idx="963">
                  <c:v>1.125853826176791E-2</c:v>
                </c:pt>
                <c:pt idx="964">
                  <c:v>1.5267705841078786E-2</c:v>
                </c:pt>
                <c:pt idx="965">
                  <c:v>1.6970875729386041E-2</c:v>
                </c:pt>
                <c:pt idx="966">
                  <c:v>1.6962889015482058E-2</c:v>
                </c:pt>
                <c:pt idx="967">
                  <c:v>1.8179427900979931E-2</c:v>
                </c:pt>
                <c:pt idx="968">
                  <c:v>1.7675379945767577E-2</c:v>
                </c:pt>
                <c:pt idx="969">
                  <c:v>1.8579304723488347E-2</c:v>
                </c:pt>
                <c:pt idx="970">
                  <c:v>1.9067056773483956E-2</c:v>
                </c:pt>
                <c:pt idx="971">
                  <c:v>2.0884909740163351E-2</c:v>
                </c:pt>
                <c:pt idx="972">
                  <c:v>2.1434332470218545E-2</c:v>
                </c:pt>
                <c:pt idx="973">
                  <c:v>2.1867004942409243E-2</c:v>
                </c:pt>
                <c:pt idx="974">
                  <c:v>2.2894428941356845E-2</c:v>
                </c:pt>
                <c:pt idx="975">
                  <c:v>2.2868788071592015E-2</c:v>
                </c:pt>
                <c:pt idx="976">
                  <c:v>1.81428390058265E-2</c:v>
                </c:pt>
                <c:pt idx="977">
                  <c:v>2.0025679084293101E-2</c:v>
                </c:pt>
                <c:pt idx="978">
                  <c:v>1.6777215254352374E-2</c:v>
                </c:pt>
                <c:pt idx="979">
                  <c:v>1.5301387537395378E-2</c:v>
                </c:pt>
                <c:pt idx="980">
                  <c:v>1.6163204727060298E-2</c:v>
                </c:pt>
                <c:pt idx="981">
                  <c:v>1.3116007878206486E-2</c:v>
                </c:pt>
                <c:pt idx="982">
                  <c:v>1.3273368101223466E-2</c:v>
                </c:pt>
                <c:pt idx="983">
                  <c:v>1.9494631916922127E-2</c:v>
                </c:pt>
                <c:pt idx="984">
                  <c:v>2.053238862682305E-2</c:v>
                </c:pt>
                <c:pt idx="985">
                  <c:v>1.9835249826537421E-2</c:v>
                </c:pt>
                <c:pt idx="986">
                  <c:v>2.1088257973091298E-2</c:v>
                </c:pt>
                <c:pt idx="987">
                  <c:v>2.1140248329318576E-2</c:v>
                </c:pt>
                <c:pt idx="988">
                  <c:v>2.0882968576567518E-2</c:v>
                </c:pt>
                <c:pt idx="989">
                  <c:v>1.8604636939187281E-2</c:v>
                </c:pt>
                <c:pt idx="990">
                  <c:v>1.6125549734073569E-2</c:v>
                </c:pt>
                <c:pt idx="991">
                  <c:v>7.8636387819856594E-3</c:v>
                </c:pt>
                <c:pt idx="992">
                  <c:v>8.6289058001266915E-3</c:v>
                </c:pt>
                <c:pt idx="993">
                  <c:v>8.0014579653076255E-3</c:v>
                </c:pt>
                <c:pt idx="994">
                  <c:v>8.2643174125465162E-3</c:v>
                </c:pt>
                <c:pt idx="995">
                  <c:v>7.8137336291614658E-3</c:v>
                </c:pt>
                <c:pt idx="996">
                  <c:v>1.2110578076185584E-2</c:v>
                </c:pt>
                <c:pt idx="997">
                  <c:v>1.2108582885529916E-2</c:v>
                </c:pt>
                <c:pt idx="998">
                  <c:v>1.5194368606810829E-2</c:v>
                </c:pt>
                <c:pt idx="999">
                  <c:v>1.5189298060247146E-2</c:v>
                </c:pt>
                <c:pt idx="1000">
                  <c:v>1.6466763200244178E-2</c:v>
                </c:pt>
                <c:pt idx="1001">
                  <c:v>1.3177900287319197E-2</c:v>
                </c:pt>
                <c:pt idx="1002">
                  <c:v>1.4909727875046224E-2</c:v>
                </c:pt>
                <c:pt idx="1003">
                  <c:v>1.5265173742590997E-2</c:v>
                </c:pt>
                <c:pt idx="1004">
                  <c:v>1.4875275310170095E-2</c:v>
                </c:pt>
                <c:pt idx="1005">
                  <c:v>9.3932769553860245E-3</c:v>
                </c:pt>
                <c:pt idx="1006">
                  <c:v>1.0373798667205118E-2</c:v>
                </c:pt>
                <c:pt idx="1007">
                  <c:v>1.2650397788242656E-2</c:v>
                </c:pt>
                <c:pt idx="1008">
                  <c:v>1.3759347252986821E-2</c:v>
                </c:pt>
                <c:pt idx="1009">
                  <c:v>1.5640842626248378E-2</c:v>
                </c:pt>
                <c:pt idx="1010">
                  <c:v>1.4218644788693089E-2</c:v>
                </c:pt>
                <c:pt idx="1011">
                  <c:v>1.5988945762132192E-2</c:v>
                </c:pt>
                <c:pt idx="1012">
                  <c:v>1.9065468773859357E-2</c:v>
                </c:pt>
                <c:pt idx="1013">
                  <c:v>1.8832617017717511E-2</c:v>
                </c:pt>
                <c:pt idx="1014">
                  <c:v>1.5732382739870664E-2</c:v>
                </c:pt>
                <c:pt idx="1015">
                  <c:v>1.5573866983253538E-2</c:v>
                </c:pt>
                <c:pt idx="1016">
                  <c:v>1.2899060673622426E-2</c:v>
                </c:pt>
                <c:pt idx="1017">
                  <c:v>1.6128794263514722E-2</c:v>
                </c:pt>
                <c:pt idx="1018">
                  <c:v>1.6175034179741699E-2</c:v>
                </c:pt>
                <c:pt idx="1019">
                  <c:v>1.8779245557563547E-2</c:v>
                </c:pt>
                <c:pt idx="1020">
                  <c:v>1.9090619193864171E-2</c:v>
                </c:pt>
                <c:pt idx="1021">
                  <c:v>1.8775946709625572E-2</c:v>
                </c:pt>
                <c:pt idx="1022">
                  <c:v>1.8221734285104207E-2</c:v>
                </c:pt>
                <c:pt idx="1023">
                  <c:v>1.7465900711231372E-2</c:v>
                </c:pt>
                <c:pt idx="1024">
                  <c:v>1.5199373936231339E-2</c:v>
                </c:pt>
                <c:pt idx="1025">
                  <c:v>1.40776090204275E-2</c:v>
                </c:pt>
                <c:pt idx="1026">
                  <c:v>7.4984811910365455E-3</c:v>
                </c:pt>
                <c:pt idx="1027">
                  <c:v>5.8880531576745816E-3</c:v>
                </c:pt>
                <c:pt idx="1028">
                  <c:v>7.4344341350877129E-3</c:v>
                </c:pt>
                <c:pt idx="1029">
                  <c:v>7.6119333569252632E-3</c:v>
                </c:pt>
                <c:pt idx="1030">
                  <c:v>7.936723025690132E-3</c:v>
                </c:pt>
                <c:pt idx="1031">
                  <c:v>7.3444607527828401E-3</c:v>
                </c:pt>
                <c:pt idx="1032">
                  <c:v>7.2589869587455415E-3</c:v>
                </c:pt>
                <c:pt idx="1033">
                  <c:v>7.7302219561680456E-3</c:v>
                </c:pt>
                <c:pt idx="1034">
                  <c:v>7.7021921123598142E-3</c:v>
                </c:pt>
                <c:pt idx="1035">
                  <c:v>7.2966865046827931E-3</c:v>
                </c:pt>
                <c:pt idx="1036">
                  <c:v>7.881046939906055E-3</c:v>
                </c:pt>
                <c:pt idx="1037">
                  <c:v>5.760989873022964E-3</c:v>
                </c:pt>
                <c:pt idx="1038">
                  <c:v>4.3647275245819166E-3</c:v>
                </c:pt>
                <c:pt idx="1039">
                  <c:v>5.527353436887583E-3</c:v>
                </c:pt>
                <c:pt idx="1040">
                  <c:v>7.3956555821249751E-3</c:v>
                </c:pt>
                <c:pt idx="1041">
                  <c:v>8.7986829922414578E-3</c:v>
                </c:pt>
                <c:pt idx="1042">
                  <c:v>8.959495608065313E-3</c:v>
                </c:pt>
                <c:pt idx="1043">
                  <c:v>9.0693094848578251E-3</c:v>
                </c:pt>
                <c:pt idx="1044">
                  <c:v>1.6849272567064966E-2</c:v>
                </c:pt>
                <c:pt idx="1045">
                  <c:v>1.930244479773224E-2</c:v>
                </c:pt>
                <c:pt idx="1046">
                  <c:v>2.2051504324475418E-2</c:v>
                </c:pt>
                <c:pt idx="1047">
                  <c:v>2.1307230314528459E-2</c:v>
                </c:pt>
                <c:pt idx="1048">
                  <c:v>2.1663174482932222E-2</c:v>
                </c:pt>
                <c:pt idx="1049">
                  <c:v>2.1527382826422088E-2</c:v>
                </c:pt>
                <c:pt idx="1050">
                  <c:v>2.2118685975665617E-2</c:v>
                </c:pt>
                <c:pt idx="1051">
                  <c:v>1.4642337671498629E-2</c:v>
                </c:pt>
                <c:pt idx="1052">
                  <c:v>1.7652357261340543E-2</c:v>
                </c:pt>
                <c:pt idx="1053">
                  <c:v>1.6711923549087931E-2</c:v>
                </c:pt>
                <c:pt idx="1054">
                  <c:v>1.7363037267671178E-2</c:v>
                </c:pt>
                <c:pt idx="1055">
                  <c:v>1.6716480166641439E-2</c:v>
                </c:pt>
                <c:pt idx="1056">
                  <c:v>2.0424405621410274E-2</c:v>
                </c:pt>
                <c:pt idx="1057">
                  <c:v>2.0335081001518356E-2</c:v>
                </c:pt>
                <c:pt idx="1058">
                  <c:v>2.0029409565165475E-2</c:v>
                </c:pt>
                <c:pt idx="1059">
                  <c:v>1.4103485476060136E-2</c:v>
                </c:pt>
                <c:pt idx="1060">
                  <c:v>1.3952174711339948E-2</c:v>
                </c:pt>
                <c:pt idx="1061">
                  <c:v>1.4971935849689812E-2</c:v>
                </c:pt>
                <c:pt idx="1062">
                  <c:v>1.4075332999443392E-2</c:v>
                </c:pt>
                <c:pt idx="1063">
                  <c:v>8.6378234856244653E-3</c:v>
                </c:pt>
                <c:pt idx="1064">
                  <c:v>9.0094430148499778E-3</c:v>
                </c:pt>
                <c:pt idx="1065">
                  <c:v>6.9623208983799314E-3</c:v>
                </c:pt>
                <c:pt idx="1066">
                  <c:v>6.837442776165944E-3</c:v>
                </c:pt>
                <c:pt idx="1067">
                  <c:v>6.7120291786193732E-3</c:v>
                </c:pt>
                <c:pt idx="1068">
                  <c:v>5.3999568682660815E-3</c:v>
                </c:pt>
                <c:pt idx="1069">
                  <c:v>6.2091200710611919E-3</c:v>
                </c:pt>
                <c:pt idx="1070">
                  <c:v>6.1000067233150093E-3</c:v>
                </c:pt>
                <c:pt idx="1071">
                  <c:v>5.7185159087374616E-3</c:v>
                </c:pt>
                <c:pt idx="1072">
                  <c:v>5.7369916219111982E-3</c:v>
                </c:pt>
                <c:pt idx="1073">
                  <c:v>4.3805434159946309E-3</c:v>
                </c:pt>
                <c:pt idx="1074">
                  <c:v>3.8297829729086619E-3</c:v>
                </c:pt>
                <c:pt idx="1075">
                  <c:v>3.5686544670426178E-3</c:v>
                </c:pt>
                <c:pt idx="1076">
                  <c:v>4.3227040624454222E-3</c:v>
                </c:pt>
                <c:pt idx="1077">
                  <c:v>4.8169350104795118E-3</c:v>
                </c:pt>
                <c:pt idx="1078">
                  <c:v>5.5697700108013485E-3</c:v>
                </c:pt>
                <c:pt idx="1079">
                  <c:v>8.6612239890254718E-3</c:v>
                </c:pt>
                <c:pt idx="1080">
                  <c:v>8.1766986051032293E-3</c:v>
                </c:pt>
                <c:pt idx="1081">
                  <c:v>1.8011610280161329E-2</c:v>
                </c:pt>
                <c:pt idx="1082">
                  <c:v>1.8860428952706551E-2</c:v>
                </c:pt>
                <c:pt idx="1083">
                  <c:v>1.7829694532024844E-2</c:v>
                </c:pt>
                <c:pt idx="1084">
                  <c:v>1.9588318056641092E-2</c:v>
                </c:pt>
                <c:pt idx="1085">
                  <c:v>1.9706915810055091E-2</c:v>
                </c:pt>
                <c:pt idx="1086">
                  <c:v>1.7422303255816615E-2</c:v>
                </c:pt>
                <c:pt idx="1087">
                  <c:v>1.7143744959805744E-2</c:v>
                </c:pt>
                <c:pt idx="1088">
                  <c:v>1.1433830166723547E-2</c:v>
                </c:pt>
                <c:pt idx="1089">
                  <c:v>1.2856511628311839E-2</c:v>
                </c:pt>
                <c:pt idx="1090">
                  <c:v>1.2810538744657055E-2</c:v>
                </c:pt>
                <c:pt idx="1091">
                  <c:v>1.1825911735511287E-2</c:v>
                </c:pt>
                <c:pt idx="1092">
                  <c:v>1.118946274730832E-2</c:v>
                </c:pt>
                <c:pt idx="1093">
                  <c:v>1.2342441586403645E-2</c:v>
                </c:pt>
                <c:pt idx="1094">
                  <c:v>1.1492810147630416E-2</c:v>
                </c:pt>
                <c:pt idx="1095">
                  <c:v>1.2983379223445172E-2</c:v>
                </c:pt>
                <c:pt idx="1096">
                  <c:v>8.9151701659363793E-3</c:v>
                </c:pt>
                <c:pt idx="1097">
                  <c:v>8.9077064997993751E-3</c:v>
                </c:pt>
                <c:pt idx="1098">
                  <c:v>9.2791779703907239E-3</c:v>
                </c:pt>
                <c:pt idx="1099">
                  <c:v>9.6633143976696985E-3</c:v>
                </c:pt>
                <c:pt idx="1100">
                  <c:v>7.2834954884880712E-3</c:v>
                </c:pt>
                <c:pt idx="1101">
                  <c:v>7.5667340078822178E-3</c:v>
                </c:pt>
                <c:pt idx="1102">
                  <c:v>5.6894122760341517E-3</c:v>
                </c:pt>
                <c:pt idx="1103">
                  <c:v>5.3913434915907792E-3</c:v>
                </c:pt>
                <c:pt idx="1104">
                  <c:v>5.6539156424039319E-3</c:v>
                </c:pt>
                <c:pt idx="1105">
                  <c:v>1.0407516790626384E-2</c:v>
                </c:pt>
                <c:pt idx="1106">
                  <c:v>1.0263206759586843E-2</c:v>
                </c:pt>
                <c:pt idx="1107">
                  <c:v>9.239702172940489E-3</c:v>
                </c:pt>
                <c:pt idx="1108">
                  <c:v>9.2242801709813225E-3</c:v>
                </c:pt>
                <c:pt idx="1109">
                  <c:v>9.1426015428568083E-3</c:v>
                </c:pt>
                <c:pt idx="1110">
                  <c:v>9.2443697715029784E-3</c:v>
                </c:pt>
                <c:pt idx="1111">
                  <c:v>5.6049909679158141E-3</c:v>
                </c:pt>
                <c:pt idx="1112">
                  <c:v>3.2027018020790075E-3</c:v>
                </c:pt>
                <c:pt idx="1113">
                  <c:v>1.1822365549750694E-2</c:v>
                </c:pt>
                <c:pt idx="1114">
                  <c:v>1.180753407648347E-2</c:v>
                </c:pt>
                <c:pt idx="1115">
                  <c:v>1.1927350616071235E-2</c:v>
                </c:pt>
                <c:pt idx="1116">
                  <c:v>1.1867221765695463E-2</c:v>
                </c:pt>
                <c:pt idx="1117">
                  <c:v>1.1683900524106524E-2</c:v>
                </c:pt>
                <c:pt idx="1118">
                  <c:v>1.1390044695068416E-2</c:v>
                </c:pt>
                <c:pt idx="1119">
                  <c:v>1.1228576865559269E-2</c:v>
                </c:pt>
                <c:pt idx="1120">
                  <c:v>1.4986417875536851E-2</c:v>
                </c:pt>
                <c:pt idx="1121">
                  <c:v>1.4962097923715299E-2</c:v>
                </c:pt>
                <c:pt idx="1122">
                  <c:v>1.5152058911215066E-2</c:v>
                </c:pt>
                <c:pt idx="1123">
                  <c:v>1.5125094581412124E-2</c:v>
                </c:pt>
                <c:pt idx="1124">
                  <c:v>1.482842243076501E-2</c:v>
                </c:pt>
                <c:pt idx="1125">
                  <c:v>1.4733415527381895E-2</c:v>
                </c:pt>
                <c:pt idx="1126">
                  <c:v>1.1266209593250504E-2</c:v>
                </c:pt>
                <c:pt idx="1127">
                  <c:v>4.8163246021175714E-3</c:v>
                </c:pt>
                <c:pt idx="1128">
                  <c:v>6.8511116546595384E-3</c:v>
                </c:pt>
                <c:pt idx="1129">
                  <c:v>6.024635846106529E-3</c:v>
                </c:pt>
                <c:pt idx="1130">
                  <c:v>6.9415932453697456E-3</c:v>
                </c:pt>
                <c:pt idx="1131">
                  <c:v>7.6583508464912213E-3</c:v>
                </c:pt>
                <c:pt idx="1132">
                  <c:v>5.8717858905560057E-3</c:v>
                </c:pt>
                <c:pt idx="1133">
                  <c:v>5.8527450267938479E-3</c:v>
                </c:pt>
                <c:pt idx="1134">
                  <c:v>5.4211337228133654E-3</c:v>
                </c:pt>
                <c:pt idx="1135">
                  <c:v>6.2081112460218883E-3</c:v>
                </c:pt>
                <c:pt idx="1136">
                  <c:v>7.3487090218795036E-3</c:v>
                </c:pt>
                <c:pt idx="1137">
                  <c:v>7.4374535748976834E-3</c:v>
                </c:pt>
                <c:pt idx="1138">
                  <c:v>6.2586281010622163E-3</c:v>
                </c:pt>
                <c:pt idx="1139">
                  <c:v>6.5090163908489403E-3</c:v>
                </c:pt>
                <c:pt idx="1140">
                  <c:v>6.6114925979563078E-3</c:v>
                </c:pt>
                <c:pt idx="1141">
                  <c:v>6.6407184432000412E-3</c:v>
                </c:pt>
                <c:pt idx="1142">
                  <c:v>6.9284679434090616E-3</c:v>
                </c:pt>
                <c:pt idx="1143">
                  <c:v>6.0452150750730975E-3</c:v>
                </c:pt>
                <c:pt idx="1144">
                  <c:v>6.842450709781101E-3</c:v>
                </c:pt>
                <c:pt idx="1145">
                  <c:v>9.1478239038981658E-3</c:v>
                </c:pt>
                <c:pt idx="1146">
                  <c:v>8.812269505133653E-3</c:v>
                </c:pt>
                <c:pt idx="1147">
                  <c:v>8.7942081659896556E-3</c:v>
                </c:pt>
                <c:pt idx="1148">
                  <c:v>8.9086605280190596E-3</c:v>
                </c:pt>
                <c:pt idx="1149">
                  <c:v>8.2148830502637733E-3</c:v>
                </c:pt>
                <c:pt idx="1150">
                  <c:v>9.37216087442822E-3</c:v>
                </c:pt>
                <c:pt idx="1151">
                  <c:v>7.5185200498760233E-3</c:v>
                </c:pt>
                <c:pt idx="1152">
                  <c:v>5.2166269157376934E-3</c:v>
                </c:pt>
                <c:pt idx="1153">
                  <c:v>6.7606762835064555E-3</c:v>
                </c:pt>
                <c:pt idx="1154">
                  <c:v>6.6497299787633916E-3</c:v>
                </c:pt>
                <c:pt idx="1155">
                  <c:v>7.7574183818142723E-3</c:v>
                </c:pt>
                <c:pt idx="1156">
                  <c:v>9.6688567034809263E-3</c:v>
                </c:pt>
                <c:pt idx="1157">
                  <c:v>9.1361178020950805E-3</c:v>
                </c:pt>
                <c:pt idx="1158">
                  <c:v>9.0362272766875713E-3</c:v>
                </c:pt>
                <c:pt idx="1159">
                  <c:v>1.0440532524053142E-2</c:v>
                </c:pt>
                <c:pt idx="1160">
                  <c:v>9.7447994916712837E-3</c:v>
                </c:pt>
                <c:pt idx="1161">
                  <c:v>1.0093356756981859E-2</c:v>
                </c:pt>
                <c:pt idx="1162">
                  <c:v>8.0359180374630686E-3</c:v>
                </c:pt>
                <c:pt idx="1163">
                  <c:v>7.2007491528287256E-3</c:v>
                </c:pt>
                <c:pt idx="1164">
                  <c:v>7.9199983954318705E-3</c:v>
                </c:pt>
                <c:pt idx="1165">
                  <c:v>9.4135372016516099E-3</c:v>
                </c:pt>
                <c:pt idx="1166">
                  <c:v>8.4110629292716479E-3</c:v>
                </c:pt>
                <c:pt idx="1167">
                  <c:v>1.3828853649172886E-2</c:v>
                </c:pt>
                <c:pt idx="1168">
                  <c:v>1.4072432694955915E-2</c:v>
                </c:pt>
                <c:pt idx="1169">
                  <c:v>1.5463652591669414E-2</c:v>
                </c:pt>
                <c:pt idx="1170">
                  <c:v>1.543888789703644E-2</c:v>
                </c:pt>
                <c:pt idx="1171">
                  <c:v>1.4628015618204891E-2</c:v>
                </c:pt>
                <c:pt idx="1172">
                  <c:v>1.285521880340282E-2</c:v>
                </c:pt>
                <c:pt idx="1173">
                  <c:v>1.0361707793562391E-2</c:v>
                </c:pt>
                <c:pt idx="1174">
                  <c:v>9.8736584597603587E-3</c:v>
                </c:pt>
                <c:pt idx="1175">
                  <c:v>1.0462858593980768E-2</c:v>
                </c:pt>
                <c:pt idx="1176">
                  <c:v>1.017624931638458E-2</c:v>
                </c:pt>
                <c:pt idx="1177">
                  <c:v>9.9674108156602003E-3</c:v>
                </c:pt>
                <c:pt idx="1178">
                  <c:v>9.9591316582298521E-3</c:v>
                </c:pt>
                <c:pt idx="1179">
                  <c:v>8.9664507007063479E-3</c:v>
                </c:pt>
                <c:pt idx="1180">
                  <c:v>8.3010075839754539E-3</c:v>
                </c:pt>
                <c:pt idx="1181">
                  <c:v>6.8544396346401117E-3</c:v>
                </c:pt>
                <c:pt idx="1182">
                  <c:v>5.2936928886172284E-3</c:v>
                </c:pt>
                <c:pt idx="1183">
                  <c:v>6.3954340828693531E-3</c:v>
                </c:pt>
                <c:pt idx="1184">
                  <c:v>6.569094542013358E-3</c:v>
                </c:pt>
                <c:pt idx="1185">
                  <c:v>6.5572129061025296E-3</c:v>
                </c:pt>
                <c:pt idx="1186">
                  <c:v>7.5300711294271081E-3</c:v>
                </c:pt>
                <c:pt idx="1187">
                  <c:v>7.9894371946157942E-3</c:v>
                </c:pt>
                <c:pt idx="1188">
                  <c:v>8.0776535260803778E-3</c:v>
                </c:pt>
                <c:pt idx="1189">
                  <c:v>1.3288110172126831E-2</c:v>
                </c:pt>
                <c:pt idx="1190">
                  <c:v>1.35914073557745E-2</c:v>
                </c:pt>
                <c:pt idx="1191">
                  <c:v>1.3716115724417902E-2</c:v>
                </c:pt>
                <c:pt idx="1192">
                  <c:v>1.3773838179773804E-2</c:v>
                </c:pt>
                <c:pt idx="1193">
                  <c:v>1.2666761752786325E-2</c:v>
                </c:pt>
                <c:pt idx="1194">
                  <c:v>1.0167205430370602E-2</c:v>
                </c:pt>
                <c:pt idx="1195">
                  <c:v>1.0362520647184962E-2</c:v>
                </c:pt>
                <c:pt idx="1196">
                  <c:v>8.8387694055376866E-3</c:v>
                </c:pt>
                <c:pt idx="1197">
                  <c:v>6.6844658219668528E-3</c:v>
                </c:pt>
                <c:pt idx="1198">
                  <c:v>7.4593388588806665E-3</c:v>
                </c:pt>
                <c:pt idx="1199">
                  <c:v>6.6121633006265418E-3</c:v>
                </c:pt>
                <c:pt idx="1200">
                  <c:v>6.695054175956461E-3</c:v>
                </c:pt>
                <c:pt idx="1201">
                  <c:v>6.6027239944770411E-3</c:v>
                </c:pt>
                <c:pt idx="1202">
                  <c:v>7.6110544467126425E-3</c:v>
                </c:pt>
                <c:pt idx="1203">
                  <c:v>8.0982730779962774E-3</c:v>
                </c:pt>
                <c:pt idx="1204">
                  <c:v>1.0375430261758578E-2</c:v>
                </c:pt>
                <c:pt idx="1205">
                  <c:v>1.0864144588493272E-2</c:v>
                </c:pt>
                <c:pt idx="1206">
                  <c:v>1.0875549750234557E-2</c:v>
                </c:pt>
                <c:pt idx="1207">
                  <c:v>1.1196610748334565E-2</c:v>
                </c:pt>
                <c:pt idx="1208">
                  <c:v>1.1459442197170776E-2</c:v>
                </c:pt>
                <c:pt idx="1209">
                  <c:v>9.945835488632206E-3</c:v>
                </c:pt>
                <c:pt idx="1210">
                  <c:v>9.8398911756012696E-3</c:v>
                </c:pt>
                <c:pt idx="1211">
                  <c:v>1.5225898607261366E-2</c:v>
                </c:pt>
                <c:pt idx="1212">
                  <c:v>1.5917979725499791E-2</c:v>
                </c:pt>
                <c:pt idx="1213">
                  <c:v>1.6102124132609315E-2</c:v>
                </c:pt>
                <c:pt idx="1214">
                  <c:v>1.6342077476767483E-2</c:v>
                </c:pt>
                <c:pt idx="1215">
                  <c:v>1.5482066373677964E-2</c:v>
                </c:pt>
                <c:pt idx="1216">
                  <c:v>1.5634521211608604E-2</c:v>
                </c:pt>
                <c:pt idx="1217">
                  <c:v>1.6211477811963623E-2</c:v>
                </c:pt>
                <c:pt idx="1218">
                  <c:v>1.5552634528950768E-2</c:v>
                </c:pt>
                <c:pt idx="1219">
                  <c:v>1.4964182679062993E-2</c:v>
                </c:pt>
                <c:pt idx="1220">
                  <c:v>1.4915899219357716E-2</c:v>
                </c:pt>
                <c:pt idx="1221">
                  <c:v>1.4567083426850595E-2</c:v>
                </c:pt>
                <c:pt idx="1222">
                  <c:v>1.4591634573101139E-2</c:v>
                </c:pt>
                <c:pt idx="1223">
                  <c:v>1.3730524210725925E-2</c:v>
                </c:pt>
                <c:pt idx="1224">
                  <c:v>1.1510832125623689E-2</c:v>
                </c:pt>
                <c:pt idx="1225">
                  <c:v>7.9917455102381033E-3</c:v>
                </c:pt>
                <c:pt idx="1226">
                  <c:v>6.3372088698431996E-3</c:v>
                </c:pt>
                <c:pt idx="1227">
                  <c:v>6.0894079905962862E-3</c:v>
                </c:pt>
                <c:pt idx="1228">
                  <c:v>6.5068443419299092E-3</c:v>
                </c:pt>
                <c:pt idx="1229">
                  <c:v>6.2420724501324439E-3</c:v>
                </c:pt>
                <c:pt idx="1230">
                  <c:v>6.1913496462834092E-3</c:v>
                </c:pt>
                <c:pt idx="1231">
                  <c:v>5.7581384183523435E-3</c:v>
                </c:pt>
                <c:pt idx="1232">
                  <c:v>6.932784916580734E-3</c:v>
                </c:pt>
                <c:pt idx="1233">
                  <c:v>7.6271116782925868E-3</c:v>
                </c:pt>
                <c:pt idx="1234">
                  <c:v>8.0067413572857144E-3</c:v>
                </c:pt>
                <c:pt idx="1235">
                  <c:v>7.3359446745030858E-3</c:v>
                </c:pt>
                <c:pt idx="1236">
                  <c:v>7.0914295977163198E-3</c:v>
                </c:pt>
                <c:pt idx="1237">
                  <c:v>6.9450832280030586E-3</c:v>
                </c:pt>
                <c:pt idx="1238">
                  <c:v>7.1060201252736164E-3</c:v>
                </c:pt>
                <c:pt idx="1239">
                  <c:v>5.7189380959782495E-3</c:v>
                </c:pt>
                <c:pt idx="1240">
                  <c:v>4.3847619194402531E-3</c:v>
                </c:pt>
                <c:pt idx="1241">
                  <c:v>2.4544794596179564E-3</c:v>
                </c:pt>
                <c:pt idx="1242">
                  <c:v>7.1973498881472081E-3</c:v>
                </c:pt>
                <c:pt idx="1243">
                  <c:v>7.0968350340735601E-3</c:v>
                </c:pt>
                <c:pt idx="1244">
                  <c:v>9.5760472060395976E-3</c:v>
                </c:pt>
                <c:pt idx="1245">
                  <c:v>9.9045775226777027E-3</c:v>
                </c:pt>
                <c:pt idx="1246">
                  <c:v>1.0476908737665651E-2</c:v>
                </c:pt>
                <c:pt idx="1247">
                  <c:v>1.0956513664661096E-2</c:v>
                </c:pt>
                <c:pt idx="1248">
                  <c:v>1.0957418739841808E-2</c:v>
                </c:pt>
                <c:pt idx="1249">
                  <c:v>5.7100062650405122E-3</c:v>
                </c:pt>
                <c:pt idx="1250">
                  <c:v>6.5240836561170365E-3</c:v>
                </c:pt>
                <c:pt idx="1251">
                  <c:v>5.4761325379132537E-3</c:v>
                </c:pt>
                <c:pt idx="1252">
                  <c:v>5.3992094310894917E-3</c:v>
                </c:pt>
                <c:pt idx="1253">
                  <c:v>1.018882426837717E-2</c:v>
                </c:pt>
                <c:pt idx="1254">
                  <c:v>8.4692729783239773E-3</c:v>
                </c:pt>
                <c:pt idx="1255">
                  <c:v>9.5431789596931039E-3</c:v>
                </c:pt>
                <c:pt idx="1256">
                  <c:v>9.9715141582644926E-3</c:v>
                </c:pt>
                <c:pt idx="1257">
                  <c:v>1.2231814442973584E-2</c:v>
                </c:pt>
                <c:pt idx="1258">
                  <c:v>1.2294818003916757E-2</c:v>
                </c:pt>
                <c:pt idx="1259">
                  <c:v>1.2971079438561673E-2</c:v>
                </c:pt>
                <c:pt idx="1260">
                  <c:v>1.0984544027784829E-2</c:v>
                </c:pt>
                <c:pt idx="1261">
                  <c:v>1.2565837441582238E-2</c:v>
                </c:pt>
                <c:pt idx="1262">
                  <c:v>1.1999809873031765E-2</c:v>
                </c:pt>
                <c:pt idx="1263">
                  <c:v>1.3833906271607587E-2</c:v>
                </c:pt>
                <c:pt idx="1264">
                  <c:v>1.1626945090028758E-2</c:v>
                </c:pt>
                <c:pt idx="1265">
                  <c:v>1.1907534070694956E-2</c:v>
                </c:pt>
                <c:pt idx="1266">
                  <c:v>9.9077331986660126E-3</c:v>
                </c:pt>
                <c:pt idx="1267">
                  <c:v>1.0185282930266909E-2</c:v>
                </c:pt>
                <c:pt idx="1268">
                  <c:v>8.8338466952846313E-3</c:v>
                </c:pt>
                <c:pt idx="1269">
                  <c:v>8.8494754558595939E-3</c:v>
                </c:pt>
                <c:pt idx="1270">
                  <c:v>5.235173111953483E-3</c:v>
                </c:pt>
                <c:pt idx="1271">
                  <c:v>4.8839623579131665E-3</c:v>
                </c:pt>
                <c:pt idx="1272">
                  <c:v>4.9435856531641802E-3</c:v>
                </c:pt>
                <c:pt idx="1273">
                  <c:v>8.5023833291667569E-3</c:v>
                </c:pt>
                <c:pt idx="1274">
                  <c:v>8.8744299477186185E-3</c:v>
                </c:pt>
                <c:pt idx="1275">
                  <c:v>1.0466090417320436E-2</c:v>
                </c:pt>
                <c:pt idx="1276">
                  <c:v>1.0279546052921855E-2</c:v>
                </c:pt>
                <c:pt idx="1277">
                  <c:v>1.1098116041955717E-2</c:v>
                </c:pt>
                <c:pt idx="1278">
                  <c:v>1.1682476683673853E-2</c:v>
                </c:pt>
                <c:pt idx="1279">
                  <c:v>1.2620290234877481E-2</c:v>
                </c:pt>
                <c:pt idx="1280">
                  <c:v>9.8475003498399646E-3</c:v>
                </c:pt>
                <c:pt idx="1281">
                  <c:v>8.820709952969295E-3</c:v>
                </c:pt>
                <c:pt idx="1282">
                  <c:v>9.5942086527692344E-3</c:v>
                </c:pt>
                <c:pt idx="1283">
                  <c:v>1.0749635020129563E-2</c:v>
                </c:pt>
                <c:pt idx="1284">
                  <c:v>1.0790127886451511E-2</c:v>
                </c:pt>
                <c:pt idx="1285">
                  <c:v>1.0987511829845245E-2</c:v>
                </c:pt>
                <c:pt idx="1286">
                  <c:v>1.0125587624589E-2</c:v>
                </c:pt>
                <c:pt idx="1287">
                  <c:v>1.0200594816966677E-2</c:v>
                </c:pt>
                <c:pt idx="1288">
                  <c:v>1.5322950770382714E-2</c:v>
                </c:pt>
                <c:pt idx="1289">
                  <c:v>1.423222818198339E-2</c:v>
                </c:pt>
                <c:pt idx="1290">
                  <c:v>1.4143823068166078E-2</c:v>
                </c:pt>
                <c:pt idx="1291">
                  <c:v>1.4517859130134338E-2</c:v>
                </c:pt>
                <c:pt idx="1292">
                  <c:v>1.4585110270102423E-2</c:v>
                </c:pt>
                <c:pt idx="1293">
                  <c:v>1.4601364266685381E-2</c:v>
                </c:pt>
                <c:pt idx="1294">
                  <c:v>1.533301967384978E-2</c:v>
                </c:pt>
                <c:pt idx="1295">
                  <c:v>5.9230593008335634E-3</c:v>
                </c:pt>
                <c:pt idx="1296">
                  <c:v>6.0583759769670007E-3</c:v>
                </c:pt>
                <c:pt idx="1297">
                  <c:v>5.5880152062310747E-3</c:v>
                </c:pt>
                <c:pt idx="1298">
                  <c:v>6.8917955094132885E-3</c:v>
                </c:pt>
                <c:pt idx="1299">
                  <c:v>6.2362059828108525E-3</c:v>
                </c:pt>
                <c:pt idx="1300">
                  <c:v>6.1691782735520491E-3</c:v>
                </c:pt>
                <c:pt idx="1301">
                  <c:v>5.4689405917157678E-3</c:v>
                </c:pt>
                <c:pt idx="1302">
                  <c:v>6.4777636603563582E-3</c:v>
                </c:pt>
                <c:pt idx="1303">
                  <c:v>6.2714846650333321E-3</c:v>
                </c:pt>
                <c:pt idx="1304">
                  <c:v>5.3762306118251852E-3</c:v>
                </c:pt>
                <c:pt idx="1305">
                  <c:v>7.4910554839562656E-3</c:v>
                </c:pt>
                <c:pt idx="1306">
                  <c:v>1.0007519809045941E-2</c:v>
                </c:pt>
                <c:pt idx="1307">
                  <c:v>1.3948433041461357E-2</c:v>
                </c:pt>
                <c:pt idx="1308">
                  <c:v>1.5398335296964593E-2</c:v>
                </c:pt>
                <c:pt idx="1309">
                  <c:v>1.5327612514846599E-2</c:v>
                </c:pt>
                <c:pt idx="1310">
                  <c:v>1.7706832582013561E-2</c:v>
                </c:pt>
                <c:pt idx="1311">
                  <c:v>1.766015083605944E-2</c:v>
                </c:pt>
                <c:pt idx="1312">
                  <c:v>1.7544714702292269E-2</c:v>
                </c:pt>
                <c:pt idx="1313">
                  <c:v>1.5661735002047469E-2</c:v>
                </c:pt>
                <c:pt idx="1314">
                  <c:v>1.3523911708642851E-2</c:v>
                </c:pt>
                <c:pt idx="1315">
                  <c:v>1.0846410444691651E-2</c:v>
                </c:pt>
                <c:pt idx="1316">
                  <c:v>1.2489645166944242E-2</c:v>
                </c:pt>
                <c:pt idx="1317">
                  <c:v>8.3010725410620108E-3</c:v>
                </c:pt>
                <c:pt idx="1318">
                  <c:v>8.5915823445535493E-3</c:v>
                </c:pt>
                <c:pt idx="1319">
                  <c:v>8.9706058647047726E-3</c:v>
                </c:pt>
                <c:pt idx="1320">
                  <c:v>7.6321105924055327E-3</c:v>
                </c:pt>
                <c:pt idx="1321">
                  <c:v>7.5335400876177508E-3</c:v>
                </c:pt>
                <c:pt idx="1322">
                  <c:v>7.2265470145971593E-3</c:v>
                </c:pt>
                <c:pt idx="1323">
                  <c:v>6.81762648656941E-3</c:v>
                </c:pt>
                <c:pt idx="1324">
                  <c:v>6.7737969589143146E-3</c:v>
                </c:pt>
                <c:pt idx="1325">
                  <c:v>5.9958556259618774E-3</c:v>
                </c:pt>
                <c:pt idx="1326">
                  <c:v>4.9807693862250844E-3</c:v>
                </c:pt>
                <c:pt idx="1327">
                  <c:v>8.3446014680696387E-3</c:v>
                </c:pt>
                <c:pt idx="1328">
                  <c:v>7.747311949166941E-3</c:v>
                </c:pt>
                <c:pt idx="1329">
                  <c:v>1.0810151475568597E-2</c:v>
                </c:pt>
                <c:pt idx="1330">
                  <c:v>9.7120867540575195E-3</c:v>
                </c:pt>
                <c:pt idx="1331">
                  <c:v>1.0440483614300153E-2</c:v>
                </c:pt>
                <c:pt idx="1332">
                  <c:v>1.0409762049953112E-2</c:v>
                </c:pt>
                <c:pt idx="1333">
                  <c:v>9.9684515614103537E-3</c:v>
                </c:pt>
                <c:pt idx="1334">
                  <c:v>1.0100177518838722E-2</c:v>
                </c:pt>
                <c:pt idx="1335">
                  <c:v>9.530011815434055E-3</c:v>
                </c:pt>
                <c:pt idx="1336">
                  <c:v>6.5090589433462907E-3</c:v>
                </c:pt>
                <c:pt idx="1337">
                  <c:v>5.3681466929918877E-3</c:v>
                </c:pt>
                <c:pt idx="1338">
                  <c:v>4.8603556653340754E-3</c:v>
                </c:pt>
                <c:pt idx="1339">
                  <c:v>4.6379831028436277E-3</c:v>
                </c:pt>
                <c:pt idx="1340">
                  <c:v>5.0094430475952677E-3</c:v>
                </c:pt>
                <c:pt idx="1341">
                  <c:v>4.2085062536417958E-3</c:v>
                </c:pt>
                <c:pt idx="1342">
                  <c:v>4.9013585882879988E-3</c:v>
                </c:pt>
                <c:pt idx="1343">
                  <c:v>8.2642157261435759E-3</c:v>
                </c:pt>
                <c:pt idx="1344">
                  <c:v>8.1284855922178975E-3</c:v>
                </c:pt>
                <c:pt idx="1345">
                  <c:v>8.1287673919246684E-3</c:v>
                </c:pt>
                <c:pt idx="1346">
                  <c:v>8.2076215275572045E-3</c:v>
                </c:pt>
                <c:pt idx="1347">
                  <c:v>8.2795533461894593E-3</c:v>
                </c:pt>
                <c:pt idx="1348">
                  <c:v>8.0210154228390861E-3</c:v>
                </c:pt>
                <c:pt idx="1349">
                  <c:v>8.2971846849024689E-3</c:v>
                </c:pt>
                <c:pt idx="1350">
                  <c:v>8.2253517423461642E-3</c:v>
                </c:pt>
                <c:pt idx="1351">
                  <c:v>7.2514221993559428E-3</c:v>
                </c:pt>
                <c:pt idx="1352">
                  <c:v>7.1980339818686467E-3</c:v>
                </c:pt>
                <c:pt idx="1353">
                  <c:v>4.3598291978797742E-3</c:v>
                </c:pt>
                <c:pt idx="1354">
                  <c:v>8.6264097212080289E-3</c:v>
                </c:pt>
                <c:pt idx="1355">
                  <c:v>9.088289263413386E-3</c:v>
                </c:pt>
                <c:pt idx="1356">
                  <c:v>1.1920896846541056E-2</c:v>
                </c:pt>
                <c:pt idx="1357">
                  <c:v>1.1897037309136355E-2</c:v>
                </c:pt>
                <c:pt idx="1358">
                  <c:v>1.1823116716259833E-2</c:v>
                </c:pt>
                <c:pt idx="1359">
                  <c:v>1.1502752813246916E-2</c:v>
                </c:pt>
                <c:pt idx="1360">
                  <c:v>1.151585018645287E-2</c:v>
                </c:pt>
                <c:pt idx="1361">
                  <c:v>8.8530493790069786E-3</c:v>
                </c:pt>
                <c:pt idx="1362">
                  <c:v>7.3691358504971499E-3</c:v>
                </c:pt>
                <c:pt idx="1363">
                  <c:v>3.0108207422264656E-3</c:v>
                </c:pt>
                <c:pt idx="1364">
                  <c:v>4.1835089836654562E-3</c:v>
                </c:pt>
                <c:pt idx="1365">
                  <c:v>5.6479982754428131E-3</c:v>
                </c:pt>
                <c:pt idx="1366">
                  <c:v>6.8988125197464931E-3</c:v>
                </c:pt>
                <c:pt idx="1367">
                  <c:v>6.6610784886947929E-3</c:v>
                </c:pt>
                <c:pt idx="1368">
                  <c:v>9.5959270832639623E-3</c:v>
                </c:pt>
                <c:pt idx="1369">
                  <c:v>8.9913512916840847E-3</c:v>
                </c:pt>
                <c:pt idx="1370">
                  <c:v>8.9542612955392734E-3</c:v>
                </c:pt>
                <c:pt idx="1371">
                  <c:v>8.9046756144693512E-3</c:v>
                </c:pt>
                <c:pt idx="1372">
                  <c:v>8.8037112633140013E-3</c:v>
                </c:pt>
                <c:pt idx="1373">
                  <c:v>8.1107836893425985E-3</c:v>
                </c:pt>
                <c:pt idx="1374">
                  <c:v>7.932362644534733E-3</c:v>
                </c:pt>
                <c:pt idx="1375">
                  <c:v>7.1890445596707337E-3</c:v>
                </c:pt>
                <c:pt idx="1376">
                  <c:v>7.1576386493704871E-3</c:v>
                </c:pt>
                <c:pt idx="1377">
                  <c:v>7.467391190237347E-3</c:v>
                </c:pt>
                <c:pt idx="1378">
                  <c:v>7.4371806793724869E-3</c:v>
                </c:pt>
                <c:pt idx="1379">
                  <c:v>6.3032965073424032E-3</c:v>
                </c:pt>
                <c:pt idx="1380">
                  <c:v>5.9077925096789712E-3</c:v>
                </c:pt>
                <c:pt idx="1381">
                  <c:v>5.9302175383127891E-3</c:v>
                </c:pt>
                <c:pt idx="1382">
                  <c:v>5.5994481362266219E-3</c:v>
                </c:pt>
                <c:pt idx="1383">
                  <c:v>8.2484415772237397E-3</c:v>
                </c:pt>
                <c:pt idx="1384">
                  <c:v>1.0480566665890648E-2</c:v>
                </c:pt>
                <c:pt idx="1385">
                  <c:v>1.3522325282591773E-2</c:v>
                </c:pt>
                <c:pt idx="1386">
                  <c:v>1.3231169909997394E-2</c:v>
                </c:pt>
                <c:pt idx="1387">
                  <c:v>9.9026629422309127E-3</c:v>
                </c:pt>
                <c:pt idx="1388">
                  <c:v>7.7823804063480335E-3</c:v>
                </c:pt>
                <c:pt idx="1389">
                  <c:v>1.0419393204900559E-2</c:v>
                </c:pt>
                <c:pt idx="1390">
                  <c:v>1.3235160757081966E-2</c:v>
                </c:pt>
                <c:pt idx="1391">
                  <c:v>2.0286442810095156E-2</c:v>
                </c:pt>
                <c:pt idx="1392">
                  <c:v>1.7555393033797724E-2</c:v>
                </c:pt>
                <c:pt idx="1393">
                  <c:v>1.6771985972651639E-2</c:v>
                </c:pt>
                <c:pt idx="1394">
                  <c:v>1.6626773006017944E-2</c:v>
                </c:pt>
                <c:pt idx="1395">
                  <c:v>1.2934834151193316E-2</c:v>
                </c:pt>
                <c:pt idx="1396">
                  <c:v>1.3483504126048484E-2</c:v>
                </c:pt>
                <c:pt idx="1397">
                  <c:v>1.4122837005910082E-2</c:v>
                </c:pt>
                <c:pt idx="1398">
                  <c:v>8.659271444609604E-3</c:v>
                </c:pt>
                <c:pt idx="1399">
                  <c:v>6.9116043710610777E-3</c:v>
                </c:pt>
                <c:pt idx="1400">
                  <c:v>7.3026941356784747E-3</c:v>
                </c:pt>
                <c:pt idx="1401">
                  <c:v>6.5512055521013569E-3</c:v>
                </c:pt>
                <c:pt idx="1402">
                  <c:v>6.3284970693158367E-3</c:v>
                </c:pt>
                <c:pt idx="1403">
                  <c:v>6.8877193555174207E-3</c:v>
                </c:pt>
                <c:pt idx="1404">
                  <c:v>8.1097523119849357E-3</c:v>
                </c:pt>
                <c:pt idx="1405">
                  <c:v>8.3298124064473331E-3</c:v>
                </c:pt>
                <c:pt idx="1406">
                  <c:v>9.0144376719427897E-3</c:v>
                </c:pt>
                <c:pt idx="1407">
                  <c:v>8.2306890073536674E-3</c:v>
                </c:pt>
                <c:pt idx="1408">
                  <c:v>8.1902289181572593E-3</c:v>
                </c:pt>
                <c:pt idx="1409">
                  <c:v>7.2416614596677205E-3</c:v>
                </c:pt>
                <c:pt idx="1410">
                  <c:v>7.0576034604507712E-3</c:v>
                </c:pt>
                <c:pt idx="1411">
                  <c:v>6.1600857475754721E-3</c:v>
                </c:pt>
                <c:pt idx="1412">
                  <c:v>6.1924962736887553E-3</c:v>
                </c:pt>
                <c:pt idx="1413">
                  <c:v>9.5546557508927338E-3</c:v>
                </c:pt>
                <c:pt idx="1414">
                  <c:v>1.0631992247589485E-2</c:v>
                </c:pt>
                <c:pt idx="1415">
                  <c:v>1.2513533262693886E-2</c:v>
                </c:pt>
                <c:pt idx="1416">
                  <c:v>1.2284422829180342E-2</c:v>
                </c:pt>
                <c:pt idx="1417">
                  <c:v>1.6218187796030625E-2</c:v>
                </c:pt>
                <c:pt idx="1418">
                  <c:v>1.6312876901276301E-2</c:v>
                </c:pt>
                <c:pt idx="1419">
                  <c:v>1.7324606258641014E-2</c:v>
                </c:pt>
                <c:pt idx="1420">
                  <c:v>1.3772003196233487E-2</c:v>
                </c:pt>
                <c:pt idx="1421">
                  <c:v>1.3571891148689777E-2</c:v>
                </c:pt>
                <c:pt idx="1422">
                  <c:v>1.0086965983914993E-2</c:v>
                </c:pt>
                <c:pt idx="1423">
                  <c:v>1.0517130109151359E-2</c:v>
                </c:pt>
                <c:pt idx="1424">
                  <c:v>9.4116405089146211E-3</c:v>
                </c:pt>
                <c:pt idx="1425">
                  <c:v>1.0670743391179913E-2</c:v>
                </c:pt>
                <c:pt idx="1426">
                  <c:v>7.1707579529891614E-3</c:v>
                </c:pt>
                <c:pt idx="1427">
                  <c:v>6.6684203397402129E-3</c:v>
                </c:pt>
                <c:pt idx="1428">
                  <c:v>8.9772244042961025E-3</c:v>
                </c:pt>
                <c:pt idx="1429">
                  <c:v>1.4163912241105419E-2</c:v>
                </c:pt>
                <c:pt idx="1430">
                  <c:v>1.4151972383456181E-2</c:v>
                </c:pt>
                <c:pt idx="1431">
                  <c:v>1.3451426077393833E-2</c:v>
                </c:pt>
                <c:pt idx="1432">
                  <c:v>1.2085243602916849E-2</c:v>
                </c:pt>
                <c:pt idx="1433">
                  <c:v>1.24095467992986E-2</c:v>
                </c:pt>
                <c:pt idx="1434">
                  <c:v>1.1549730586931633E-2</c:v>
                </c:pt>
                <c:pt idx="1435">
                  <c:v>1.256404268405786E-2</c:v>
                </c:pt>
                <c:pt idx="1436">
                  <c:v>9.4185232281557632E-3</c:v>
                </c:pt>
                <c:pt idx="1437">
                  <c:v>1.0810453475235234E-2</c:v>
                </c:pt>
                <c:pt idx="1438">
                  <c:v>1.0545802779153608E-2</c:v>
                </c:pt>
                <c:pt idx="1439">
                  <c:v>1.1247156429990125E-2</c:v>
                </c:pt>
                <c:pt idx="1440">
                  <c:v>1.0536160141891383E-2</c:v>
                </c:pt>
                <c:pt idx="1441">
                  <c:v>1.0473810077985941E-2</c:v>
                </c:pt>
                <c:pt idx="1442">
                  <c:v>1.0185610597492248E-2</c:v>
                </c:pt>
                <c:pt idx="1443">
                  <c:v>9.913016336840599E-3</c:v>
                </c:pt>
                <c:pt idx="1444">
                  <c:v>7.9324579934779722E-3</c:v>
                </c:pt>
                <c:pt idx="1445">
                  <c:v>7.6703923349545032E-3</c:v>
                </c:pt>
                <c:pt idx="1446">
                  <c:v>7.0827410053922284E-3</c:v>
                </c:pt>
                <c:pt idx="1447">
                  <c:v>8.4305237519883523E-3</c:v>
                </c:pt>
                <c:pt idx="1448">
                  <c:v>8.0732355081500323E-3</c:v>
                </c:pt>
                <c:pt idx="1449">
                  <c:v>1.2321830485370028E-2</c:v>
                </c:pt>
                <c:pt idx="1450">
                  <c:v>1.1896853473253333E-2</c:v>
                </c:pt>
                <c:pt idx="1451">
                  <c:v>1.1812745953700222E-2</c:v>
                </c:pt>
                <c:pt idx="1452">
                  <c:v>1.2063786346500009E-2</c:v>
                </c:pt>
                <c:pt idx="1453">
                  <c:v>1.3751408000777572E-2</c:v>
                </c:pt>
                <c:pt idx="1454">
                  <c:v>1.1852831790194781E-2</c:v>
                </c:pt>
                <c:pt idx="1455">
                  <c:v>1.1804750948411543E-2</c:v>
                </c:pt>
                <c:pt idx="1456">
                  <c:v>8.7003423918960449E-3</c:v>
                </c:pt>
                <c:pt idx="1457">
                  <c:v>8.8504932599256601E-3</c:v>
                </c:pt>
                <c:pt idx="1458">
                  <c:v>9.0018722814030529E-3</c:v>
                </c:pt>
                <c:pt idx="1459">
                  <c:v>9.8023607953705919E-3</c:v>
                </c:pt>
                <c:pt idx="1460">
                  <c:v>7.6976138499180074E-3</c:v>
                </c:pt>
                <c:pt idx="1461">
                  <c:v>7.8944701252630436E-3</c:v>
                </c:pt>
                <c:pt idx="1462">
                  <c:v>7.9076400309568747E-3</c:v>
                </c:pt>
                <c:pt idx="1463">
                  <c:v>6.5146435195414494E-3</c:v>
                </c:pt>
                <c:pt idx="1464">
                  <c:v>6.3672130183477929E-3</c:v>
                </c:pt>
                <c:pt idx="1465">
                  <c:v>7.9144837234701552E-3</c:v>
                </c:pt>
                <c:pt idx="1466">
                  <c:v>8.3889853692539242E-3</c:v>
                </c:pt>
                <c:pt idx="1467">
                  <c:v>9.0782843521392455E-3</c:v>
                </c:pt>
                <c:pt idx="1468">
                  <c:v>8.8247066172407775E-3</c:v>
                </c:pt>
                <c:pt idx="1469">
                  <c:v>9.7727389275304236E-3</c:v>
                </c:pt>
                <c:pt idx="1470">
                  <c:v>9.699998807325241E-3</c:v>
                </c:pt>
                <c:pt idx="1471">
                  <c:v>9.5950093384755547E-3</c:v>
                </c:pt>
                <c:pt idx="1472">
                  <c:v>7.569843334093238E-3</c:v>
                </c:pt>
                <c:pt idx="1473">
                  <c:v>7.8638617739536041E-3</c:v>
                </c:pt>
                <c:pt idx="1474">
                  <c:v>8.8630344568752118E-3</c:v>
                </c:pt>
                <c:pt idx="1475">
                  <c:v>8.5655565899995286E-3</c:v>
                </c:pt>
                <c:pt idx="1476">
                  <c:v>8.3185111591900385E-3</c:v>
                </c:pt>
                <c:pt idx="1477">
                  <c:v>8.8340620254569128E-3</c:v>
                </c:pt>
                <c:pt idx="1478">
                  <c:v>9.7621677814102893E-3</c:v>
                </c:pt>
                <c:pt idx="1479">
                  <c:v>1.2135656563142406E-2</c:v>
                </c:pt>
                <c:pt idx="1480">
                  <c:v>1.4080471094592319E-2</c:v>
                </c:pt>
                <c:pt idx="1481">
                  <c:v>1.3449319760937309E-2</c:v>
                </c:pt>
                <c:pt idx="1482">
                  <c:v>1.3509926132568207E-2</c:v>
                </c:pt>
                <c:pt idx="1483">
                  <c:v>1.2965961922635454E-2</c:v>
                </c:pt>
                <c:pt idx="1484">
                  <c:v>1.8016968789531237E-2</c:v>
                </c:pt>
                <c:pt idx="1485">
                  <c:v>2.0914568724515154E-2</c:v>
                </c:pt>
                <c:pt idx="1486">
                  <c:v>1.8793139956343134E-2</c:v>
                </c:pt>
                <c:pt idx="1487">
                  <c:v>1.7645217985216295E-2</c:v>
                </c:pt>
                <c:pt idx="1488">
                  <c:v>1.8730333275541158E-2</c:v>
                </c:pt>
                <c:pt idx="1489">
                  <c:v>1.8563303978261062E-2</c:v>
                </c:pt>
                <c:pt idx="1490">
                  <c:v>1.8569321339794366E-2</c:v>
                </c:pt>
                <c:pt idx="1491">
                  <c:v>1.7054097344956446E-2</c:v>
                </c:pt>
                <c:pt idx="1492">
                  <c:v>1.4077526957834614E-2</c:v>
                </c:pt>
                <c:pt idx="1493">
                  <c:v>1.6244644317182404E-2</c:v>
                </c:pt>
                <c:pt idx="1494">
                  <c:v>1.8670933715095327E-2</c:v>
                </c:pt>
                <c:pt idx="1495">
                  <c:v>1.5846567798662007E-2</c:v>
                </c:pt>
                <c:pt idx="1496">
                  <c:v>1.8657557361260239E-2</c:v>
                </c:pt>
                <c:pt idx="1497">
                  <c:v>1.8368405122257202E-2</c:v>
                </c:pt>
                <c:pt idx="1498">
                  <c:v>1.7328136002920578E-2</c:v>
                </c:pt>
                <c:pt idx="1499">
                  <c:v>1.5942998027923087E-2</c:v>
                </c:pt>
                <c:pt idx="1500">
                  <c:v>1.5477340069413337E-2</c:v>
                </c:pt>
                <c:pt idx="1501">
                  <c:v>1.364610240661873E-2</c:v>
                </c:pt>
                <c:pt idx="1502">
                  <c:v>1.5067529342584738E-2</c:v>
                </c:pt>
                <c:pt idx="1503">
                  <c:v>1.4095195931132903E-2</c:v>
                </c:pt>
                <c:pt idx="1504">
                  <c:v>1.2774566336284626E-2</c:v>
                </c:pt>
                <c:pt idx="1505">
                  <c:v>1.9015003043593024E-2</c:v>
                </c:pt>
                <c:pt idx="1506">
                  <c:v>1.9011618125913978E-2</c:v>
                </c:pt>
                <c:pt idx="1507">
                  <c:v>2.1049293667158117E-2</c:v>
                </c:pt>
                <c:pt idx="1508">
                  <c:v>1.9758593444825535E-2</c:v>
                </c:pt>
                <c:pt idx="1509">
                  <c:v>1.6825084025894017E-2</c:v>
                </c:pt>
                <c:pt idx="1510">
                  <c:v>1.8673713419740834E-2</c:v>
                </c:pt>
                <c:pt idx="1511">
                  <c:v>1.9561537266648204E-2</c:v>
                </c:pt>
                <c:pt idx="1512">
                  <c:v>1.4173889475183329E-2</c:v>
                </c:pt>
                <c:pt idx="1513">
                  <c:v>1.4546601332535995E-2</c:v>
                </c:pt>
                <c:pt idx="1514">
                  <c:v>1.1384896631651141E-2</c:v>
                </c:pt>
                <c:pt idx="1515">
                  <c:v>1.5026676466995825E-2</c:v>
                </c:pt>
                <c:pt idx="1516">
                  <c:v>1.5445193333569742E-2</c:v>
                </c:pt>
                <c:pt idx="1517">
                  <c:v>1.5390484407059018E-2</c:v>
                </c:pt>
                <c:pt idx="1518">
                  <c:v>1.4039460308637319E-2</c:v>
                </c:pt>
                <c:pt idx="1519">
                  <c:v>1.4033833477826458E-2</c:v>
                </c:pt>
                <c:pt idx="1520">
                  <c:v>1.7692381589411069E-2</c:v>
                </c:pt>
                <c:pt idx="1521">
                  <c:v>1.7797062145454675E-2</c:v>
                </c:pt>
                <c:pt idx="1522">
                  <c:v>1.8375693643440643E-2</c:v>
                </c:pt>
                <c:pt idx="1523">
                  <c:v>1.7855403081013192E-2</c:v>
                </c:pt>
                <c:pt idx="1524">
                  <c:v>1.8066861563376575E-2</c:v>
                </c:pt>
                <c:pt idx="1525">
                  <c:v>1.8058930062015244E-2</c:v>
                </c:pt>
                <c:pt idx="1526">
                  <c:v>2.2609984622132651E-2</c:v>
                </c:pt>
                <c:pt idx="1527">
                  <c:v>2.4446256748434605E-2</c:v>
                </c:pt>
                <c:pt idx="1528">
                  <c:v>2.648413916878661E-2</c:v>
                </c:pt>
                <c:pt idx="1529">
                  <c:v>2.5184612683196158E-2</c:v>
                </c:pt>
                <c:pt idx="1530">
                  <c:v>2.6065595934988101E-2</c:v>
                </c:pt>
                <c:pt idx="1531">
                  <c:v>2.7969045245003089E-2</c:v>
                </c:pt>
                <c:pt idx="1532">
                  <c:v>2.8843806858308937E-2</c:v>
                </c:pt>
                <c:pt idx="1533">
                  <c:v>2.2661862581163147E-2</c:v>
                </c:pt>
                <c:pt idx="1534">
                  <c:v>2.4378372520838097E-2</c:v>
                </c:pt>
                <c:pt idx="1535">
                  <c:v>2.4012035322859442E-2</c:v>
                </c:pt>
                <c:pt idx="1536">
                  <c:v>2.0778183466274729E-2</c:v>
                </c:pt>
                <c:pt idx="1537">
                  <c:v>3.0278192529471004E-2</c:v>
                </c:pt>
                <c:pt idx="1538">
                  <c:v>4.3881187214244236E-2</c:v>
                </c:pt>
                <c:pt idx="1539">
                  <c:v>4.3195212222715045E-2</c:v>
                </c:pt>
                <c:pt idx="1540">
                  <c:v>4.8656268628131258E-2</c:v>
                </c:pt>
                <c:pt idx="1541">
                  <c:v>5.4229688223471892E-2</c:v>
                </c:pt>
                <c:pt idx="1542">
                  <c:v>5.6829412818141377E-2</c:v>
                </c:pt>
                <c:pt idx="1543">
                  <c:v>5.8438245949299673E-2</c:v>
                </c:pt>
                <c:pt idx="1544">
                  <c:v>6.3808270134342163E-2</c:v>
                </c:pt>
                <c:pt idx="1545">
                  <c:v>5.4487735725846261E-2</c:v>
                </c:pt>
                <c:pt idx="1546">
                  <c:v>6.4138844299621342E-2</c:v>
                </c:pt>
                <c:pt idx="1547">
                  <c:v>5.3344055240169136E-2</c:v>
                </c:pt>
                <c:pt idx="1548">
                  <c:v>6.1111175817391263E-2</c:v>
                </c:pt>
                <c:pt idx="1549">
                  <c:v>4.9259965479082284E-2</c:v>
                </c:pt>
                <c:pt idx="1550">
                  <c:v>5.2576908945225549E-2</c:v>
                </c:pt>
                <c:pt idx="1551">
                  <c:v>5.1422978305531206E-2</c:v>
                </c:pt>
                <c:pt idx="1552">
                  <c:v>4.5516069996684352E-2</c:v>
                </c:pt>
                <c:pt idx="1553">
                  <c:v>4.1746211593232864E-2</c:v>
                </c:pt>
                <c:pt idx="1554">
                  <c:v>4.1961339299696344E-2</c:v>
                </c:pt>
                <c:pt idx="1555">
                  <c:v>2.7927437475106082E-2</c:v>
                </c:pt>
                <c:pt idx="1556">
                  <c:v>2.9294718919853351E-2</c:v>
                </c:pt>
                <c:pt idx="1557">
                  <c:v>3.1802369389260066E-2</c:v>
                </c:pt>
                <c:pt idx="1558">
                  <c:v>2.4243538152164321E-2</c:v>
                </c:pt>
                <c:pt idx="1559">
                  <c:v>2.4290367289947996E-2</c:v>
                </c:pt>
                <c:pt idx="1560">
                  <c:v>2.4244129865329655E-2</c:v>
                </c:pt>
                <c:pt idx="1561">
                  <c:v>2.8069236267747238E-2</c:v>
                </c:pt>
                <c:pt idx="1562">
                  <c:v>2.4319201545026883E-2</c:v>
                </c:pt>
                <c:pt idx="1563">
                  <c:v>2.1218689984660134E-2</c:v>
                </c:pt>
                <c:pt idx="1564">
                  <c:v>1.8477465802588761E-2</c:v>
                </c:pt>
                <c:pt idx="1565">
                  <c:v>1.656624499049052E-2</c:v>
                </c:pt>
                <c:pt idx="1566">
                  <c:v>1.6732224180392996E-2</c:v>
                </c:pt>
                <c:pt idx="1567">
                  <c:v>1.6858011060365764E-2</c:v>
                </c:pt>
                <c:pt idx="1568">
                  <c:v>5.4569559053040968E-3</c:v>
                </c:pt>
                <c:pt idx="1569">
                  <c:v>6.7228567000091792E-3</c:v>
                </c:pt>
                <c:pt idx="1570">
                  <c:v>6.4148261624518491E-3</c:v>
                </c:pt>
                <c:pt idx="1571">
                  <c:v>7.4339081075888245E-3</c:v>
                </c:pt>
                <c:pt idx="1572">
                  <c:v>6.764046852423297E-3</c:v>
                </c:pt>
                <c:pt idx="1573">
                  <c:v>6.5383414424646956E-3</c:v>
                </c:pt>
                <c:pt idx="1574">
                  <c:v>7.4506701954631356E-3</c:v>
                </c:pt>
                <c:pt idx="1575">
                  <c:v>9.3196808301686581E-3</c:v>
                </c:pt>
                <c:pt idx="1576">
                  <c:v>9.0427501187532715E-3</c:v>
                </c:pt>
                <c:pt idx="1577">
                  <c:v>1.0007912256646889E-2</c:v>
                </c:pt>
                <c:pt idx="1578">
                  <c:v>9.3659252297020202E-3</c:v>
                </c:pt>
                <c:pt idx="1579">
                  <c:v>9.3502186091691166E-3</c:v>
                </c:pt>
                <c:pt idx="1580">
                  <c:v>9.7233850438839808E-3</c:v>
                </c:pt>
                <c:pt idx="1581">
                  <c:v>1.3688749593240616E-2</c:v>
                </c:pt>
                <c:pt idx="1582">
                  <c:v>1.1654467130992585E-2</c:v>
                </c:pt>
                <c:pt idx="1583">
                  <c:v>1.3009602822957544E-2</c:v>
                </c:pt>
                <c:pt idx="1584">
                  <c:v>1.2905380482245942E-2</c:v>
                </c:pt>
                <c:pt idx="1585">
                  <c:v>1.3081865945568209E-2</c:v>
                </c:pt>
                <c:pt idx="1586">
                  <c:v>1.0917990793581066E-2</c:v>
                </c:pt>
                <c:pt idx="1587">
                  <c:v>1.3608926293402534E-2</c:v>
                </c:pt>
                <c:pt idx="1588">
                  <c:v>1.1176490951044928E-2</c:v>
                </c:pt>
                <c:pt idx="1589">
                  <c:v>1.0715270043007407E-2</c:v>
                </c:pt>
                <c:pt idx="1590">
                  <c:v>8.7736846834252907E-3</c:v>
                </c:pt>
                <c:pt idx="1591">
                  <c:v>8.7368099682131328E-3</c:v>
                </c:pt>
                <c:pt idx="1592">
                  <c:v>5.1175354366427978E-3</c:v>
                </c:pt>
                <c:pt idx="1593">
                  <c:v>5.3038945157682319E-3</c:v>
                </c:pt>
                <c:pt idx="1594">
                  <c:v>3.6580367404832441E-3</c:v>
                </c:pt>
                <c:pt idx="1595">
                  <c:v>3.6837957494912487E-3</c:v>
                </c:pt>
                <c:pt idx="1596">
                  <c:v>6.1140632951856297E-3</c:v>
                </c:pt>
                <c:pt idx="1597">
                  <c:v>5.4827101455301609E-3</c:v>
                </c:pt>
                <c:pt idx="1598">
                  <c:v>6.9988253729471699E-3</c:v>
                </c:pt>
                <c:pt idx="1599">
                  <c:v>7.7935764470492205E-3</c:v>
                </c:pt>
                <c:pt idx="1600">
                  <c:v>8.0546685128285306E-3</c:v>
                </c:pt>
                <c:pt idx="1601">
                  <c:v>8.1472003654576314E-3</c:v>
                </c:pt>
                <c:pt idx="1602">
                  <c:v>8.1120179673744314E-3</c:v>
                </c:pt>
                <c:pt idx="1603">
                  <c:v>7.1309925117185313E-3</c:v>
                </c:pt>
                <c:pt idx="1604">
                  <c:v>7.2448745553010761E-3</c:v>
                </c:pt>
                <c:pt idx="1605">
                  <c:v>5.5816926446462514E-3</c:v>
                </c:pt>
                <c:pt idx="1606">
                  <c:v>4.889316003156923E-3</c:v>
                </c:pt>
                <c:pt idx="1607">
                  <c:v>5.9035754335029474E-3</c:v>
                </c:pt>
                <c:pt idx="1608">
                  <c:v>8.1531093841213896E-3</c:v>
                </c:pt>
                <c:pt idx="1609">
                  <c:v>8.2070594400542127E-3</c:v>
                </c:pt>
                <c:pt idx="1610">
                  <c:v>7.2234944878501002E-3</c:v>
                </c:pt>
                <c:pt idx="1611">
                  <c:v>6.5405185289868642E-3</c:v>
                </c:pt>
                <c:pt idx="1612">
                  <c:v>5.8987661548814191E-3</c:v>
                </c:pt>
                <c:pt idx="1613">
                  <c:v>6.0202767107049313E-3</c:v>
                </c:pt>
                <c:pt idx="1614">
                  <c:v>6.9918342591883216E-3</c:v>
                </c:pt>
                <c:pt idx="1615">
                  <c:v>5.3498274270371441E-3</c:v>
                </c:pt>
                <c:pt idx="1616">
                  <c:v>6.4368761743762055E-3</c:v>
                </c:pt>
                <c:pt idx="1617">
                  <c:v>7.5914882960852765E-3</c:v>
                </c:pt>
                <c:pt idx="1618">
                  <c:v>7.8590824293290149E-3</c:v>
                </c:pt>
                <c:pt idx="1619">
                  <c:v>8.3198509345438609E-3</c:v>
                </c:pt>
                <c:pt idx="1620">
                  <c:v>6.9177762946376264E-3</c:v>
                </c:pt>
                <c:pt idx="1621">
                  <c:v>7.7296953848160236E-3</c:v>
                </c:pt>
                <c:pt idx="1622">
                  <c:v>5.1547464492913949E-3</c:v>
                </c:pt>
                <c:pt idx="1623">
                  <c:v>6.3219227882744256E-3</c:v>
                </c:pt>
                <c:pt idx="1624">
                  <c:v>6.9944342084829652E-3</c:v>
                </c:pt>
                <c:pt idx="1625">
                  <c:v>7.10831825590999E-3</c:v>
                </c:pt>
                <c:pt idx="1626">
                  <c:v>1.0050282468441247E-2</c:v>
                </c:pt>
                <c:pt idx="1627">
                  <c:v>1.0480178372476508E-2</c:v>
                </c:pt>
                <c:pt idx="1628">
                  <c:v>9.1838110087092226E-3</c:v>
                </c:pt>
                <c:pt idx="1629">
                  <c:v>9.2477344241566218E-3</c:v>
                </c:pt>
                <c:pt idx="1630">
                  <c:v>9.1862842509979181E-3</c:v>
                </c:pt>
                <c:pt idx="1631">
                  <c:v>6.8445519190070908E-3</c:v>
                </c:pt>
                <c:pt idx="1632">
                  <c:v>7.8939222532372118E-3</c:v>
                </c:pt>
                <c:pt idx="1633">
                  <c:v>7.4261235513983755E-3</c:v>
                </c:pt>
                <c:pt idx="1634">
                  <c:v>6.0338793575506495E-3</c:v>
                </c:pt>
                <c:pt idx="1635">
                  <c:v>7.364231661503351E-3</c:v>
                </c:pt>
                <c:pt idx="1636">
                  <c:v>7.9889361859870212E-3</c:v>
                </c:pt>
                <c:pt idx="1637">
                  <c:v>8.3527134325590731E-3</c:v>
                </c:pt>
                <c:pt idx="1638">
                  <c:v>8.3522772206357024E-3</c:v>
                </c:pt>
                <c:pt idx="1639">
                  <c:v>8.4826919268384763E-3</c:v>
                </c:pt>
                <c:pt idx="1640">
                  <c:v>3.9791629136150426E-3</c:v>
                </c:pt>
                <c:pt idx="1641">
                  <c:v>3.3494587959817033E-3</c:v>
                </c:pt>
                <c:pt idx="1642">
                  <c:v>4.0986713681703995E-3</c:v>
                </c:pt>
                <c:pt idx="1643">
                  <c:v>5.9456512778435578E-3</c:v>
                </c:pt>
                <c:pt idx="1644">
                  <c:v>6.2337894498653819E-3</c:v>
                </c:pt>
                <c:pt idx="1645">
                  <c:v>7.0978917577764955E-3</c:v>
                </c:pt>
                <c:pt idx="1646">
                  <c:v>6.1005203807069893E-3</c:v>
                </c:pt>
                <c:pt idx="1647">
                  <c:v>6.6610683213861608E-3</c:v>
                </c:pt>
                <c:pt idx="1648">
                  <c:v>6.9111431534651241E-3</c:v>
                </c:pt>
                <c:pt idx="1649">
                  <c:v>4.5728692353827882E-3</c:v>
                </c:pt>
                <c:pt idx="1650">
                  <c:v>5.9895394512517307E-3</c:v>
                </c:pt>
                <c:pt idx="1651">
                  <c:v>6.4298426770611188E-3</c:v>
                </c:pt>
                <c:pt idx="1652">
                  <c:v>6.277876764317401E-3</c:v>
                </c:pt>
                <c:pt idx="1653">
                  <c:v>6.5197896068701685E-3</c:v>
                </c:pt>
                <c:pt idx="1654">
                  <c:v>7.5908359604545221E-3</c:v>
                </c:pt>
                <c:pt idx="1655">
                  <c:v>7.3632292495714249E-3</c:v>
                </c:pt>
                <c:pt idx="1656">
                  <c:v>7.5843591045259562E-3</c:v>
                </c:pt>
                <c:pt idx="1657">
                  <c:v>8.2123032946317485E-3</c:v>
                </c:pt>
                <c:pt idx="1658">
                  <c:v>8.1633033818986588E-3</c:v>
                </c:pt>
                <c:pt idx="1659">
                  <c:v>8.0464118726936533E-3</c:v>
                </c:pt>
                <c:pt idx="1660">
                  <c:v>1.1015103274009792E-2</c:v>
                </c:pt>
                <c:pt idx="1661">
                  <c:v>9.5140127457817355E-3</c:v>
                </c:pt>
                <c:pt idx="1662">
                  <c:v>9.7367813041732733E-3</c:v>
                </c:pt>
                <c:pt idx="1663">
                  <c:v>9.7130745369715058E-3</c:v>
                </c:pt>
                <c:pt idx="1664">
                  <c:v>8.351974695787006E-3</c:v>
                </c:pt>
                <c:pt idx="1665">
                  <c:v>8.5847701279846613E-3</c:v>
                </c:pt>
                <c:pt idx="1666">
                  <c:v>9.2443051510449677E-3</c:v>
                </c:pt>
                <c:pt idx="1667">
                  <c:v>8.6165138592995526E-3</c:v>
                </c:pt>
                <c:pt idx="1668">
                  <c:v>8.3426427828891796E-3</c:v>
                </c:pt>
                <c:pt idx="1669">
                  <c:v>8.8710807001066358E-3</c:v>
                </c:pt>
                <c:pt idx="1670">
                  <c:v>9.8446169628119331E-3</c:v>
                </c:pt>
                <c:pt idx="1671">
                  <c:v>1.1249675881686804E-2</c:v>
                </c:pt>
                <c:pt idx="1672">
                  <c:v>1.1418804198435738E-2</c:v>
                </c:pt>
                <c:pt idx="1673">
                  <c:v>1.1080348563718628E-2</c:v>
                </c:pt>
                <c:pt idx="1674">
                  <c:v>1.2575452204739841E-2</c:v>
                </c:pt>
                <c:pt idx="1675">
                  <c:v>1.2672926049485339E-2</c:v>
                </c:pt>
                <c:pt idx="1676">
                  <c:v>1.1315121918142955E-2</c:v>
                </c:pt>
                <c:pt idx="1677">
                  <c:v>7.2859021982912007E-3</c:v>
                </c:pt>
                <c:pt idx="1678">
                  <c:v>6.9686765133266763E-3</c:v>
                </c:pt>
                <c:pt idx="1679">
                  <c:v>7.0351221708224825E-3</c:v>
                </c:pt>
                <c:pt idx="1680">
                  <c:v>7.0649262831449962E-3</c:v>
                </c:pt>
                <c:pt idx="1681">
                  <c:v>5.8778087561219688E-3</c:v>
                </c:pt>
                <c:pt idx="1682">
                  <c:v>7.9260825067242312E-3</c:v>
                </c:pt>
                <c:pt idx="1683">
                  <c:v>7.7203629211279393E-3</c:v>
                </c:pt>
                <c:pt idx="1684">
                  <c:v>7.7755347338848224E-3</c:v>
                </c:pt>
                <c:pt idx="1685">
                  <c:v>7.305012611752296E-3</c:v>
                </c:pt>
                <c:pt idx="1686">
                  <c:v>7.6794060980737979E-3</c:v>
                </c:pt>
                <c:pt idx="1687">
                  <c:v>7.911834591019417E-3</c:v>
                </c:pt>
                <c:pt idx="1688">
                  <c:v>7.8375095642108528E-3</c:v>
                </c:pt>
                <c:pt idx="1689">
                  <c:v>5.6247269202419608E-3</c:v>
                </c:pt>
                <c:pt idx="1690">
                  <c:v>5.5582904960254165E-3</c:v>
                </c:pt>
                <c:pt idx="1691">
                  <c:v>6.2085643435962961E-3</c:v>
                </c:pt>
                <c:pt idx="1692">
                  <c:v>6.1809167633798644E-3</c:v>
                </c:pt>
                <c:pt idx="1693">
                  <c:v>6.1884330559945746E-3</c:v>
                </c:pt>
                <c:pt idx="1694">
                  <c:v>1.0183920980915102E-2</c:v>
                </c:pt>
                <c:pt idx="1695">
                  <c:v>9.8922971739407138E-3</c:v>
                </c:pt>
                <c:pt idx="1696">
                  <c:v>9.1621202111234288E-3</c:v>
                </c:pt>
                <c:pt idx="1697">
                  <c:v>9.7664652591983141E-3</c:v>
                </c:pt>
                <c:pt idx="1698">
                  <c:v>8.7297855685472096E-3</c:v>
                </c:pt>
                <c:pt idx="1699">
                  <c:v>8.8047265705875066E-3</c:v>
                </c:pt>
                <c:pt idx="1700">
                  <c:v>1.171460973421639E-2</c:v>
                </c:pt>
                <c:pt idx="1701">
                  <c:v>1.0803167323800544E-2</c:v>
                </c:pt>
                <c:pt idx="1702">
                  <c:v>1.1867116972117626E-2</c:v>
                </c:pt>
                <c:pt idx="1703">
                  <c:v>1.1974833118503616E-2</c:v>
                </c:pt>
                <c:pt idx="1704">
                  <c:v>1.1529279361041072E-2</c:v>
                </c:pt>
                <c:pt idx="1705">
                  <c:v>1.2392752124838658E-2</c:v>
                </c:pt>
                <c:pt idx="1706">
                  <c:v>1.2108433046844206E-2</c:v>
                </c:pt>
                <c:pt idx="1707">
                  <c:v>9.7406102487132065E-3</c:v>
                </c:pt>
                <c:pt idx="1708">
                  <c:v>8.5087610603852872E-3</c:v>
                </c:pt>
                <c:pt idx="1709">
                  <c:v>8.0162384889108183E-3</c:v>
                </c:pt>
                <c:pt idx="1710">
                  <c:v>7.7424277130665724E-3</c:v>
                </c:pt>
                <c:pt idx="1711">
                  <c:v>6.5140398053939097E-3</c:v>
                </c:pt>
                <c:pt idx="1712">
                  <c:v>5.8850143728788997E-3</c:v>
                </c:pt>
                <c:pt idx="1713">
                  <c:v>6.4656575736475735E-3</c:v>
                </c:pt>
                <c:pt idx="1714">
                  <c:v>7.4670981103185582E-3</c:v>
                </c:pt>
                <c:pt idx="1715">
                  <c:v>5.8724956098747299E-3</c:v>
                </c:pt>
                <c:pt idx="1716">
                  <c:v>5.8193934917037393E-3</c:v>
                </c:pt>
                <c:pt idx="1717">
                  <c:v>6.1187459670023116E-3</c:v>
                </c:pt>
                <c:pt idx="1718">
                  <c:v>6.921472149761315E-3</c:v>
                </c:pt>
                <c:pt idx="1719">
                  <c:v>8.9928443195055555E-3</c:v>
                </c:pt>
                <c:pt idx="1720">
                  <c:v>8.4714550147928745E-3</c:v>
                </c:pt>
                <c:pt idx="1721">
                  <c:v>7.8927460574221963E-3</c:v>
                </c:pt>
                <c:pt idx="1722">
                  <c:v>7.5683754840478778E-3</c:v>
                </c:pt>
                <c:pt idx="1723">
                  <c:v>7.5275148064337721E-3</c:v>
                </c:pt>
                <c:pt idx="1724">
                  <c:v>7.603824674208292E-3</c:v>
                </c:pt>
                <c:pt idx="1725">
                  <c:v>5.9411004460907914E-3</c:v>
                </c:pt>
                <c:pt idx="1726">
                  <c:v>4.0752849901020691E-3</c:v>
                </c:pt>
                <c:pt idx="1727">
                  <c:v>4.2069020965833275E-3</c:v>
                </c:pt>
                <c:pt idx="1728">
                  <c:v>4.2614414830417346E-3</c:v>
                </c:pt>
                <c:pt idx="1729">
                  <c:v>4.7731904184852708E-3</c:v>
                </c:pt>
                <c:pt idx="1730">
                  <c:v>4.792967722296225E-3</c:v>
                </c:pt>
                <c:pt idx="1731">
                  <c:v>4.3833510045230015E-3</c:v>
                </c:pt>
                <c:pt idx="1732">
                  <c:v>4.956917500600554E-3</c:v>
                </c:pt>
                <c:pt idx="1733">
                  <c:v>4.7477689019541913E-3</c:v>
                </c:pt>
                <c:pt idx="1734">
                  <c:v>5.2395077359227785E-3</c:v>
                </c:pt>
                <c:pt idx="1735">
                  <c:v>6.2472732723627324E-3</c:v>
                </c:pt>
                <c:pt idx="1736">
                  <c:v>5.6224042999723873E-3</c:v>
                </c:pt>
                <c:pt idx="1737">
                  <c:v>5.4699229345689018E-3</c:v>
                </c:pt>
                <c:pt idx="1738">
                  <c:v>5.6908713583420168E-3</c:v>
                </c:pt>
                <c:pt idx="1739">
                  <c:v>5.6221583425858463E-3</c:v>
                </c:pt>
                <c:pt idx="1740">
                  <c:v>8.2017012761738568E-3</c:v>
                </c:pt>
                <c:pt idx="1741">
                  <c:v>8.1157374641012935E-3</c:v>
                </c:pt>
                <c:pt idx="1742">
                  <c:v>6.6925450356234298E-3</c:v>
                </c:pt>
                <c:pt idx="1743">
                  <c:v>6.2851714360007381E-3</c:v>
                </c:pt>
                <c:pt idx="1744">
                  <c:v>5.698555889987942E-3</c:v>
                </c:pt>
                <c:pt idx="1745">
                  <c:v>6.546312658649728E-3</c:v>
                </c:pt>
                <c:pt idx="1746">
                  <c:v>6.8865435708193963E-3</c:v>
                </c:pt>
                <c:pt idx="1747">
                  <c:v>5.6217138248585725E-3</c:v>
                </c:pt>
                <c:pt idx="1748">
                  <c:v>5.896170765195068E-3</c:v>
                </c:pt>
                <c:pt idx="1749">
                  <c:v>5.9830671641689075E-3</c:v>
                </c:pt>
                <c:pt idx="1750">
                  <c:v>6.0375973224409728E-3</c:v>
                </c:pt>
                <c:pt idx="1751">
                  <c:v>9.8204911744900585E-3</c:v>
                </c:pt>
                <c:pt idx="1752">
                  <c:v>1.0104023311584708E-2</c:v>
                </c:pt>
                <c:pt idx="1753">
                  <c:v>8.5383372202812689E-3</c:v>
                </c:pt>
                <c:pt idx="1754">
                  <c:v>7.1618059117142989E-3</c:v>
                </c:pt>
                <c:pt idx="1755">
                  <c:v>7.0091215997991133E-3</c:v>
                </c:pt>
                <c:pt idx="1756">
                  <c:v>8.5873517773255546E-3</c:v>
                </c:pt>
                <c:pt idx="1757">
                  <c:v>8.048613000203448E-3</c:v>
                </c:pt>
                <c:pt idx="1758">
                  <c:v>5.8869869373612506E-3</c:v>
                </c:pt>
                <c:pt idx="1759">
                  <c:v>6.056169180953681E-3</c:v>
                </c:pt>
                <c:pt idx="1760">
                  <c:v>6.8185695057327092E-3</c:v>
                </c:pt>
                <c:pt idx="1761">
                  <c:v>1.1475583553015827E-2</c:v>
                </c:pt>
                <c:pt idx="1762">
                  <c:v>1.1761585067195353E-2</c:v>
                </c:pt>
                <c:pt idx="1763">
                  <c:v>1.0018445365953005E-2</c:v>
                </c:pt>
                <c:pt idx="1764">
                  <c:v>1.2142731606994585E-2</c:v>
                </c:pt>
                <c:pt idx="1765">
                  <c:v>1.2670599847771741E-2</c:v>
                </c:pt>
                <c:pt idx="1766">
                  <c:v>1.2687679139021843E-2</c:v>
                </c:pt>
                <c:pt idx="1767">
                  <c:v>1.1979959950763263E-2</c:v>
                </c:pt>
                <c:pt idx="1768">
                  <c:v>7.6978431702099835E-3</c:v>
                </c:pt>
                <c:pt idx="1769">
                  <c:v>6.6758457539294108E-3</c:v>
                </c:pt>
                <c:pt idx="1770">
                  <c:v>6.0000312008098066E-3</c:v>
                </c:pt>
                <c:pt idx="1771">
                  <c:v>4.781044950423744E-3</c:v>
                </c:pt>
                <c:pt idx="1772">
                  <c:v>5.0894299744966591E-3</c:v>
                </c:pt>
                <c:pt idx="1773">
                  <c:v>5.0624612814639302E-3</c:v>
                </c:pt>
                <c:pt idx="1774">
                  <c:v>6.4253617988042234E-3</c:v>
                </c:pt>
                <c:pt idx="1775">
                  <c:v>6.6240801262828167E-3</c:v>
                </c:pt>
                <c:pt idx="1776">
                  <c:v>6.1111628245387722E-3</c:v>
                </c:pt>
                <c:pt idx="1777">
                  <c:v>5.2542892395577197E-3</c:v>
                </c:pt>
                <c:pt idx="1778">
                  <c:v>5.8637923202602936E-3</c:v>
                </c:pt>
                <c:pt idx="1779">
                  <c:v>6.1751501701447116E-3</c:v>
                </c:pt>
                <c:pt idx="1780">
                  <c:v>6.1131210998487907E-3</c:v>
                </c:pt>
                <c:pt idx="1781">
                  <c:v>4.8656071900484788E-3</c:v>
                </c:pt>
                <c:pt idx="1782">
                  <c:v>5.0222453245026208E-3</c:v>
                </c:pt>
                <c:pt idx="1783">
                  <c:v>6.827005408397647E-3</c:v>
                </c:pt>
                <c:pt idx="1784">
                  <c:v>6.3010942940875114E-3</c:v>
                </c:pt>
                <c:pt idx="1785">
                  <c:v>6.5903151720548905E-3</c:v>
                </c:pt>
                <c:pt idx="1786">
                  <c:v>6.1262173094696528E-3</c:v>
                </c:pt>
                <c:pt idx="1787">
                  <c:v>6.5971942539314642E-3</c:v>
                </c:pt>
                <c:pt idx="1788">
                  <c:v>6.6941999722248966E-3</c:v>
                </c:pt>
                <c:pt idx="1789">
                  <c:v>5.4531874672875645E-3</c:v>
                </c:pt>
                <c:pt idx="1790">
                  <c:v>8.3584481462006602E-3</c:v>
                </c:pt>
                <c:pt idx="1791">
                  <c:v>8.4329500277399872E-3</c:v>
                </c:pt>
                <c:pt idx="1792">
                  <c:v>9.0077421663575137E-3</c:v>
                </c:pt>
                <c:pt idx="1793">
                  <c:v>8.3815924277887994E-3</c:v>
                </c:pt>
                <c:pt idx="1794">
                  <c:v>1.0069736342836181E-2</c:v>
                </c:pt>
                <c:pt idx="1795">
                  <c:v>9.5259277632609319E-3</c:v>
                </c:pt>
                <c:pt idx="1796">
                  <c:v>9.2398919477301149E-3</c:v>
                </c:pt>
                <c:pt idx="1797">
                  <c:v>7.5657972941325881E-3</c:v>
                </c:pt>
                <c:pt idx="1798">
                  <c:v>7.533849468107888E-3</c:v>
                </c:pt>
                <c:pt idx="1799">
                  <c:v>4.4490611346736974E-3</c:v>
                </c:pt>
                <c:pt idx="1800">
                  <c:v>5.8757141006455333E-3</c:v>
                </c:pt>
                <c:pt idx="1801">
                  <c:v>3.9181031286233464E-3</c:v>
                </c:pt>
                <c:pt idx="1802">
                  <c:v>3.9445346004585548E-3</c:v>
                </c:pt>
                <c:pt idx="1803">
                  <c:v>4.7863442714124E-3</c:v>
                </c:pt>
                <c:pt idx="1804">
                  <c:v>4.6085761305258563E-3</c:v>
                </c:pt>
                <c:pt idx="1805">
                  <c:v>4.8148481260315342E-3</c:v>
                </c:pt>
                <c:pt idx="1806">
                  <c:v>4.8705959676904071E-3</c:v>
                </c:pt>
                <c:pt idx="1807">
                  <c:v>4.5193454746960829E-3</c:v>
                </c:pt>
                <c:pt idx="1808">
                  <c:v>5.0817506174863601E-3</c:v>
                </c:pt>
                <c:pt idx="1809">
                  <c:v>4.7979323243225198E-3</c:v>
                </c:pt>
                <c:pt idx="1810">
                  <c:v>4.9490472922193007E-3</c:v>
                </c:pt>
                <c:pt idx="1811">
                  <c:v>5.3783104031445471E-3</c:v>
                </c:pt>
                <c:pt idx="1812">
                  <c:v>6.0946902067199682E-3</c:v>
                </c:pt>
                <c:pt idx="1813">
                  <c:v>5.4339616423966595E-3</c:v>
                </c:pt>
                <c:pt idx="1814">
                  <c:v>6.2801114064657418E-3</c:v>
                </c:pt>
                <c:pt idx="1815">
                  <c:v>6.2366306729688325E-3</c:v>
                </c:pt>
                <c:pt idx="1816">
                  <c:v>6.0073134103026645E-3</c:v>
                </c:pt>
                <c:pt idx="1817">
                  <c:v>6.2721447491696797E-3</c:v>
                </c:pt>
                <c:pt idx="1818">
                  <c:v>5.5990114399471552E-3</c:v>
                </c:pt>
                <c:pt idx="1819">
                  <c:v>5.516349508573706E-3</c:v>
                </c:pt>
                <c:pt idx="1820">
                  <c:v>8.3740291046504618E-3</c:v>
                </c:pt>
                <c:pt idx="1821">
                  <c:v>9.4728051343582129E-3</c:v>
                </c:pt>
                <c:pt idx="1822">
                  <c:v>9.7913355578283547E-3</c:v>
                </c:pt>
                <c:pt idx="1823">
                  <c:v>1.1149917981070127E-2</c:v>
                </c:pt>
                <c:pt idx="1824">
                  <c:v>1.1519386831720763E-2</c:v>
                </c:pt>
                <c:pt idx="1825">
                  <c:v>1.0651414451031644E-2</c:v>
                </c:pt>
                <c:pt idx="1826">
                  <c:v>1.0487507561489071E-2</c:v>
                </c:pt>
                <c:pt idx="1827">
                  <c:v>9.6975782368472086E-3</c:v>
                </c:pt>
                <c:pt idx="1828">
                  <c:v>9.2780801078363503E-3</c:v>
                </c:pt>
                <c:pt idx="1829">
                  <c:v>9.3938232145349305E-3</c:v>
                </c:pt>
                <c:pt idx="1830">
                  <c:v>7.6921101915980545E-3</c:v>
                </c:pt>
                <c:pt idx="1831">
                  <c:v>6.8770832259784581E-3</c:v>
                </c:pt>
                <c:pt idx="1832">
                  <c:v>6.7704257280629832E-3</c:v>
                </c:pt>
                <c:pt idx="1833">
                  <c:v>6.786900100698167E-3</c:v>
                </c:pt>
                <c:pt idx="1834">
                  <c:v>6.954110712801497E-3</c:v>
                </c:pt>
                <c:pt idx="1835">
                  <c:v>5.8391414631153203E-3</c:v>
                </c:pt>
                <c:pt idx="1836">
                  <c:v>6.0807951889451884E-3</c:v>
                </c:pt>
                <c:pt idx="1837">
                  <c:v>5.6076567302947543E-3</c:v>
                </c:pt>
                <c:pt idx="1838">
                  <c:v>5.0750861995456564E-3</c:v>
                </c:pt>
                <c:pt idx="1839">
                  <c:v>5.0902004697771118E-3</c:v>
                </c:pt>
                <c:pt idx="1840">
                  <c:v>5.4302463362031466E-3</c:v>
                </c:pt>
                <c:pt idx="1841">
                  <c:v>4.9167038378635404E-3</c:v>
                </c:pt>
                <c:pt idx="1842">
                  <c:v>8.6367592158848681E-3</c:v>
                </c:pt>
                <c:pt idx="1843">
                  <c:v>7.4448601567345249E-3</c:v>
                </c:pt>
                <c:pt idx="1844">
                  <c:v>8.2902218977939524E-3</c:v>
                </c:pt>
                <c:pt idx="1845">
                  <c:v>8.5342172890679677E-3</c:v>
                </c:pt>
                <c:pt idx="1846">
                  <c:v>7.7815138497128247E-3</c:v>
                </c:pt>
                <c:pt idx="1847">
                  <c:v>1.5255605488021903E-2</c:v>
                </c:pt>
                <c:pt idx="1848">
                  <c:v>1.5329366211197046E-2</c:v>
                </c:pt>
                <c:pt idx="1849">
                  <c:v>1.4794452813719286E-2</c:v>
                </c:pt>
                <c:pt idx="1850">
                  <c:v>1.5390398657412726E-2</c:v>
                </c:pt>
                <c:pt idx="1851">
                  <c:v>1.5950026551767259E-2</c:v>
                </c:pt>
                <c:pt idx="1852">
                  <c:v>1.5544849492499971E-2</c:v>
                </c:pt>
                <c:pt idx="1853">
                  <c:v>1.5312586587457083E-2</c:v>
                </c:pt>
                <c:pt idx="1854">
                  <c:v>9.4215042449891165E-3</c:v>
                </c:pt>
                <c:pt idx="1855">
                  <c:v>1.0156635781948444E-2</c:v>
                </c:pt>
                <c:pt idx="1856">
                  <c:v>7.9147810275076967E-3</c:v>
                </c:pt>
                <c:pt idx="1857">
                  <c:v>6.6963750223994582E-3</c:v>
                </c:pt>
                <c:pt idx="1858">
                  <c:v>5.5354234483421345E-3</c:v>
                </c:pt>
                <c:pt idx="1859">
                  <c:v>7.7289031942736489E-3</c:v>
                </c:pt>
                <c:pt idx="1860">
                  <c:v>9.2358186324199079E-3</c:v>
                </c:pt>
                <c:pt idx="1861">
                  <c:v>9.0900611928430384E-3</c:v>
                </c:pt>
                <c:pt idx="1862">
                  <c:v>1.1369834699465255E-2</c:v>
                </c:pt>
                <c:pt idx="1863">
                  <c:v>1.1927992176171109E-2</c:v>
                </c:pt>
                <c:pt idx="1864">
                  <c:v>1.1936956977344856E-2</c:v>
                </c:pt>
                <c:pt idx="1865">
                  <c:v>1.6059968279989064E-2</c:v>
                </c:pt>
                <c:pt idx="1866">
                  <c:v>1.6780139969594994E-2</c:v>
                </c:pt>
                <c:pt idx="1867">
                  <c:v>1.6383960676537017E-2</c:v>
                </c:pt>
                <c:pt idx="1868">
                  <c:v>1.6946031041993853E-2</c:v>
                </c:pt>
                <c:pt idx="1869">
                  <c:v>1.5660735374920656E-2</c:v>
                </c:pt>
                <c:pt idx="1870">
                  <c:v>1.6420472445441217E-2</c:v>
                </c:pt>
                <c:pt idx="1871">
                  <c:v>1.7253455343139348E-2</c:v>
                </c:pt>
                <c:pt idx="1872">
                  <c:v>1.3245350633282369E-2</c:v>
                </c:pt>
                <c:pt idx="1873">
                  <c:v>1.0297430560790541E-2</c:v>
                </c:pt>
                <c:pt idx="1874">
                  <c:v>1.4849817234223918E-2</c:v>
                </c:pt>
                <c:pt idx="1875">
                  <c:v>1.4362870865429065E-2</c:v>
                </c:pt>
                <c:pt idx="1876">
                  <c:v>1.4227284340548475E-2</c:v>
                </c:pt>
                <c:pt idx="1877">
                  <c:v>1.1297430372412718E-2</c:v>
                </c:pt>
                <c:pt idx="1878">
                  <c:v>1.0985957825305471E-2</c:v>
                </c:pt>
                <c:pt idx="1879">
                  <c:v>1.0986615549251826E-2</c:v>
                </c:pt>
                <c:pt idx="1880">
                  <c:v>1.2056892712301748E-2</c:v>
                </c:pt>
                <c:pt idx="1881">
                  <c:v>9.2718698820347337E-3</c:v>
                </c:pt>
                <c:pt idx="1882">
                  <c:v>8.2561303515311449E-3</c:v>
                </c:pt>
                <c:pt idx="1883">
                  <c:v>9.1462205413678898E-3</c:v>
                </c:pt>
                <c:pt idx="1884">
                  <c:v>8.2478057353710613E-3</c:v>
                </c:pt>
                <c:pt idx="1885">
                  <c:v>1.1048480649075014E-2</c:v>
                </c:pt>
                <c:pt idx="1886">
                  <c:v>1.3141699821784139E-2</c:v>
                </c:pt>
                <c:pt idx="1887">
                  <c:v>1.4154572530880411E-2</c:v>
                </c:pt>
                <c:pt idx="1888">
                  <c:v>1.5657812280697792E-2</c:v>
                </c:pt>
                <c:pt idx="1889">
                  <c:v>1.5517416588283746E-2</c:v>
                </c:pt>
                <c:pt idx="1890">
                  <c:v>1.5389116859684183E-2</c:v>
                </c:pt>
                <c:pt idx="1891">
                  <c:v>1.6895031451843408E-2</c:v>
                </c:pt>
                <c:pt idx="1892">
                  <c:v>1.7009002207339002E-2</c:v>
                </c:pt>
                <c:pt idx="1893">
                  <c:v>1.777907677180884E-2</c:v>
                </c:pt>
                <c:pt idx="1894">
                  <c:v>1.8684177518860139E-2</c:v>
                </c:pt>
                <c:pt idx="1895">
                  <c:v>1.2926310861736123E-2</c:v>
                </c:pt>
                <c:pt idx="1896">
                  <c:v>1.2531998082192413E-2</c:v>
                </c:pt>
                <c:pt idx="1897">
                  <c:v>1.1424713878945489E-2</c:v>
                </c:pt>
                <c:pt idx="1898">
                  <c:v>1.1545689426449315E-2</c:v>
                </c:pt>
                <c:pt idx="1899">
                  <c:v>1.156369309289457E-2</c:v>
                </c:pt>
                <c:pt idx="1900">
                  <c:v>1.2835624886752378E-2</c:v>
                </c:pt>
                <c:pt idx="1901">
                  <c:v>1.5373703786507206E-2</c:v>
                </c:pt>
                <c:pt idx="1902">
                  <c:v>1.5865600459572932E-2</c:v>
                </c:pt>
                <c:pt idx="1903">
                  <c:v>1.8180408984512911E-2</c:v>
                </c:pt>
                <c:pt idx="1904">
                  <c:v>1.8278202056202349E-2</c:v>
                </c:pt>
                <c:pt idx="1905">
                  <c:v>1.7599215383528048E-2</c:v>
                </c:pt>
                <c:pt idx="1906">
                  <c:v>1.5888964056410479E-2</c:v>
                </c:pt>
                <c:pt idx="1907">
                  <c:v>1.4977408368642574E-2</c:v>
                </c:pt>
                <c:pt idx="1908">
                  <c:v>8.5912063969774393E-3</c:v>
                </c:pt>
                <c:pt idx="1909">
                  <c:v>8.5710492632595833E-3</c:v>
                </c:pt>
                <c:pt idx="1910">
                  <c:v>4.1396758288648524E-3</c:v>
                </c:pt>
                <c:pt idx="1911">
                  <c:v>3.8675501062412549E-3</c:v>
                </c:pt>
                <c:pt idx="1912">
                  <c:v>4.3765915586901055E-3</c:v>
                </c:pt>
                <c:pt idx="1913">
                  <c:v>3.572062116550001E-3</c:v>
                </c:pt>
                <c:pt idx="1914">
                  <c:v>3.4417812361848578E-3</c:v>
                </c:pt>
                <c:pt idx="1915">
                  <c:v>6.9125714791054152E-3</c:v>
                </c:pt>
                <c:pt idx="1916">
                  <c:v>6.9575758825023938E-3</c:v>
                </c:pt>
                <c:pt idx="1917">
                  <c:v>6.9347051782683673E-3</c:v>
                </c:pt>
                <c:pt idx="1918">
                  <c:v>6.8528718878812286E-3</c:v>
                </c:pt>
                <c:pt idx="1919">
                  <c:v>5.8383196759359364E-3</c:v>
                </c:pt>
                <c:pt idx="1920">
                  <c:v>5.8514455871084715E-3</c:v>
                </c:pt>
                <c:pt idx="1921">
                  <c:v>5.0503542243013622E-3</c:v>
                </c:pt>
                <c:pt idx="1922">
                  <c:v>4.2846260910176653E-3</c:v>
                </c:pt>
                <c:pt idx="1923">
                  <c:v>5.8007635049103145E-3</c:v>
                </c:pt>
                <c:pt idx="1924">
                  <c:v>6.0747813174834922E-3</c:v>
                </c:pt>
                <c:pt idx="1925">
                  <c:v>5.9256107179297534E-3</c:v>
                </c:pt>
                <c:pt idx="1926">
                  <c:v>5.8381802677500687E-3</c:v>
                </c:pt>
                <c:pt idx="1927">
                  <c:v>6.0580666436203879E-3</c:v>
                </c:pt>
                <c:pt idx="1928">
                  <c:v>5.8129993897014657E-3</c:v>
                </c:pt>
                <c:pt idx="1929">
                  <c:v>6.4408868729872266E-3</c:v>
                </c:pt>
                <c:pt idx="1930">
                  <c:v>6.3931074695366859E-3</c:v>
                </c:pt>
                <c:pt idx="1931">
                  <c:v>9.3030427030007905E-3</c:v>
                </c:pt>
                <c:pt idx="1932">
                  <c:v>9.7397693139006977E-3</c:v>
                </c:pt>
                <c:pt idx="1933">
                  <c:v>1.071580049033197E-2</c:v>
                </c:pt>
                <c:pt idx="1934">
                  <c:v>1.2577039669759017E-2</c:v>
                </c:pt>
                <c:pt idx="1935">
                  <c:v>1.2097126522545461E-2</c:v>
                </c:pt>
                <c:pt idx="1936">
                  <c:v>1.2095037268193977E-2</c:v>
                </c:pt>
                <c:pt idx="1937">
                  <c:v>1.3161340063035267E-2</c:v>
                </c:pt>
                <c:pt idx="1938">
                  <c:v>6.4160325715014515E-3</c:v>
                </c:pt>
                <c:pt idx="1939">
                  <c:v>5.9860068922987604E-3</c:v>
                </c:pt>
                <c:pt idx="1940">
                  <c:v>6.509395441158721E-3</c:v>
                </c:pt>
                <c:pt idx="1941">
                  <c:v>6.8622472167611283E-3</c:v>
                </c:pt>
                <c:pt idx="1942">
                  <c:v>1.7319962252910277E-2</c:v>
                </c:pt>
                <c:pt idx="1943">
                  <c:v>1.7481474333471657E-2</c:v>
                </c:pt>
                <c:pt idx="1944">
                  <c:v>1.6171254930381244E-2</c:v>
                </c:pt>
                <c:pt idx="1945">
                  <c:v>1.6147276056691216E-2</c:v>
                </c:pt>
                <c:pt idx="1946">
                  <c:v>1.5591376350121016E-2</c:v>
                </c:pt>
                <c:pt idx="1947">
                  <c:v>1.6924120269704714E-2</c:v>
                </c:pt>
                <c:pt idx="1948">
                  <c:v>1.5159034633839542E-2</c:v>
                </c:pt>
                <c:pt idx="1949">
                  <c:v>7.6103832773981384E-3</c:v>
                </c:pt>
                <c:pt idx="1950">
                  <c:v>1.0307743064856521E-2</c:v>
                </c:pt>
                <c:pt idx="1951">
                  <c:v>1.0286494610367845E-2</c:v>
                </c:pt>
                <c:pt idx="1952">
                  <c:v>1.0251950154687979E-2</c:v>
                </c:pt>
                <c:pt idx="1953">
                  <c:v>1.0267071762936026E-2</c:v>
                </c:pt>
                <c:pt idx="1954">
                  <c:v>8.9581290998284515E-3</c:v>
                </c:pt>
                <c:pt idx="1955">
                  <c:v>8.922081929643293E-3</c:v>
                </c:pt>
                <c:pt idx="1956">
                  <c:v>9.0784189963825351E-3</c:v>
                </c:pt>
                <c:pt idx="1957">
                  <c:v>6.9415060583954205E-3</c:v>
                </c:pt>
                <c:pt idx="1958">
                  <c:v>7.8503283368086089E-3</c:v>
                </c:pt>
                <c:pt idx="1959">
                  <c:v>8.9918622497247597E-3</c:v>
                </c:pt>
                <c:pt idx="1960">
                  <c:v>9.0204860435047461E-3</c:v>
                </c:pt>
                <c:pt idx="1961">
                  <c:v>8.7479404576553642E-3</c:v>
                </c:pt>
                <c:pt idx="1962">
                  <c:v>9.4987572729208457E-3</c:v>
                </c:pt>
                <c:pt idx="1963">
                  <c:v>1.0761493666081414E-2</c:v>
                </c:pt>
                <c:pt idx="1964">
                  <c:v>1.0869367704523427E-2</c:v>
                </c:pt>
                <c:pt idx="1965">
                  <c:v>1.0775100217403681E-2</c:v>
                </c:pt>
                <c:pt idx="1966">
                  <c:v>9.9770867119969939E-3</c:v>
                </c:pt>
                <c:pt idx="1967">
                  <c:v>9.7491768633259316E-3</c:v>
                </c:pt>
                <c:pt idx="1968">
                  <c:v>1.2375094839457637E-2</c:v>
                </c:pt>
                <c:pt idx="1969">
                  <c:v>1.0541362507305691E-2</c:v>
                </c:pt>
                <c:pt idx="1970">
                  <c:v>9.2411649515952658E-3</c:v>
                </c:pt>
                <c:pt idx="1971">
                  <c:v>9.0553221367888018E-3</c:v>
                </c:pt>
                <c:pt idx="1972">
                  <c:v>9.1090251011331363E-3</c:v>
                </c:pt>
                <c:pt idx="1973">
                  <c:v>7.7642805785959057E-3</c:v>
                </c:pt>
                <c:pt idx="1974">
                  <c:v>1.3694322218906565E-2</c:v>
                </c:pt>
                <c:pt idx="1975">
                  <c:v>1.3078146115323083E-2</c:v>
                </c:pt>
                <c:pt idx="1976">
                  <c:v>1.2830605322157924E-2</c:v>
                </c:pt>
                <c:pt idx="1977">
                  <c:v>1.4069832975460585E-2</c:v>
                </c:pt>
                <c:pt idx="1978">
                  <c:v>1.6283586431163056E-2</c:v>
                </c:pt>
                <c:pt idx="1979">
                  <c:v>1.6625642672172574E-2</c:v>
                </c:pt>
                <c:pt idx="1980">
                  <c:v>1.657809536979173E-2</c:v>
                </c:pt>
                <c:pt idx="1981">
                  <c:v>1.0831278912072568E-2</c:v>
                </c:pt>
                <c:pt idx="1982">
                  <c:v>1.1532167827008796E-2</c:v>
                </c:pt>
                <c:pt idx="1983">
                  <c:v>1.1148677743546177E-2</c:v>
                </c:pt>
                <c:pt idx="1984">
                  <c:v>1.1437092583187466E-2</c:v>
                </c:pt>
                <c:pt idx="1985">
                  <c:v>1.0651509906312681E-2</c:v>
                </c:pt>
                <c:pt idx="1986">
                  <c:v>9.2427735337870919E-3</c:v>
                </c:pt>
                <c:pt idx="1987">
                  <c:v>9.417603636528226E-3</c:v>
                </c:pt>
                <c:pt idx="1988">
                  <c:v>8.2830994038558311E-3</c:v>
                </c:pt>
                <c:pt idx="1989">
                  <c:v>6.2162464261363171E-3</c:v>
                </c:pt>
                <c:pt idx="1990">
                  <c:v>6.5215682314048243E-3</c:v>
                </c:pt>
                <c:pt idx="1991">
                  <c:v>3.203522678982587E-3</c:v>
                </c:pt>
                <c:pt idx="1992">
                  <c:v>3.4459868370127281E-3</c:v>
                </c:pt>
                <c:pt idx="1993">
                  <c:v>4.7814963911091361E-3</c:v>
                </c:pt>
                <c:pt idx="1994">
                  <c:v>8.0905334170665085E-3</c:v>
                </c:pt>
                <c:pt idx="1995">
                  <c:v>7.7420544978251161E-3</c:v>
                </c:pt>
                <c:pt idx="1996">
                  <c:v>8.4342246475256101E-3</c:v>
                </c:pt>
                <c:pt idx="1997">
                  <c:v>1.2002797186197468E-2</c:v>
                </c:pt>
                <c:pt idx="1998">
                  <c:v>1.2046973362273441E-2</c:v>
                </c:pt>
                <c:pt idx="1999">
                  <c:v>1.194063246156753E-2</c:v>
                </c:pt>
                <c:pt idx="2000">
                  <c:v>1.1866063925728027E-2</c:v>
                </c:pt>
                <c:pt idx="2001">
                  <c:v>1.029870811475069E-2</c:v>
                </c:pt>
                <c:pt idx="2002">
                  <c:v>9.2565003015996645E-3</c:v>
                </c:pt>
                <c:pt idx="2003">
                  <c:v>9.5124068291245825E-3</c:v>
                </c:pt>
                <c:pt idx="2004">
                  <c:v>8.1348492582426091E-3</c:v>
                </c:pt>
                <c:pt idx="2005">
                  <c:v>8.2024970674488117E-3</c:v>
                </c:pt>
                <c:pt idx="2006">
                  <c:v>1.0070962917149418E-2</c:v>
                </c:pt>
                <c:pt idx="2007">
                  <c:v>1.0663563373249229E-2</c:v>
                </c:pt>
                <c:pt idx="2008">
                  <c:v>8.6009374780650957E-3</c:v>
                </c:pt>
                <c:pt idx="2009">
                  <c:v>8.8571674477663839E-3</c:v>
                </c:pt>
                <c:pt idx="2010">
                  <c:v>8.8879466441966447E-3</c:v>
                </c:pt>
                <c:pt idx="2011">
                  <c:v>8.5519037998406672E-3</c:v>
                </c:pt>
                <c:pt idx="2012">
                  <c:v>8.0098756200821936E-3</c:v>
                </c:pt>
                <c:pt idx="2013">
                  <c:v>6.641160547670436E-3</c:v>
                </c:pt>
                <c:pt idx="2014">
                  <c:v>3.6369158404461685E-3</c:v>
                </c:pt>
                <c:pt idx="2015">
                  <c:v>9.6486377497795057E-3</c:v>
                </c:pt>
                <c:pt idx="2016">
                  <c:v>9.275600720578701E-3</c:v>
                </c:pt>
                <c:pt idx="2017">
                  <c:v>1.0785574369803404E-2</c:v>
                </c:pt>
                <c:pt idx="2018">
                  <c:v>1.1065997164928268E-2</c:v>
                </c:pt>
                <c:pt idx="2019">
                  <c:v>1.2131418334843162E-2</c:v>
                </c:pt>
                <c:pt idx="2020">
                  <c:v>1.2032530174869487E-2</c:v>
                </c:pt>
                <c:pt idx="2021">
                  <c:v>1.172544358781568E-2</c:v>
                </c:pt>
                <c:pt idx="2022">
                  <c:v>7.9602540778639132E-3</c:v>
                </c:pt>
                <c:pt idx="2023">
                  <c:v>8.1958005377635087E-3</c:v>
                </c:pt>
                <c:pt idx="2024">
                  <c:v>8.6319109410782045E-3</c:v>
                </c:pt>
                <c:pt idx="2025">
                  <c:v>8.1424171509334939E-3</c:v>
                </c:pt>
                <c:pt idx="2026">
                  <c:v>5.9372035867766614E-3</c:v>
                </c:pt>
                <c:pt idx="2027">
                  <c:v>5.8420011939043981E-3</c:v>
                </c:pt>
                <c:pt idx="2028">
                  <c:v>5.8784780402291997E-3</c:v>
                </c:pt>
                <c:pt idx="2029">
                  <c:v>7.8777906052677222E-3</c:v>
                </c:pt>
                <c:pt idx="2030">
                  <c:v>8.2409981703062962E-3</c:v>
                </c:pt>
                <c:pt idx="2031">
                  <c:v>6.5562722819260391E-3</c:v>
                </c:pt>
                <c:pt idx="2032">
                  <c:v>6.5496337011708332E-3</c:v>
                </c:pt>
                <c:pt idx="2033">
                  <c:v>9.6094034554997168E-3</c:v>
                </c:pt>
                <c:pt idx="2034">
                  <c:v>1.0264945648801399E-2</c:v>
                </c:pt>
                <c:pt idx="2035">
                  <c:v>1.1705571129109377E-2</c:v>
                </c:pt>
                <c:pt idx="2036">
                  <c:v>1.0993836716816972E-2</c:v>
                </c:pt>
                <c:pt idx="2037">
                  <c:v>1.4777662295759237E-2</c:v>
                </c:pt>
                <c:pt idx="2038">
                  <c:v>1.4701998772863127E-2</c:v>
                </c:pt>
                <c:pt idx="2039">
                  <c:v>1.4686700825680242E-2</c:v>
                </c:pt>
                <c:pt idx="2040">
                  <c:v>1.1297765659290783E-2</c:v>
                </c:pt>
                <c:pt idx="2041">
                  <c:v>1.2063289699822155E-2</c:v>
                </c:pt>
                <c:pt idx="2042">
                  <c:v>1.2803556358506081E-2</c:v>
                </c:pt>
                <c:pt idx="2043">
                  <c:v>1.0169089285163689E-2</c:v>
                </c:pt>
                <c:pt idx="2044">
                  <c:v>7.9689455543602242E-3</c:v>
                </c:pt>
                <c:pt idx="2045">
                  <c:v>7.8891274467647061E-3</c:v>
                </c:pt>
                <c:pt idx="2046">
                  <c:v>8.1207849312314399E-3</c:v>
                </c:pt>
                <c:pt idx="2047">
                  <c:v>7.4753528495813256E-3</c:v>
                </c:pt>
                <c:pt idx="2048">
                  <c:v>4.6085060753730117E-3</c:v>
                </c:pt>
                <c:pt idx="2049">
                  <c:v>4.7496042181742193E-3</c:v>
                </c:pt>
                <c:pt idx="2050">
                  <c:v>4.7260441154504968E-3</c:v>
                </c:pt>
                <c:pt idx="2051">
                  <c:v>4.823480641342158E-3</c:v>
                </c:pt>
                <c:pt idx="2052">
                  <c:v>1.0607151076541825E-2</c:v>
                </c:pt>
                <c:pt idx="2053">
                  <c:v>9.061205042759821E-3</c:v>
                </c:pt>
                <c:pt idx="2054">
                  <c:v>9.1880624626152745E-3</c:v>
                </c:pt>
                <c:pt idx="2055">
                  <c:v>9.9330907912623459E-3</c:v>
                </c:pt>
                <c:pt idx="2056">
                  <c:v>1.1160198293265181E-2</c:v>
                </c:pt>
                <c:pt idx="2057">
                  <c:v>1.1211478734335098E-2</c:v>
                </c:pt>
                <c:pt idx="2058">
                  <c:v>1.1011040377082617E-2</c:v>
                </c:pt>
                <c:pt idx="2059">
                  <c:v>7.2160755420891242E-3</c:v>
                </c:pt>
                <c:pt idx="2060">
                  <c:v>7.470538841357191E-3</c:v>
                </c:pt>
                <c:pt idx="2061">
                  <c:v>9.0528054123494503E-3</c:v>
                </c:pt>
                <c:pt idx="2062">
                  <c:v>1.0112075893608213E-2</c:v>
                </c:pt>
                <c:pt idx="2063">
                  <c:v>9.3713305763921673E-3</c:v>
                </c:pt>
                <c:pt idx="2064">
                  <c:v>9.574673599931121E-3</c:v>
                </c:pt>
                <c:pt idx="2065">
                  <c:v>1.7415387957808622E-2</c:v>
                </c:pt>
                <c:pt idx="2066">
                  <c:v>1.7194158133945484E-2</c:v>
                </c:pt>
                <c:pt idx="2067">
                  <c:v>1.7394353522593709E-2</c:v>
                </c:pt>
                <c:pt idx="2068">
                  <c:v>1.7215599722692366E-2</c:v>
                </c:pt>
                <c:pt idx="2069">
                  <c:v>1.7176593810917518E-2</c:v>
                </c:pt>
                <c:pt idx="2070">
                  <c:v>1.6880374641782332E-2</c:v>
                </c:pt>
                <c:pt idx="2071">
                  <c:v>1.5974506771033022E-2</c:v>
                </c:pt>
                <c:pt idx="2072">
                  <c:v>1.1459201500218638E-2</c:v>
                </c:pt>
                <c:pt idx="2073">
                  <c:v>1.5285349062243834E-2</c:v>
                </c:pt>
                <c:pt idx="2074">
                  <c:v>1.2134763651667275E-2</c:v>
                </c:pt>
                <c:pt idx="2075">
                  <c:v>1.0903662118284693E-2</c:v>
                </c:pt>
                <c:pt idx="2076">
                  <c:v>1.1126219278713186E-2</c:v>
                </c:pt>
                <c:pt idx="2077">
                  <c:v>1.2154511960119027E-2</c:v>
                </c:pt>
                <c:pt idx="2078">
                  <c:v>9.0056233914552856E-3</c:v>
                </c:pt>
                <c:pt idx="2079">
                  <c:v>9.9417165809370552E-3</c:v>
                </c:pt>
                <c:pt idx="2080">
                  <c:v>7.9839850353629841E-3</c:v>
                </c:pt>
                <c:pt idx="2081">
                  <c:v>8.5543936783056933E-3</c:v>
                </c:pt>
                <c:pt idx="2082">
                  <c:v>9.7069474243382716E-3</c:v>
                </c:pt>
                <c:pt idx="2083">
                  <c:v>9.9342797413849611E-3</c:v>
                </c:pt>
                <c:pt idx="2084">
                  <c:v>6.1412987089475412E-3</c:v>
                </c:pt>
                <c:pt idx="2085">
                  <c:v>2.6914092498735785E-3</c:v>
                </c:pt>
                <c:pt idx="2086">
                  <c:v>2.5189221518428419E-3</c:v>
                </c:pt>
                <c:pt idx="2087">
                  <c:v>2.891893944498011E-3</c:v>
                </c:pt>
                <c:pt idx="2088">
                  <c:v>2.882263107717619E-3</c:v>
                </c:pt>
                <c:pt idx="2089">
                  <c:v>3.1478650280828955E-3</c:v>
                </c:pt>
                <c:pt idx="2090">
                  <c:v>4.8581251046093208E-3</c:v>
                </c:pt>
                <c:pt idx="2091">
                  <c:v>5.0842259056647658E-3</c:v>
                </c:pt>
                <c:pt idx="2092">
                  <c:v>5.0253524450238505E-3</c:v>
                </c:pt>
                <c:pt idx="2093">
                  <c:v>5.1027002083024733E-3</c:v>
                </c:pt>
                <c:pt idx="2094">
                  <c:v>4.7923919285670887E-3</c:v>
                </c:pt>
                <c:pt idx="2095">
                  <c:v>5.0430317553900742E-3</c:v>
                </c:pt>
                <c:pt idx="2096">
                  <c:v>4.0722066874094749E-3</c:v>
                </c:pt>
                <c:pt idx="2097">
                  <c:v>3.3288116975263276E-3</c:v>
                </c:pt>
                <c:pt idx="2098">
                  <c:v>4.1435190786926262E-3</c:v>
                </c:pt>
                <c:pt idx="2099">
                  <c:v>4.1127900794212264E-3</c:v>
                </c:pt>
                <c:pt idx="2100">
                  <c:v>4.0154885706007379E-3</c:v>
                </c:pt>
                <c:pt idx="2101">
                  <c:v>3.9707319279937018E-3</c:v>
                </c:pt>
                <c:pt idx="2102">
                  <c:v>5.2184148148588403E-3</c:v>
                </c:pt>
                <c:pt idx="2103">
                  <c:v>5.3444459998726488E-3</c:v>
                </c:pt>
                <c:pt idx="2104">
                  <c:v>5.5765085055171177E-3</c:v>
                </c:pt>
                <c:pt idx="2105">
                  <c:v>5.1681719792305934E-3</c:v>
                </c:pt>
                <c:pt idx="2106">
                  <c:v>6.7270604265599028E-3</c:v>
                </c:pt>
                <c:pt idx="2107">
                  <c:v>7.0560880270835657E-3</c:v>
                </c:pt>
                <c:pt idx="2108">
                  <c:v>7.4407949352980852E-3</c:v>
                </c:pt>
                <c:pt idx="2109">
                  <c:v>7.1275115905010391E-3</c:v>
                </c:pt>
                <c:pt idx="2110">
                  <c:v>7.0497979721508598E-3</c:v>
                </c:pt>
                <c:pt idx="2111">
                  <c:v>6.2102370970674578E-3</c:v>
                </c:pt>
                <c:pt idx="2112">
                  <c:v>5.6844721143379795E-3</c:v>
                </c:pt>
                <c:pt idx="2113">
                  <c:v>7.8792610360075149E-3</c:v>
                </c:pt>
                <c:pt idx="2114">
                  <c:v>6.4465946314680393E-3</c:v>
                </c:pt>
                <c:pt idx="2115">
                  <c:v>7.1384111089033732E-3</c:v>
                </c:pt>
                <c:pt idx="2116">
                  <c:v>6.9872785102976041E-3</c:v>
                </c:pt>
                <c:pt idx="2117">
                  <c:v>7.0973638753625079E-3</c:v>
                </c:pt>
                <c:pt idx="2118">
                  <c:v>8.0999274986636501E-3</c:v>
                </c:pt>
                <c:pt idx="2119">
                  <c:v>7.9789691962759788E-3</c:v>
                </c:pt>
                <c:pt idx="2120">
                  <c:v>6.220917348740914E-3</c:v>
                </c:pt>
                <c:pt idx="2121">
                  <c:v>5.3742710528022573E-3</c:v>
                </c:pt>
                <c:pt idx="2122">
                  <c:v>5.3885253784969143E-3</c:v>
                </c:pt>
                <c:pt idx="2123">
                  <c:v>5.5973098751471786E-3</c:v>
                </c:pt>
                <c:pt idx="2124">
                  <c:v>6.9474024891820162E-3</c:v>
                </c:pt>
                <c:pt idx="2125">
                  <c:v>7.0336782624331072E-3</c:v>
                </c:pt>
                <c:pt idx="2126">
                  <c:v>7.8983248965369089E-3</c:v>
                </c:pt>
                <c:pt idx="2127">
                  <c:v>7.8224179076112552E-3</c:v>
                </c:pt>
                <c:pt idx="2128">
                  <c:v>8.4289257457191777E-3</c:v>
                </c:pt>
                <c:pt idx="2129">
                  <c:v>8.0225603793476815E-3</c:v>
                </c:pt>
                <c:pt idx="2130">
                  <c:v>6.871371316781746E-3</c:v>
                </c:pt>
                <c:pt idx="2131">
                  <c:v>5.9616953463877166E-3</c:v>
                </c:pt>
                <c:pt idx="2132">
                  <c:v>5.8325716587020399E-3</c:v>
                </c:pt>
                <c:pt idx="2133">
                  <c:v>4.032350958030782E-3</c:v>
                </c:pt>
                <c:pt idx="2134">
                  <c:v>3.2319247744633057E-3</c:v>
                </c:pt>
                <c:pt idx="2135">
                  <c:v>3.8182327910767852E-3</c:v>
                </c:pt>
                <c:pt idx="2136">
                  <c:v>3.6353151981867548E-3</c:v>
                </c:pt>
                <c:pt idx="2137">
                  <c:v>3.9814341449395359E-3</c:v>
                </c:pt>
                <c:pt idx="2138">
                  <c:v>4.925489216438054E-3</c:v>
                </c:pt>
                <c:pt idx="2139">
                  <c:v>4.2615544882593599E-3</c:v>
                </c:pt>
                <c:pt idx="2140">
                  <c:v>3.7568685102271023E-3</c:v>
                </c:pt>
                <c:pt idx="2141">
                  <c:v>3.7837130153929813E-3</c:v>
                </c:pt>
                <c:pt idx="2142">
                  <c:v>4.0703468947188917E-3</c:v>
                </c:pt>
                <c:pt idx="2143">
                  <c:v>4.0193336044660188E-3</c:v>
                </c:pt>
                <c:pt idx="2144">
                  <c:v>3.6473798485484148E-3</c:v>
                </c:pt>
                <c:pt idx="2145">
                  <c:v>2.8813349427243172E-3</c:v>
                </c:pt>
                <c:pt idx="2146">
                  <c:v>2.9356461666357699E-3</c:v>
                </c:pt>
                <c:pt idx="2147">
                  <c:v>3.8829451316205392E-3</c:v>
                </c:pt>
                <c:pt idx="2148">
                  <c:v>4.0720384315278395E-3</c:v>
                </c:pt>
                <c:pt idx="2149">
                  <c:v>3.715067898781186E-3</c:v>
                </c:pt>
                <c:pt idx="2150">
                  <c:v>3.9398364283471888E-3</c:v>
                </c:pt>
                <c:pt idx="2151">
                  <c:v>3.9321755441035951E-3</c:v>
                </c:pt>
                <c:pt idx="2152">
                  <c:v>3.9481467571211969E-3</c:v>
                </c:pt>
                <c:pt idx="2153">
                  <c:v>4.020407321166603E-3</c:v>
                </c:pt>
                <c:pt idx="2154">
                  <c:v>3.3441468312508642E-3</c:v>
                </c:pt>
                <c:pt idx="2155">
                  <c:v>3.4343914352041507E-3</c:v>
                </c:pt>
                <c:pt idx="2156">
                  <c:v>1.9896545844738851E-3</c:v>
                </c:pt>
                <c:pt idx="2157">
                  <c:v>1.9032004422690435E-3</c:v>
                </c:pt>
                <c:pt idx="2158">
                  <c:v>2.4231282655316909E-3</c:v>
                </c:pt>
                <c:pt idx="2159">
                  <c:v>2.9093334736455534E-3</c:v>
                </c:pt>
                <c:pt idx="2160">
                  <c:v>2.7715275416886885E-3</c:v>
                </c:pt>
                <c:pt idx="2161">
                  <c:v>2.9548591593104088E-3</c:v>
                </c:pt>
                <c:pt idx="2162">
                  <c:v>4.9584319114103041E-3</c:v>
                </c:pt>
                <c:pt idx="2163">
                  <c:v>5.0404946168183529E-3</c:v>
                </c:pt>
                <c:pt idx="2164">
                  <c:v>8.733827635109024E-3</c:v>
                </c:pt>
                <c:pt idx="2165">
                  <c:v>8.5279442434240977E-3</c:v>
                </c:pt>
                <c:pt idx="2166">
                  <c:v>7.5268121166016787E-3</c:v>
                </c:pt>
                <c:pt idx="2167">
                  <c:v>7.3672324551663348E-3</c:v>
                </c:pt>
                <c:pt idx="2168">
                  <c:v>5.3360015764546817E-3</c:v>
                </c:pt>
                <c:pt idx="2169">
                  <c:v>6.4618189036401352E-3</c:v>
                </c:pt>
                <c:pt idx="2170">
                  <c:v>6.2938084384870762E-3</c:v>
                </c:pt>
                <c:pt idx="2171">
                  <c:v>4.0438071653659761E-3</c:v>
                </c:pt>
                <c:pt idx="2172">
                  <c:v>4.1924107510886138E-3</c:v>
                </c:pt>
                <c:pt idx="2173">
                  <c:v>5.1037963709568319E-3</c:v>
                </c:pt>
                <c:pt idx="2174">
                  <c:v>5.3651498409993722E-3</c:v>
                </c:pt>
                <c:pt idx="2175">
                  <c:v>5.5106512997297125E-3</c:v>
                </c:pt>
                <c:pt idx="2176">
                  <c:v>5.4895130895806343E-3</c:v>
                </c:pt>
                <c:pt idx="2177">
                  <c:v>7.1457364221467392E-3</c:v>
                </c:pt>
                <c:pt idx="2178">
                  <c:v>6.9398278390166842E-3</c:v>
                </c:pt>
                <c:pt idx="2179">
                  <c:v>6.9207819154258792E-3</c:v>
                </c:pt>
                <c:pt idx="2180">
                  <c:v>6.2720271870759037E-3</c:v>
                </c:pt>
                <c:pt idx="2181">
                  <c:v>6.4882925059600019E-3</c:v>
                </c:pt>
                <c:pt idx="2182">
                  <c:v>6.5779330440782812E-3</c:v>
                </c:pt>
                <c:pt idx="2183">
                  <c:v>5.4060040831796106E-3</c:v>
                </c:pt>
                <c:pt idx="2184">
                  <c:v>3.5965822950668673E-3</c:v>
                </c:pt>
                <c:pt idx="2185">
                  <c:v>3.61450837285692E-3</c:v>
                </c:pt>
                <c:pt idx="2186">
                  <c:v>4.4888016458842789E-3</c:v>
                </c:pt>
                <c:pt idx="2187">
                  <c:v>4.489034810568459E-3</c:v>
                </c:pt>
                <c:pt idx="2188">
                  <c:v>5.4482388735139853E-3</c:v>
                </c:pt>
                <c:pt idx="2189">
                  <c:v>4.7313396755252809E-3</c:v>
                </c:pt>
                <c:pt idx="2190">
                  <c:v>4.6248041496370507E-3</c:v>
                </c:pt>
                <c:pt idx="2191">
                  <c:v>4.6906455247727142E-3</c:v>
                </c:pt>
                <c:pt idx="2192">
                  <c:v>5.3050932500482871E-3</c:v>
                </c:pt>
                <c:pt idx="2193">
                  <c:v>6.8795590542783313E-3</c:v>
                </c:pt>
                <c:pt idx="2194">
                  <c:v>7.0333901620274024E-3</c:v>
                </c:pt>
                <c:pt idx="2195">
                  <c:v>7.267844656872597E-3</c:v>
                </c:pt>
                <c:pt idx="2196">
                  <c:v>7.2664257990758202E-3</c:v>
                </c:pt>
                <c:pt idx="2197">
                  <c:v>7.2900541053265407E-3</c:v>
                </c:pt>
                <c:pt idx="2198">
                  <c:v>7.6096444505242269E-3</c:v>
                </c:pt>
                <c:pt idx="2199">
                  <c:v>6.5108412862897461E-3</c:v>
                </c:pt>
                <c:pt idx="2200">
                  <c:v>6.7592916309966123E-3</c:v>
                </c:pt>
                <c:pt idx="2201">
                  <c:v>6.5200157704810874E-3</c:v>
                </c:pt>
                <c:pt idx="2202">
                  <c:v>5.1702894183339966E-3</c:v>
                </c:pt>
                <c:pt idx="2203">
                  <c:v>4.5717781968122847E-3</c:v>
                </c:pt>
                <c:pt idx="2204">
                  <c:v>3.986314855284878E-3</c:v>
                </c:pt>
                <c:pt idx="2205">
                  <c:v>4.0640200744801198E-3</c:v>
                </c:pt>
                <c:pt idx="2206">
                  <c:v>4.2126952628422799E-3</c:v>
                </c:pt>
                <c:pt idx="2207">
                  <c:v>3.39398173665276E-3</c:v>
                </c:pt>
                <c:pt idx="2208">
                  <c:v>2.3440793855110087E-3</c:v>
                </c:pt>
                <c:pt idx="2209">
                  <c:v>3.1282639937280934E-3</c:v>
                </c:pt>
                <c:pt idx="2210">
                  <c:v>2.8076499155677238E-3</c:v>
                </c:pt>
                <c:pt idx="2211">
                  <c:v>5.5812916230029803E-3</c:v>
                </c:pt>
                <c:pt idx="2212">
                  <c:v>7.9347839438610526E-3</c:v>
                </c:pt>
                <c:pt idx="2213">
                  <c:v>7.8265539279274484E-3</c:v>
                </c:pt>
                <c:pt idx="2214">
                  <c:v>7.9181490856655313E-3</c:v>
                </c:pt>
                <c:pt idx="2215">
                  <c:v>8.1093101615572379E-3</c:v>
                </c:pt>
                <c:pt idx="2216">
                  <c:v>8.0185808310634481E-3</c:v>
                </c:pt>
                <c:pt idx="2217">
                  <c:v>8.019086426245936E-3</c:v>
                </c:pt>
                <c:pt idx="2218">
                  <c:v>6.646851347273601E-3</c:v>
                </c:pt>
                <c:pt idx="2219">
                  <c:v>5.5233201209890798E-3</c:v>
                </c:pt>
                <c:pt idx="2220">
                  <c:v>6.283709260462381E-3</c:v>
                </c:pt>
                <c:pt idx="2221">
                  <c:v>6.5516248450753316E-3</c:v>
                </c:pt>
                <c:pt idx="2222">
                  <c:v>6.5728557972682799E-3</c:v>
                </c:pt>
                <c:pt idx="2223">
                  <c:v>6.6964663589425908E-3</c:v>
                </c:pt>
                <c:pt idx="2224">
                  <c:v>6.7659473471852983E-3</c:v>
                </c:pt>
                <c:pt idx="2225">
                  <c:v>7.0473781226123577E-3</c:v>
                </c:pt>
                <c:pt idx="2226">
                  <c:v>6.0539860302168879E-3</c:v>
                </c:pt>
                <c:pt idx="2227">
                  <c:v>5.4181796580664915E-3</c:v>
                </c:pt>
                <c:pt idx="2228">
                  <c:v>5.5435735564539484E-3</c:v>
                </c:pt>
                <c:pt idx="2229">
                  <c:v>5.8039881221896884E-3</c:v>
                </c:pt>
                <c:pt idx="2230">
                  <c:v>5.6499655137921267E-3</c:v>
                </c:pt>
                <c:pt idx="2231">
                  <c:v>5.6205664903825484E-3</c:v>
                </c:pt>
                <c:pt idx="2232">
                  <c:v>6.4319109961521398E-3</c:v>
                </c:pt>
                <c:pt idx="2233">
                  <c:v>8.6852557776733522E-3</c:v>
                </c:pt>
                <c:pt idx="2234">
                  <c:v>1.0225525253488819E-2</c:v>
                </c:pt>
                <c:pt idx="2235">
                  <c:v>1.0150769890594574E-2</c:v>
                </c:pt>
                <c:pt idx="2236">
                  <c:v>9.4589506553063064E-3</c:v>
                </c:pt>
                <c:pt idx="2237">
                  <c:v>1.025933338030155E-2</c:v>
                </c:pt>
                <c:pt idx="2238">
                  <c:v>1.0286821743629994E-2</c:v>
                </c:pt>
                <c:pt idx="2239">
                  <c:v>9.8878025233480622E-3</c:v>
                </c:pt>
                <c:pt idx="2240">
                  <c:v>6.6316995268721852E-3</c:v>
                </c:pt>
                <c:pt idx="2241">
                  <c:v>6.3972946122718673E-3</c:v>
                </c:pt>
                <c:pt idx="2242">
                  <c:v>6.5210063906174995E-3</c:v>
                </c:pt>
                <c:pt idx="2243">
                  <c:v>6.4912468039111156E-3</c:v>
                </c:pt>
                <c:pt idx="2244">
                  <c:v>6.7277708995276122E-3</c:v>
                </c:pt>
                <c:pt idx="2245">
                  <c:v>6.0015553957517538E-3</c:v>
                </c:pt>
                <c:pt idx="2246">
                  <c:v>7.0531300138005661E-3</c:v>
                </c:pt>
                <c:pt idx="2247">
                  <c:v>7.1676359199737676E-3</c:v>
                </c:pt>
                <c:pt idx="2248">
                  <c:v>6.5471545585532361E-3</c:v>
                </c:pt>
                <c:pt idx="2249">
                  <c:v>6.4650979536566748E-3</c:v>
                </c:pt>
                <c:pt idx="2250">
                  <c:v>6.1227678775032336E-3</c:v>
                </c:pt>
                <c:pt idx="2251">
                  <c:v>4.8509607863013639E-3</c:v>
                </c:pt>
                <c:pt idx="2252">
                  <c:v>3.2333802560396709E-3</c:v>
                </c:pt>
                <c:pt idx="2253">
                  <c:v>3.3022564814310655E-3</c:v>
                </c:pt>
                <c:pt idx="2254">
                  <c:v>3.6661442233797015E-3</c:v>
                </c:pt>
                <c:pt idx="2255">
                  <c:v>3.6615393862127676E-3</c:v>
                </c:pt>
                <c:pt idx="2256">
                  <c:v>2.9085375860329896E-3</c:v>
                </c:pt>
                <c:pt idx="2257">
                  <c:v>1.9620739163599553E-3</c:v>
                </c:pt>
                <c:pt idx="2258">
                  <c:v>2.1287319233269687E-3</c:v>
                </c:pt>
                <c:pt idx="2259">
                  <c:v>2.5034231584866572E-3</c:v>
                </c:pt>
                <c:pt idx="2260">
                  <c:v>1.9716516122475812E-3</c:v>
                </c:pt>
                <c:pt idx="2261">
                  <c:v>3.7362041695941524E-3</c:v>
                </c:pt>
                <c:pt idx="2262">
                  <c:v>3.725022219699896E-3</c:v>
                </c:pt>
                <c:pt idx="2263">
                  <c:v>3.7076403876123943E-3</c:v>
                </c:pt>
                <c:pt idx="2264">
                  <c:v>4.1480113785699775E-3</c:v>
                </c:pt>
                <c:pt idx="2265">
                  <c:v>4.9850582829338878E-3</c:v>
                </c:pt>
                <c:pt idx="2266">
                  <c:v>4.8012005416751304E-3</c:v>
                </c:pt>
                <c:pt idx="2267">
                  <c:v>4.8296905947026016E-3</c:v>
                </c:pt>
                <c:pt idx="2268">
                  <c:v>4.5983343438536694E-3</c:v>
                </c:pt>
                <c:pt idx="2269">
                  <c:v>4.9996832684131767E-3</c:v>
                </c:pt>
                <c:pt idx="2270">
                  <c:v>6.7988488658407868E-3</c:v>
                </c:pt>
                <c:pt idx="2271">
                  <c:v>7.2363268855702824E-3</c:v>
                </c:pt>
                <c:pt idx="2272">
                  <c:v>6.3665142971932008E-3</c:v>
                </c:pt>
                <c:pt idx="2273">
                  <c:v>6.763169933733602E-3</c:v>
                </c:pt>
                <c:pt idx="2274">
                  <c:v>9.8436598079656521E-3</c:v>
                </c:pt>
                <c:pt idx="2275">
                  <c:v>9.2775186986160142E-3</c:v>
                </c:pt>
                <c:pt idx="2276">
                  <c:v>8.7730096161614604E-3</c:v>
                </c:pt>
                <c:pt idx="2277">
                  <c:v>7.052330617935189E-3</c:v>
                </c:pt>
                <c:pt idx="2278">
                  <c:v>7.4592637485561362E-3</c:v>
                </c:pt>
                <c:pt idx="2279">
                  <c:v>7.4598628183418E-3</c:v>
                </c:pt>
                <c:pt idx="2280">
                  <c:v>7.4369401008845823E-3</c:v>
                </c:pt>
                <c:pt idx="2281">
                  <c:v>3.882797584128204E-3</c:v>
                </c:pt>
                <c:pt idx="2282">
                  <c:v>3.6640919919558729E-3</c:v>
                </c:pt>
                <c:pt idx="2283">
                  <c:v>3.8346053212766009E-3</c:v>
                </c:pt>
                <c:pt idx="2284">
                  <c:v>4.4945583775494527E-3</c:v>
                </c:pt>
                <c:pt idx="2285">
                  <c:v>4.7500889152645807E-3</c:v>
                </c:pt>
                <c:pt idx="2286">
                  <c:v>4.6550278030302629E-3</c:v>
                </c:pt>
                <c:pt idx="2287">
                  <c:v>5.6287816851052471E-3</c:v>
                </c:pt>
                <c:pt idx="2288">
                  <c:v>5.7798032522434492E-3</c:v>
                </c:pt>
                <c:pt idx="2289">
                  <c:v>6.1887550564517172E-3</c:v>
                </c:pt>
                <c:pt idx="2290">
                  <c:v>5.5081331991836914E-3</c:v>
                </c:pt>
                <c:pt idx="2291">
                  <c:v>7.2005064979015782E-3</c:v>
                </c:pt>
                <c:pt idx="2292">
                  <c:v>7.3661884183403841E-3</c:v>
                </c:pt>
                <c:pt idx="2293">
                  <c:v>7.3437043328836828E-3</c:v>
                </c:pt>
                <c:pt idx="2294">
                  <c:v>1.0079701463117759E-2</c:v>
                </c:pt>
                <c:pt idx="2295">
                  <c:v>1.0048123264993625E-2</c:v>
                </c:pt>
                <c:pt idx="2296">
                  <c:v>9.9782117190725331E-3</c:v>
                </c:pt>
                <c:pt idx="2297">
                  <c:v>1.0721636356397205E-2</c:v>
                </c:pt>
                <c:pt idx="2298">
                  <c:v>8.544329729486367E-3</c:v>
                </c:pt>
                <c:pt idx="2299">
                  <c:v>9.8230220435973365E-3</c:v>
                </c:pt>
                <c:pt idx="2300">
                  <c:v>9.5823773802715794E-3</c:v>
                </c:pt>
                <c:pt idx="2301">
                  <c:v>6.4686956459479228E-3</c:v>
                </c:pt>
                <c:pt idx="2302">
                  <c:v>6.7071371276074361E-3</c:v>
                </c:pt>
                <c:pt idx="2303">
                  <c:v>6.7511887618978469E-3</c:v>
                </c:pt>
                <c:pt idx="2304">
                  <c:v>5.0311482250987912E-3</c:v>
                </c:pt>
                <c:pt idx="2305">
                  <c:v>6.0198221565385384E-3</c:v>
                </c:pt>
                <c:pt idx="2306">
                  <c:v>5.8757721070001696E-3</c:v>
                </c:pt>
                <c:pt idx="2307">
                  <c:v>5.8995995901310102E-3</c:v>
                </c:pt>
                <c:pt idx="2308">
                  <c:v>7.1102132449982402E-3</c:v>
                </c:pt>
                <c:pt idx="2309">
                  <c:v>7.1562043417821861E-3</c:v>
                </c:pt>
                <c:pt idx="2310">
                  <c:v>7.8274520838680327E-3</c:v>
                </c:pt>
                <c:pt idx="2311">
                  <c:v>7.4841307445665294E-3</c:v>
                </c:pt>
                <c:pt idx="2312">
                  <c:v>6.4101181902254589E-3</c:v>
                </c:pt>
                <c:pt idx="2313">
                  <c:v>6.4184459594677111E-3</c:v>
                </c:pt>
                <c:pt idx="2314">
                  <c:v>6.6869091120695572E-3</c:v>
                </c:pt>
                <c:pt idx="2315">
                  <c:v>5.5174518075917509E-3</c:v>
                </c:pt>
                <c:pt idx="2316">
                  <c:v>6.2087661335333581E-3</c:v>
                </c:pt>
                <c:pt idx="2317">
                  <c:v>5.848926269255982E-3</c:v>
                </c:pt>
                <c:pt idx="2318">
                  <c:v>8.2385111910970258E-3</c:v>
                </c:pt>
                <c:pt idx="2319">
                  <c:v>7.9918409062582699E-3</c:v>
                </c:pt>
                <c:pt idx="2320">
                  <c:v>8.0525268146029224E-3</c:v>
                </c:pt>
                <c:pt idx="2321">
                  <c:v>8.0455925069016481E-3</c:v>
                </c:pt>
                <c:pt idx="2322">
                  <c:v>8.131700562436785E-3</c:v>
                </c:pt>
                <c:pt idx="2323">
                  <c:v>8.0011750334121803E-3</c:v>
                </c:pt>
                <c:pt idx="2324">
                  <c:v>8.2150396753529753E-3</c:v>
                </c:pt>
                <c:pt idx="2325">
                  <c:v>5.5457885600855407E-3</c:v>
                </c:pt>
                <c:pt idx="2326">
                  <c:v>5.6093939858791637E-3</c:v>
                </c:pt>
                <c:pt idx="2327">
                  <c:v>5.4313859573313352E-3</c:v>
                </c:pt>
                <c:pt idx="2328">
                  <c:v>5.6902170652328244E-3</c:v>
                </c:pt>
                <c:pt idx="2329">
                  <c:v>6.1753712304642508E-3</c:v>
                </c:pt>
                <c:pt idx="2330">
                  <c:v>5.5824248261152872E-3</c:v>
                </c:pt>
                <c:pt idx="2331">
                  <c:v>5.5644953212723646E-3</c:v>
                </c:pt>
                <c:pt idx="2332">
                  <c:v>6.3204777424252156E-3</c:v>
                </c:pt>
                <c:pt idx="2333">
                  <c:v>6.869754973105555E-3</c:v>
                </c:pt>
                <c:pt idx="2334">
                  <c:v>6.4718684699634228E-3</c:v>
                </c:pt>
                <c:pt idx="2335">
                  <c:v>5.3653441969200152E-3</c:v>
                </c:pt>
                <c:pt idx="2336">
                  <c:v>6.0927370425946301E-3</c:v>
                </c:pt>
                <c:pt idx="2337">
                  <c:v>6.4830084612158331E-3</c:v>
                </c:pt>
                <c:pt idx="2338">
                  <c:v>6.5996508943102321E-3</c:v>
                </c:pt>
                <c:pt idx="2339">
                  <c:v>5.5743227288542864E-3</c:v>
                </c:pt>
                <c:pt idx="2340">
                  <c:v>6.4183118694250817E-3</c:v>
                </c:pt>
                <c:pt idx="2341">
                  <c:v>7.1884070450140419E-3</c:v>
                </c:pt>
                <c:pt idx="2342">
                  <c:v>7.8305506608489454E-3</c:v>
                </c:pt>
                <c:pt idx="2343">
                  <c:v>6.9653137927389985E-3</c:v>
                </c:pt>
                <c:pt idx="2344">
                  <c:v>8.5481731871128851E-3</c:v>
                </c:pt>
                <c:pt idx="2345">
                  <c:v>9.4223449713200635E-3</c:v>
                </c:pt>
                <c:pt idx="2346">
                  <c:v>9.3256035525578259E-3</c:v>
                </c:pt>
                <c:pt idx="2347">
                  <c:v>8.6883264428518764E-3</c:v>
                </c:pt>
                <c:pt idx="2348">
                  <c:v>7.6883719871698114E-3</c:v>
                </c:pt>
                <c:pt idx="2349">
                  <c:v>9.3938738949535788E-3</c:v>
                </c:pt>
                <c:pt idx="2350">
                  <c:v>9.6263528649356868E-3</c:v>
                </c:pt>
                <c:pt idx="2351">
                  <c:v>9.7573365844694955E-3</c:v>
                </c:pt>
                <c:pt idx="2352">
                  <c:v>9.5934640292253352E-3</c:v>
                </c:pt>
                <c:pt idx="2353">
                  <c:v>9.805816382823818E-3</c:v>
                </c:pt>
                <c:pt idx="2354">
                  <c:v>9.7398386053008951E-3</c:v>
                </c:pt>
                <c:pt idx="2355">
                  <c:v>1.279576732332359E-2</c:v>
                </c:pt>
                <c:pt idx="2356">
                  <c:v>9.4616572560306325E-3</c:v>
                </c:pt>
                <c:pt idx="2357">
                  <c:v>9.9083042973306876E-3</c:v>
                </c:pt>
                <c:pt idx="2358">
                  <c:v>9.9690702987762225E-3</c:v>
                </c:pt>
                <c:pt idx="2359">
                  <c:v>1.0496137817628362E-2</c:v>
                </c:pt>
                <c:pt idx="2360">
                  <c:v>1.3065603743165011E-2</c:v>
                </c:pt>
                <c:pt idx="2361">
                  <c:v>1.357829740629723E-2</c:v>
                </c:pt>
                <c:pt idx="2362">
                  <c:v>1.2345960427028313E-2</c:v>
                </c:pt>
                <c:pt idx="2363">
                  <c:v>1.2302585998345437E-2</c:v>
                </c:pt>
                <c:pt idx="2364">
                  <c:v>1.399957616683341E-2</c:v>
                </c:pt>
                <c:pt idx="2365">
                  <c:v>1.3830634149197961E-2</c:v>
                </c:pt>
                <c:pt idx="2366">
                  <c:v>1.3648264581681361E-2</c:v>
                </c:pt>
                <c:pt idx="2367">
                  <c:v>1.0339096881223784E-2</c:v>
                </c:pt>
                <c:pt idx="2368">
                  <c:v>8.8629831158254929E-3</c:v>
                </c:pt>
                <c:pt idx="2369">
                  <c:v>7.8246024495170884E-3</c:v>
                </c:pt>
                <c:pt idx="2370">
                  <c:v>6.0262955062969688E-3</c:v>
                </c:pt>
                <c:pt idx="2371">
                  <c:v>5.1423756725257385E-3</c:v>
                </c:pt>
                <c:pt idx="2372">
                  <c:v>7.1041941385528084E-3</c:v>
                </c:pt>
                <c:pt idx="2373">
                  <c:v>7.0491250317488872E-3</c:v>
                </c:pt>
                <c:pt idx="2374">
                  <c:v>7.069913864142509E-3</c:v>
                </c:pt>
                <c:pt idx="2375">
                  <c:v>7.4408796718516152E-3</c:v>
                </c:pt>
                <c:pt idx="2376">
                  <c:v>8.2914660292858038E-3</c:v>
                </c:pt>
                <c:pt idx="2377">
                  <c:v>8.9169408146198299E-3</c:v>
                </c:pt>
                <c:pt idx="2378">
                  <c:v>9.2498040003714862E-3</c:v>
                </c:pt>
                <c:pt idx="2379">
                  <c:v>1.2624646880164875E-2</c:v>
                </c:pt>
                <c:pt idx="2380">
                  <c:v>1.350469811155545E-2</c:v>
                </c:pt>
                <c:pt idx="2381">
                  <c:v>1.3725995292892207E-2</c:v>
                </c:pt>
                <c:pt idx="2382">
                  <c:v>1.3160325640962731E-2</c:v>
                </c:pt>
                <c:pt idx="2383">
                  <c:v>1.3288431514800692E-2</c:v>
                </c:pt>
                <c:pt idx="2384">
                  <c:v>1.3748610638727465E-2</c:v>
                </c:pt>
                <c:pt idx="2385">
                  <c:v>1.3103024304536999E-2</c:v>
                </c:pt>
                <c:pt idx="2386">
                  <c:v>1.0096593596439229E-2</c:v>
                </c:pt>
                <c:pt idx="2387">
                  <c:v>9.8427614751197667E-3</c:v>
                </c:pt>
                <c:pt idx="2388">
                  <c:v>9.7991643400818455E-3</c:v>
                </c:pt>
                <c:pt idx="2389">
                  <c:v>9.3193596358651237E-3</c:v>
                </c:pt>
                <c:pt idx="2390">
                  <c:v>6.802359280925486E-3</c:v>
                </c:pt>
                <c:pt idx="2391">
                  <c:v>6.3050356263328377E-3</c:v>
                </c:pt>
                <c:pt idx="2392">
                  <c:v>6.6417430887065155E-3</c:v>
                </c:pt>
                <c:pt idx="2393">
                  <c:v>5.6041946584371215E-3</c:v>
                </c:pt>
                <c:pt idx="2394">
                  <c:v>4.5140442767458936E-3</c:v>
                </c:pt>
                <c:pt idx="2395">
                  <c:v>4.4486260918007526E-3</c:v>
                </c:pt>
                <c:pt idx="2396">
                  <c:v>5.0876936214437956E-3</c:v>
                </c:pt>
                <c:pt idx="2397">
                  <c:v>4.2140779879123371E-3</c:v>
                </c:pt>
                <c:pt idx="2398">
                  <c:v>5.1759444733851384E-3</c:v>
                </c:pt>
                <c:pt idx="2399">
                  <c:v>6.6594205775148503E-3</c:v>
                </c:pt>
                <c:pt idx="2400">
                  <c:v>1.1317244817719832E-2</c:v>
                </c:pt>
                <c:pt idx="2401">
                  <c:v>1.1446820883403847E-2</c:v>
                </c:pt>
                <c:pt idx="2402">
                  <c:v>1.16388066871952E-2</c:v>
                </c:pt>
                <c:pt idx="2403">
                  <c:v>1.1140176305251695E-2</c:v>
                </c:pt>
                <c:pt idx="2404">
                  <c:v>1.059211732242722E-2</c:v>
                </c:pt>
                <c:pt idx="2405">
                  <c:v>1.0437087027691336E-2</c:v>
                </c:pt>
                <c:pt idx="2406">
                  <c:v>8.1438010305388345E-3</c:v>
                </c:pt>
                <c:pt idx="2407">
                  <c:v>5.082920588150565E-3</c:v>
                </c:pt>
                <c:pt idx="2408">
                  <c:v>4.8491795129986916E-3</c:v>
                </c:pt>
                <c:pt idx="2409">
                  <c:v>6.7392341045880867E-3</c:v>
                </c:pt>
                <c:pt idx="2410">
                  <c:v>1.0330577394780325E-2</c:v>
                </c:pt>
                <c:pt idx="2411">
                  <c:v>1.2262795933467028E-2</c:v>
                </c:pt>
                <c:pt idx="2412">
                  <c:v>1.3072219102902686E-2</c:v>
                </c:pt>
                <c:pt idx="2413">
                  <c:v>1.3681895301461678E-2</c:v>
                </c:pt>
                <c:pt idx="2414">
                  <c:v>1.3354604341376008E-2</c:v>
                </c:pt>
                <c:pt idx="2415">
                  <c:v>1.5575758395900917E-2</c:v>
                </c:pt>
                <c:pt idx="2416">
                  <c:v>1.5044008014457601E-2</c:v>
                </c:pt>
                <c:pt idx="2417">
                  <c:v>1.4684224556618154E-2</c:v>
                </c:pt>
                <c:pt idx="2418">
                  <c:v>1.2693054399791116E-2</c:v>
                </c:pt>
                <c:pt idx="2419">
                  <c:v>1.2267089307355166E-2</c:v>
                </c:pt>
                <c:pt idx="2420">
                  <c:v>1.1927951570624488E-2</c:v>
                </c:pt>
                <c:pt idx="2421">
                  <c:v>1.1922882026393494E-2</c:v>
                </c:pt>
                <c:pt idx="2422">
                  <c:v>5.513588065313416E-3</c:v>
                </c:pt>
                <c:pt idx="2423">
                  <c:v>5.3453603659684617E-3</c:v>
                </c:pt>
                <c:pt idx="2424">
                  <c:v>4.9733398020698561E-3</c:v>
                </c:pt>
                <c:pt idx="2425">
                  <c:v>4.1549703535404704E-3</c:v>
                </c:pt>
                <c:pt idx="2426">
                  <c:v>4.0442345725049027E-3</c:v>
                </c:pt>
                <c:pt idx="2427">
                  <c:v>4.3236853662505315E-3</c:v>
                </c:pt>
                <c:pt idx="2428">
                  <c:v>4.5333585585777825E-3</c:v>
                </c:pt>
                <c:pt idx="2429">
                  <c:v>8.3085266015752689E-3</c:v>
                </c:pt>
                <c:pt idx="2430">
                  <c:v>7.0083708267601897E-3</c:v>
                </c:pt>
                <c:pt idx="2431">
                  <c:v>9.0391224411427214E-3</c:v>
                </c:pt>
                <c:pt idx="2432">
                  <c:v>8.9567409414044383E-3</c:v>
                </c:pt>
                <c:pt idx="2433">
                  <c:v>8.7946356758854191E-3</c:v>
                </c:pt>
                <c:pt idx="2434">
                  <c:v>8.7903641277416369E-3</c:v>
                </c:pt>
                <c:pt idx="2435">
                  <c:v>8.7696280580434362E-3</c:v>
                </c:pt>
                <c:pt idx="2436">
                  <c:v>7.2707834892831412E-3</c:v>
                </c:pt>
                <c:pt idx="2437">
                  <c:v>7.3527851443602275E-3</c:v>
                </c:pt>
                <c:pt idx="2438">
                  <c:v>4.4935744398174335E-3</c:v>
                </c:pt>
                <c:pt idx="2439">
                  <c:v>4.8315133029910376E-3</c:v>
                </c:pt>
                <c:pt idx="2440">
                  <c:v>6.4445359005664421E-3</c:v>
                </c:pt>
                <c:pt idx="2441">
                  <c:v>6.6418007128407923E-3</c:v>
                </c:pt>
                <c:pt idx="2442">
                  <c:v>6.5008491198086833E-3</c:v>
                </c:pt>
                <c:pt idx="2443">
                  <c:v>6.4902318983766326E-3</c:v>
                </c:pt>
                <c:pt idx="2444">
                  <c:v>7.2997297070687174E-3</c:v>
                </c:pt>
                <c:pt idx="2445">
                  <c:v>7.3014562330331314E-3</c:v>
                </c:pt>
                <c:pt idx="2446">
                  <c:v>7.4387282350825831E-3</c:v>
                </c:pt>
                <c:pt idx="2447">
                  <c:v>5.5541250454530103E-3</c:v>
                </c:pt>
                <c:pt idx="2448">
                  <c:v>5.7027812917377282E-3</c:v>
                </c:pt>
                <c:pt idx="2449">
                  <c:v>5.7059630721481994E-3</c:v>
                </c:pt>
                <c:pt idx="2450">
                  <c:v>6.5471221142148371E-3</c:v>
                </c:pt>
                <c:pt idx="2451">
                  <c:v>5.8353688906120117E-3</c:v>
                </c:pt>
                <c:pt idx="2452">
                  <c:v>6.2917266031910397E-3</c:v>
                </c:pt>
                <c:pt idx="2453">
                  <c:v>6.6818233677567633E-3</c:v>
                </c:pt>
                <c:pt idx="2454">
                  <c:v>6.6389644988476843E-3</c:v>
                </c:pt>
                <c:pt idx="2455">
                  <c:v>7.6199402196385534E-3</c:v>
                </c:pt>
                <c:pt idx="2456">
                  <c:v>8.1111064118522102E-3</c:v>
                </c:pt>
                <c:pt idx="2457">
                  <c:v>6.8180457440179514E-3</c:v>
                </c:pt>
                <c:pt idx="2458">
                  <c:v>6.4291011231235751E-3</c:v>
                </c:pt>
                <c:pt idx="2459">
                  <c:v>5.1318881472148534E-3</c:v>
                </c:pt>
                <c:pt idx="2460">
                  <c:v>3.3449432590243219E-3</c:v>
                </c:pt>
                <c:pt idx="2461">
                  <c:v>3.4857908928062312E-3</c:v>
                </c:pt>
                <c:pt idx="2462">
                  <c:v>3.1172604039024806E-3</c:v>
                </c:pt>
                <c:pt idx="2463">
                  <c:v>2.5145010304795947E-3</c:v>
                </c:pt>
                <c:pt idx="2464">
                  <c:v>3.0512103115265146E-3</c:v>
                </c:pt>
                <c:pt idx="2465">
                  <c:v>3.8159052046880756E-3</c:v>
                </c:pt>
                <c:pt idx="2466">
                  <c:v>6.7141825768353702E-3</c:v>
                </c:pt>
                <c:pt idx="2467">
                  <c:v>5.9413692162570315E-3</c:v>
                </c:pt>
                <c:pt idx="2468">
                  <c:v>5.2961105044636173E-3</c:v>
                </c:pt>
                <c:pt idx="2469">
                  <c:v>1.0244612319273691E-2</c:v>
                </c:pt>
                <c:pt idx="2470">
                  <c:v>1.238883882260396E-2</c:v>
                </c:pt>
                <c:pt idx="2471">
                  <c:v>1.2270446700267097E-2</c:v>
                </c:pt>
                <c:pt idx="2472">
                  <c:v>1.1974980549009298E-2</c:v>
                </c:pt>
                <c:pt idx="2473">
                  <c:v>9.8409985557858307E-3</c:v>
                </c:pt>
                <c:pt idx="2474">
                  <c:v>1.1550947646587161E-2</c:v>
                </c:pt>
                <c:pt idx="2475">
                  <c:v>1.3986573798186392E-2</c:v>
                </c:pt>
                <c:pt idx="2476">
                  <c:v>1.7808199156966784E-2</c:v>
                </c:pt>
                <c:pt idx="2477">
                  <c:v>2.2069730912167893E-2</c:v>
                </c:pt>
                <c:pt idx="2478">
                  <c:v>2.2026621255566269E-2</c:v>
                </c:pt>
                <c:pt idx="2479">
                  <c:v>2.2645454121470482E-2</c:v>
                </c:pt>
                <c:pt idx="2480">
                  <c:v>2.2360315223613092E-2</c:v>
                </c:pt>
                <c:pt idx="2481">
                  <c:v>2.2693384054112462E-2</c:v>
                </c:pt>
                <c:pt idx="2482">
                  <c:v>2.0444498822086848E-2</c:v>
                </c:pt>
                <c:pt idx="2483">
                  <c:v>1.7696974830685983E-2</c:v>
                </c:pt>
                <c:pt idx="2484">
                  <c:v>1.2753271989199597E-2</c:v>
                </c:pt>
                <c:pt idx="2485">
                  <c:v>1.4050818463967597E-2</c:v>
                </c:pt>
                <c:pt idx="2486">
                  <c:v>1.3337339217617221E-2</c:v>
                </c:pt>
                <c:pt idx="2487">
                  <c:v>1.3892011943737546E-2</c:v>
                </c:pt>
                <c:pt idx="2488">
                  <c:v>1.0937367721525129E-2</c:v>
                </c:pt>
                <c:pt idx="2489">
                  <c:v>1.1453697433233724E-2</c:v>
                </c:pt>
                <c:pt idx="2490">
                  <c:v>8.5433825275035551E-3</c:v>
                </c:pt>
                <c:pt idx="2491">
                  <c:v>8.3988804261635307E-3</c:v>
                </c:pt>
                <c:pt idx="2492">
                  <c:v>7.6038423102718E-3</c:v>
                </c:pt>
                <c:pt idx="2493">
                  <c:v>7.940828404042222E-3</c:v>
                </c:pt>
                <c:pt idx="2494">
                  <c:v>7.7795253904046069E-3</c:v>
                </c:pt>
                <c:pt idx="2495">
                  <c:v>7.9518321688596093E-3</c:v>
                </c:pt>
                <c:pt idx="2496">
                  <c:v>7.7343267052297996E-3</c:v>
                </c:pt>
                <c:pt idx="2497">
                  <c:v>7.4616785075638497E-3</c:v>
                </c:pt>
                <c:pt idx="2498">
                  <c:v>7.9901126001632929E-3</c:v>
                </c:pt>
                <c:pt idx="2499">
                  <c:v>8.3192458002089523E-3</c:v>
                </c:pt>
                <c:pt idx="2500">
                  <c:v>7.3343645900415437E-3</c:v>
                </c:pt>
                <c:pt idx="2501">
                  <c:v>4.0372887577893573E-3</c:v>
                </c:pt>
                <c:pt idx="2502">
                  <c:v>6.5028845807335129E-3</c:v>
                </c:pt>
                <c:pt idx="2503">
                  <c:v>6.5303587100721278E-3</c:v>
                </c:pt>
                <c:pt idx="2504">
                  <c:v>6.5558660585760273E-3</c:v>
                </c:pt>
                <c:pt idx="2505">
                  <c:v>7.3031536469251972E-3</c:v>
                </c:pt>
                <c:pt idx="2506">
                  <c:v>7.0854641724142917E-3</c:v>
                </c:pt>
                <c:pt idx="2507">
                  <c:v>9.3830695510510181E-3</c:v>
                </c:pt>
                <c:pt idx="2508">
                  <c:v>9.3700102260225755E-3</c:v>
                </c:pt>
                <c:pt idx="2509">
                  <c:v>8.8242373291575853E-3</c:v>
                </c:pt>
                <c:pt idx="2510">
                  <c:v>9.0206429627389274E-3</c:v>
                </c:pt>
                <c:pt idx="2511">
                  <c:v>1.0299717961201363E-2</c:v>
                </c:pt>
                <c:pt idx="2512">
                  <c:v>8.1987320751662086E-3</c:v>
                </c:pt>
                <c:pt idx="2513">
                  <c:v>8.0515581227237724E-3</c:v>
                </c:pt>
                <c:pt idx="2514">
                  <c:v>9.947236865775878E-3</c:v>
                </c:pt>
                <c:pt idx="2515">
                  <c:v>9.4527564759119328E-3</c:v>
                </c:pt>
                <c:pt idx="2516">
                  <c:v>7.9716807351678156E-3</c:v>
                </c:pt>
                <c:pt idx="2517">
                  <c:v>8.2340742729860982E-3</c:v>
                </c:pt>
                <c:pt idx="2518">
                  <c:v>8.0203442642548042E-3</c:v>
                </c:pt>
                <c:pt idx="2519">
                  <c:v>7.9920131463943576E-3</c:v>
                </c:pt>
                <c:pt idx="2520">
                  <c:v>8.0279421733776713E-3</c:v>
                </c:pt>
                <c:pt idx="2521">
                  <c:v>6.0387457362388068E-3</c:v>
                </c:pt>
                <c:pt idx="2522">
                  <c:v>6.0368611420848432E-3</c:v>
                </c:pt>
                <c:pt idx="2523">
                  <c:v>5.9916427743436423E-3</c:v>
                </c:pt>
                <c:pt idx="2524">
                  <c:v>6.1281435530034754E-3</c:v>
                </c:pt>
                <c:pt idx="2525">
                  <c:v>6.1633935024441684E-3</c:v>
                </c:pt>
                <c:pt idx="2526">
                  <c:v>7.8493732095627697E-3</c:v>
                </c:pt>
                <c:pt idx="2527">
                  <c:v>6.2869467947621223E-3</c:v>
                </c:pt>
                <c:pt idx="2528">
                  <c:v>6.6803459710545248E-3</c:v>
                </c:pt>
                <c:pt idx="2529">
                  <c:v>6.6555055976132713E-3</c:v>
                </c:pt>
                <c:pt idx="2530">
                  <c:v>6.9981061850643263E-3</c:v>
                </c:pt>
                <c:pt idx="2531">
                  <c:v>7.3447927849424194E-3</c:v>
                </c:pt>
                <c:pt idx="2532">
                  <c:v>9.7585201312026405E-3</c:v>
                </c:pt>
                <c:pt idx="2533">
                  <c:v>7.8743581964264321E-3</c:v>
                </c:pt>
                <c:pt idx="2534">
                  <c:v>7.7860327782276308E-3</c:v>
                </c:pt>
                <c:pt idx="2535">
                  <c:v>7.7555095195748604E-3</c:v>
                </c:pt>
                <c:pt idx="2536">
                  <c:v>9.6148391835899072E-3</c:v>
                </c:pt>
                <c:pt idx="2537">
                  <c:v>1.0109815191065102E-2</c:v>
                </c:pt>
                <c:pt idx="2538">
                  <c:v>1.0066915669628517E-2</c:v>
                </c:pt>
                <c:pt idx="2539">
                  <c:v>1.049812759741392E-2</c:v>
                </c:pt>
                <c:pt idx="2540">
                  <c:v>9.5513989383312712E-3</c:v>
                </c:pt>
                <c:pt idx="2541">
                  <c:v>1.1073466134750172E-2</c:v>
                </c:pt>
                <c:pt idx="2542">
                  <c:v>1.1890759867416197E-2</c:v>
                </c:pt>
                <c:pt idx="2543">
                  <c:v>1.0969360793249467E-2</c:v>
                </c:pt>
                <c:pt idx="2544">
                  <c:v>1.0355219835367071E-2</c:v>
                </c:pt>
                <c:pt idx="2545">
                  <c:v>1.1428827470173191E-2</c:v>
                </c:pt>
                <c:pt idx="2546">
                  <c:v>8.3154023702456809E-3</c:v>
                </c:pt>
                <c:pt idx="2547">
                  <c:v>6.4324826037664151E-3</c:v>
                </c:pt>
                <c:pt idx="2548">
                  <c:v>9.6706525247868998E-3</c:v>
                </c:pt>
                <c:pt idx="2549">
                  <c:v>9.846980187466969E-3</c:v>
                </c:pt>
                <c:pt idx="2550">
                  <c:v>9.9605251877434801E-3</c:v>
                </c:pt>
                <c:pt idx="2551">
                  <c:v>1.0138714474638487E-2</c:v>
                </c:pt>
                <c:pt idx="2552">
                  <c:v>1.0539926382378575E-2</c:v>
                </c:pt>
                <c:pt idx="2553">
                  <c:v>1.1305179441032187E-2</c:v>
                </c:pt>
                <c:pt idx="2554">
                  <c:v>1.2469881690025606E-2</c:v>
                </c:pt>
                <c:pt idx="2555">
                  <c:v>9.2872160372448817E-3</c:v>
                </c:pt>
                <c:pt idx="2556">
                  <c:v>7.3155630725965882E-3</c:v>
                </c:pt>
                <c:pt idx="2557">
                  <c:v>7.4140553847950952E-3</c:v>
                </c:pt>
                <c:pt idx="2558">
                  <c:v>1.0858036273042123E-2</c:v>
                </c:pt>
                <c:pt idx="2559">
                  <c:v>1.3551817316865078E-2</c:v>
                </c:pt>
                <c:pt idx="2560">
                  <c:v>1.3134812153173006E-2</c:v>
                </c:pt>
                <c:pt idx="2561">
                  <c:v>1.3860093605904152E-2</c:v>
                </c:pt>
                <c:pt idx="2562">
                  <c:v>1.3878131004419108E-2</c:v>
                </c:pt>
                <c:pt idx="2563">
                  <c:v>1.1698924279221215E-2</c:v>
                </c:pt>
                <c:pt idx="2564">
                  <c:v>1.0827607307994317E-2</c:v>
                </c:pt>
                <c:pt idx="2565">
                  <c:v>1.5742573543398725E-2</c:v>
                </c:pt>
                <c:pt idx="2566">
                  <c:v>1.689640714409189E-2</c:v>
                </c:pt>
                <c:pt idx="2567">
                  <c:v>1.9042040286638123E-2</c:v>
                </c:pt>
                <c:pt idx="2568">
                  <c:v>1.6952075278936433E-2</c:v>
                </c:pt>
                <c:pt idx="2569">
                  <c:v>1.9653954623014898E-2</c:v>
                </c:pt>
                <c:pt idx="2570">
                  <c:v>1.9156479721177802E-2</c:v>
                </c:pt>
                <c:pt idx="2571">
                  <c:v>1.8820872442159409E-2</c:v>
                </c:pt>
                <c:pt idx="2572">
                  <c:v>1.8099000224353266E-2</c:v>
                </c:pt>
                <c:pt idx="2573">
                  <c:v>1.5541143691943095E-2</c:v>
                </c:pt>
                <c:pt idx="2574">
                  <c:v>1.6118372950651348E-2</c:v>
                </c:pt>
                <c:pt idx="2575">
                  <c:v>1.6116360178845591E-2</c:v>
                </c:pt>
                <c:pt idx="2576">
                  <c:v>1.3865131738210124E-2</c:v>
                </c:pt>
                <c:pt idx="2577">
                  <c:v>1.415101911275644E-2</c:v>
                </c:pt>
                <c:pt idx="2578">
                  <c:v>1.4124951544614297E-2</c:v>
                </c:pt>
                <c:pt idx="2579">
                  <c:v>1.2278220654778517E-2</c:v>
                </c:pt>
                <c:pt idx="2580">
                  <c:v>1.2820568193280268E-2</c:v>
                </c:pt>
                <c:pt idx="2581">
                  <c:v>1.2428353420937219E-2</c:v>
                </c:pt>
                <c:pt idx="2582">
                  <c:v>1.233264244399203E-2</c:v>
                </c:pt>
                <c:pt idx="2583">
                  <c:v>1.834986463006107E-2</c:v>
                </c:pt>
                <c:pt idx="2584">
                  <c:v>1.83240681904695E-2</c:v>
                </c:pt>
                <c:pt idx="2585">
                  <c:v>1.8254347149057121E-2</c:v>
                </c:pt>
                <c:pt idx="2586">
                  <c:v>1.9155571655551248E-2</c:v>
                </c:pt>
                <c:pt idx="2587">
                  <c:v>1.9633028713322828E-2</c:v>
                </c:pt>
                <c:pt idx="2588">
                  <c:v>1.4140150034860874E-2</c:v>
                </c:pt>
                <c:pt idx="2589">
                  <c:v>1.4332590989159167E-2</c:v>
                </c:pt>
                <c:pt idx="2590">
                  <c:v>1.1020684738939864E-2</c:v>
                </c:pt>
                <c:pt idx="2591">
                  <c:v>8.2020942927182715E-3</c:v>
                </c:pt>
                <c:pt idx="2592">
                  <c:v>1.0476454906450841E-2</c:v>
                </c:pt>
                <c:pt idx="2593">
                  <c:v>9.8865957606317414E-3</c:v>
                </c:pt>
                <c:pt idx="2594">
                  <c:v>9.7234410147101144E-3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DB-4C46-90C8-9141A8B7D2D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55664"/>
        <c:axId val="188740784"/>
      </c:lineChart>
      <c:dateAx>
        <c:axId val="18875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7369619460050977"/>
              <c:y val="0.936014171224558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0784"/>
        <c:crosses val="autoZero"/>
        <c:auto val="1"/>
        <c:lblOffset val="100"/>
        <c:baseTimeUnit val="days"/>
      </c:dateAx>
      <c:valAx>
        <c:axId val="18874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VOLATILITY</a:t>
                </a:r>
              </a:p>
            </c:rich>
          </c:tx>
          <c:layout>
            <c:manualLayout>
              <c:xMode val="edge"/>
              <c:yMode val="edge"/>
              <c:x val="1.1943925620378782E-2"/>
              <c:y val="0.36487523803289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JSE ALSI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JSE ALSI Prices</a:t>
          </a:r>
        </a:p>
      </cx:txPr>
    </cx:title>
    <cx:plotArea>
      <cx:plotAreaRegion>
        <cx:series layoutId="clusteredColumn" uniqueId="{00000001-1025-41A1-B1DC-80233C93A747}">
          <cx:dataLabels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9FA287A7-15DB-4FDF-92D8-A79F52A3AD8A}">
          <cx:axisId val="2"/>
        </cx:series>
      </cx:plotAreaRegion>
      <cx:axis id="0">
        <cx:catScaling gapWidth="0"/>
        <cx:title>
          <cx:tx>
            <cx:txData>
              <cx:v>Price Intervals (Bins)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Price Intervals (Bins) 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  <cx:axis id="2">
        <cx:valScaling max="1"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 </a:t>
                </a:r>
                <a:r>
                  <a:rPr lang="en-US" sz="14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Relative Frequency (%)</a:t>
                </a:r>
              </a:p>
            </cx:rich>
          </cx:tx>
        </cx:title>
        <cx:units unit="percentage"/>
        <cx:tickLabels/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landscape" blackAndWhite="0" draft="0" useFirstPageNumber="0" horizontalDpi="600" verticalDpi="600" copies="1"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Distribution of JSE ALSI Log Returns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JSE ALSI Log Returns</a:t>
          </a:r>
        </a:p>
      </cx:txPr>
    </cx:title>
    <cx:plotArea>
      <cx:plotAreaRegion>
        <cx:series layoutId="clusteredColumn" uniqueId="{00000001-C8EE-419C-94F1-54021F13A05A}">
          <cx:dataId val="0"/>
          <cx:layoutPr>
            <cx:binning intervalClosed="r"/>
          </cx:layoutPr>
          <cx:axisId val="1"/>
        </cx:series>
        <cx:series layoutId="paretoLine" ownerIdx="0" uniqueId="{C3AECC03-6700-4CF9-812B-FF3D910E20EA}">
          <cx:axisId val="2"/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4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Log Return Intervals (Bins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)</a:t>
                </a:r>
              </a:p>
            </cx:rich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  <cx:axis id="2">
        <cx:valScaling max="1" min="0"/>
        <cx:title>
          <cx:tx>
            <cx:txData>
              <cx:v>Relative Frequency (%)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Relative Frequency (%)</a:t>
              </a:r>
            </a:p>
          </cx:txPr>
        </cx:title>
        <cx:units unit="percentage"/>
        <cx:tickLabels/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849647</xdr:colOff>
      <xdr:row>2614</xdr:row>
      <xdr:rowOff>130935</xdr:rowOff>
    </xdr:from>
    <xdr:to>
      <xdr:col>12</xdr:col>
      <xdr:colOff>411409</xdr:colOff>
      <xdr:row>2651</xdr:row>
      <xdr:rowOff>44718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5E4496-80EF-03D6-2838-F189A8DA8E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9647" y="491084315"/>
              <a:ext cx="9525001" cy="68630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858592</xdr:colOff>
      <xdr:row>2652</xdr:row>
      <xdr:rowOff>134155</xdr:rowOff>
    </xdr:from>
    <xdr:to>
      <xdr:col>12</xdr:col>
      <xdr:colOff>393522</xdr:colOff>
      <xdr:row>2689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C39D67F-1225-A22E-7553-A70B1BEB72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8592" y="498224578"/>
              <a:ext cx="9498169" cy="6815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849648</xdr:colOff>
      <xdr:row>2690</xdr:row>
      <xdr:rowOff>95159</xdr:rowOff>
    </xdr:from>
    <xdr:to>
      <xdr:col>12</xdr:col>
      <xdr:colOff>500844</xdr:colOff>
      <xdr:row>2719</xdr:row>
      <xdr:rowOff>178872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1A37C3-B750-B1CB-1BBD-C37433AAC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804929</xdr:colOff>
      <xdr:row>2721</xdr:row>
      <xdr:rowOff>5724</xdr:rowOff>
    </xdr:from>
    <xdr:to>
      <xdr:col>12</xdr:col>
      <xdr:colOff>402465</xdr:colOff>
      <xdr:row>2747</xdr:row>
      <xdr:rowOff>53663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88CAB6-3BC5-DE46-13B2-2D71FFF91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858592</xdr:colOff>
      <xdr:row>2750</xdr:row>
      <xdr:rowOff>89435</xdr:rowOff>
    </xdr:from>
    <xdr:to>
      <xdr:col>12</xdr:col>
      <xdr:colOff>465071</xdr:colOff>
      <xdr:row>2778</xdr:row>
      <xdr:rowOff>8943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FFE8C9-7B51-B895-6746-DD217F6B1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86D4-50B7-45D1-967E-F2E44ADE6CA2}">
  <dimension ref="A1:N2613"/>
  <sheetViews>
    <sheetView tabSelected="1" topLeftCell="A2760" zoomScale="71" zoomScaleNormal="100" workbookViewId="0">
      <selection activeCell="H2782" sqref="H2782"/>
    </sheetView>
  </sheetViews>
  <sheetFormatPr defaultRowHeight="14.5" x14ac:dyDescent="0.35"/>
  <cols>
    <col min="1" max="1" width="18.36328125" style="1" customWidth="1"/>
    <col min="2" max="2" width="18.08984375" style="2" customWidth="1"/>
    <col min="3" max="3" width="13.81640625" customWidth="1"/>
    <col min="6" max="6" width="13.36328125" customWidth="1"/>
    <col min="8" max="8" width="17.453125" style="7" customWidth="1"/>
    <col min="9" max="9" width="15.36328125" style="9" customWidth="1"/>
    <col min="10" max="10" width="18.81640625" style="9" customWidth="1"/>
    <col min="11" max="11" width="18.90625" style="9" customWidth="1"/>
    <col min="12" max="12" width="18.81640625" style="9" customWidth="1"/>
    <col min="13" max="13" width="16.81640625" style="9" customWidth="1"/>
    <col min="14" max="14" width="13.7265625" style="9" customWidth="1"/>
  </cols>
  <sheetData>
    <row r="1" spans="1:14" s="5" customFormat="1" x14ac:dyDescent="0.35">
      <c r="A1" s="3" t="s">
        <v>0</v>
      </c>
      <c r="B1" s="4" t="s">
        <v>1</v>
      </c>
      <c r="C1" s="5" t="s">
        <v>2602</v>
      </c>
      <c r="D1" s="5" t="s">
        <v>2603</v>
      </c>
      <c r="E1" s="5" t="s">
        <v>2604</v>
      </c>
      <c r="F1" s="5" t="s">
        <v>2605</v>
      </c>
      <c r="G1" s="5" t="s">
        <v>2609</v>
      </c>
      <c r="H1" s="6" t="s">
        <v>2608</v>
      </c>
      <c r="I1" s="8" t="s">
        <v>2607</v>
      </c>
      <c r="J1" s="8" t="s">
        <v>2606</v>
      </c>
      <c r="K1" s="8" t="s">
        <v>2610</v>
      </c>
      <c r="L1" s="8" t="s">
        <v>2611</v>
      </c>
      <c r="M1" s="8" t="s">
        <v>2612</v>
      </c>
      <c r="N1" s="8" t="s">
        <v>2613</v>
      </c>
    </row>
    <row r="2" spans="1:14" x14ac:dyDescent="0.35">
      <c r="A2" s="1">
        <v>42373</v>
      </c>
      <c r="B2" s="2" t="s">
        <v>2</v>
      </c>
      <c r="C2">
        <f>_xlfn.NUMBERVALUE(B2,".",",")</f>
        <v>113596.87</v>
      </c>
      <c r="D2">
        <f>YEAR(A2)</f>
        <v>2016</v>
      </c>
      <c r="E2">
        <f>MONTH(A2)</f>
        <v>1</v>
      </c>
      <c r="F2" t="str">
        <f>TEXT(A2,"mmmm")</f>
        <v>January</v>
      </c>
      <c r="G2">
        <f>DAY(A2)</f>
        <v>4</v>
      </c>
    </row>
    <row r="3" spans="1:14" x14ac:dyDescent="0.35">
      <c r="A3" s="1">
        <v>42374</v>
      </c>
      <c r="B3" s="2" t="s">
        <v>3</v>
      </c>
      <c r="C3">
        <f t="shared" ref="C3:C66" si="0">_xlfn.NUMBERVALUE(B3,".",",")</f>
        <v>114006.15</v>
      </c>
      <c r="D3">
        <f t="shared" ref="D3:D66" si="1">YEAR(A3)</f>
        <v>2016</v>
      </c>
      <c r="E3">
        <f t="shared" ref="E3:E66" si="2">MONTH(A3)</f>
        <v>1</v>
      </c>
      <c r="F3" t="str">
        <f>TEXT(A3,"mmmm")</f>
        <v>January</v>
      </c>
      <c r="G3">
        <f t="shared" ref="G3:G66" si="3">DAY(A3)</f>
        <v>5</v>
      </c>
      <c r="H3" s="7">
        <f>((C3-C2)/C2)*100</f>
        <v>0.36029161718980363</v>
      </c>
      <c r="I3" s="9">
        <f>LN(C3/C2)</f>
        <v>3.5964412172457931E-3</v>
      </c>
    </row>
    <row r="4" spans="1:14" x14ac:dyDescent="0.35">
      <c r="A4" s="1">
        <v>42375</v>
      </c>
      <c r="B4" s="2" t="s">
        <v>4</v>
      </c>
      <c r="C4">
        <f t="shared" si="0"/>
        <v>112032.26</v>
      </c>
      <c r="D4">
        <f t="shared" si="1"/>
        <v>2016</v>
      </c>
      <c r="E4">
        <f t="shared" si="2"/>
        <v>1</v>
      </c>
      <c r="F4" t="str">
        <f t="shared" ref="F4:F67" si="4">TEXT(A4,"mmmm")</f>
        <v>January</v>
      </c>
      <c r="G4">
        <f t="shared" si="3"/>
        <v>6</v>
      </c>
      <c r="H4" s="7">
        <f t="shared" ref="H4:H67" si="5">((C4-C3)/C3)*100</f>
        <v>-1.7313890522572681</v>
      </c>
      <c r="I4" s="9">
        <f t="shared" ref="I4:I67" si="6">LN(C4/C3)</f>
        <v>-1.7465528772751815E-2</v>
      </c>
    </row>
    <row r="5" spans="1:14" x14ac:dyDescent="0.35">
      <c r="A5" s="1">
        <v>42376</v>
      </c>
      <c r="B5" s="2" t="s">
        <v>5</v>
      </c>
      <c r="C5">
        <f t="shared" si="0"/>
        <v>114632.29</v>
      </c>
      <c r="D5">
        <f t="shared" si="1"/>
        <v>2016</v>
      </c>
      <c r="E5">
        <f t="shared" si="2"/>
        <v>1</v>
      </c>
      <c r="F5" t="str">
        <f t="shared" si="4"/>
        <v>January</v>
      </c>
      <c r="G5">
        <f t="shared" si="3"/>
        <v>7</v>
      </c>
      <c r="H5" s="7">
        <f t="shared" si="5"/>
        <v>2.3207868876339717</v>
      </c>
      <c r="I5" s="9">
        <f t="shared" si="6"/>
        <v>2.2942661710645088E-2</v>
      </c>
    </row>
    <row r="6" spans="1:14" x14ac:dyDescent="0.35">
      <c r="A6" s="1">
        <v>42377</v>
      </c>
      <c r="B6" s="2" t="s">
        <v>6</v>
      </c>
      <c r="C6">
        <f t="shared" si="0"/>
        <v>115096.47</v>
      </c>
      <c r="D6">
        <f t="shared" si="1"/>
        <v>2016</v>
      </c>
      <c r="E6">
        <f t="shared" si="2"/>
        <v>1</v>
      </c>
      <c r="F6" t="str">
        <f t="shared" si="4"/>
        <v>January</v>
      </c>
      <c r="G6">
        <f t="shared" si="3"/>
        <v>8</v>
      </c>
      <c r="H6" s="7">
        <f t="shared" si="5"/>
        <v>0.40492953599723747</v>
      </c>
      <c r="I6" s="9">
        <f t="shared" si="6"/>
        <v>4.0411190283387525E-3</v>
      </c>
    </row>
    <row r="7" spans="1:14" x14ac:dyDescent="0.35">
      <c r="A7" s="1">
        <v>42380</v>
      </c>
      <c r="B7" s="2" t="s">
        <v>7</v>
      </c>
      <c r="C7">
        <f t="shared" si="0"/>
        <v>115426.89</v>
      </c>
      <c r="D7">
        <f t="shared" si="1"/>
        <v>2016</v>
      </c>
      <c r="E7">
        <f t="shared" si="2"/>
        <v>1</v>
      </c>
      <c r="F7" t="str">
        <f t="shared" si="4"/>
        <v>January</v>
      </c>
      <c r="G7">
        <f t="shared" si="3"/>
        <v>11</v>
      </c>
      <c r="H7" s="7">
        <f t="shared" si="5"/>
        <v>0.28708091568750826</v>
      </c>
      <c r="I7" s="9">
        <f t="shared" si="6"/>
        <v>2.8666962539600177E-3</v>
      </c>
    </row>
    <row r="8" spans="1:14" x14ac:dyDescent="0.35">
      <c r="A8" s="1">
        <v>42381</v>
      </c>
      <c r="B8" s="2" t="s">
        <v>8</v>
      </c>
      <c r="C8">
        <f t="shared" si="0"/>
        <v>115818.32</v>
      </c>
      <c r="D8">
        <f t="shared" si="1"/>
        <v>2016</v>
      </c>
      <c r="E8">
        <f t="shared" si="2"/>
        <v>1</v>
      </c>
      <c r="F8" t="str">
        <f t="shared" si="4"/>
        <v>January</v>
      </c>
      <c r="G8">
        <f t="shared" si="3"/>
        <v>12</v>
      </c>
      <c r="H8" s="7">
        <f t="shared" si="5"/>
        <v>0.33911508834727122</v>
      </c>
      <c r="I8" s="9">
        <f t="shared" si="6"/>
        <v>3.3854138976465603E-3</v>
      </c>
      <c r="J8" s="9">
        <f>AVERAGE(C2:C8)</f>
        <v>114372.75</v>
      </c>
    </row>
    <row r="9" spans="1:14" x14ac:dyDescent="0.35">
      <c r="A9" s="1">
        <v>42382</v>
      </c>
      <c r="B9" s="2" t="s">
        <v>9</v>
      </c>
      <c r="C9">
        <f t="shared" si="0"/>
        <v>115994.17</v>
      </c>
      <c r="D9">
        <f t="shared" si="1"/>
        <v>2016</v>
      </c>
      <c r="E9">
        <f t="shared" si="2"/>
        <v>1</v>
      </c>
      <c r="F9" t="str">
        <f t="shared" si="4"/>
        <v>January</v>
      </c>
      <c r="G9">
        <f t="shared" si="3"/>
        <v>13</v>
      </c>
      <c r="H9" s="7">
        <f t="shared" si="5"/>
        <v>0.15183262889669893</v>
      </c>
      <c r="I9" s="9">
        <f t="shared" si="6"/>
        <v>1.5171747970201765E-3</v>
      </c>
      <c r="J9" s="9">
        <f t="shared" ref="J9:J72" si="7">AVERAGE(C3:C9)</f>
        <v>114715.22142857141</v>
      </c>
      <c r="M9" s="9">
        <f>STDEV(I3:I9)</f>
        <v>1.1692949844126966E-2</v>
      </c>
    </row>
    <row r="10" spans="1:14" x14ac:dyDescent="0.35">
      <c r="A10" s="1">
        <v>42383</v>
      </c>
      <c r="B10" s="2" t="s">
        <v>10</v>
      </c>
      <c r="C10">
        <f t="shared" si="0"/>
        <v>113215.96</v>
      </c>
      <c r="D10">
        <f t="shared" si="1"/>
        <v>2016</v>
      </c>
      <c r="E10">
        <f t="shared" si="2"/>
        <v>1</v>
      </c>
      <c r="F10" t="str">
        <f t="shared" si="4"/>
        <v>January</v>
      </c>
      <c r="G10">
        <f t="shared" si="3"/>
        <v>14</v>
      </c>
      <c r="H10" s="7">
        <f t="shared" si="5"/>
        <v>-2.3951289965693898</v>
      </c>
      <c r="I10" s="9">
        <f t="shared" si="6"/>
        <v>-2.4242785992363486E-2</v>
      </c>
      <c r="J10" s="9">
        <f t="shared" si="7"/>
        <v>114602.33714285714</v>
      </c>
      <c r="M10" s="9">
        <f t="shared" ref="M10:M73" si="8">STDEV(I4:I10)</f>
        <v>1.5548439081046349E-2</v>
      </c>
    </row>
    <row r="11" spans="1:14" x14ac:dyDescent="0.35">
      <c r="A11" s="1">
        <v>42384</v>
      </c>
      <c r="B11" s="2" t="s">
        <v>11</v>
      </c>
      <c r="C11">
        <f t="shared" si="0"/>
        <v>114052.91</v>
      </c>
      <c r="D11">
        <f t="shared" si="1"/>
        <v>2016</v>
      </c>
      <c r="E11">
        <f t="shared" si="2"/>
        <v>1</v>
      </c>
      <c r="F11" t="str">
        <f t="shared" si="4"/>
        <v>January</v>
      </c>
      <c r="G11">
        <f t="shared" si="3"/>
        <v>15</v>
      </c>
      <c r="H11" s="7">
        <f t="shared" si="5"/>
        <v>0.73925089713499503</v>
      </c>
      <c r="I11" s="9">
        <f t="shared" si="6"/>
        <v>7.365318299532431E-3</v>
      </c>
      <c r="J11" s="9">
        <f t="shared" si="7"/>
        <v>114891.00142857143</v>
      </c>
      <c r="M11" s="9">
        <f t="shared" si="8"/>
        <v>1.3910365477760686E-2</v>
      </c>
    </row>
    <row r="12" spans="1:14" x14ac:dyDescent="0.35">
      <c r="A12" s="1">
        <v>42387</v>
      </c>
      <c r="B12" s="2" t="s">
        <v>12</v>
      </c>
      <c r="C12">
        <f t="shared" si="0"/>
        <v>114634.05</v>
      </c>
      <c r="D12">
        <f t="shared" si="1"/>
        <v>2016</v>
      </c>
      <c r="E12">
        <f t="shared" si="2"/>
        <v>1</v>
      </c>
      <c r="F12" t="str">
        <f t="shared" si="4"/>
        <v>January</v>
      </c>
      <c r="G12">
        <f t="shared" si="3"/>
        <v>18</v>
      </c>
      <c r="H12" s="7">
        <f t="shared" si="5"/>
        <v>0.50953544280457153</v>
      </c>
      <c r="I12" s="9">
        <f t="shared" si="6"/>
        <v>5.0824170381200363E-3</v>
      </c>
      <c r="J12" s="9">
        <f t="shared" si="7"/>
        <v>114891.25285714286</v>
      </c>
      <c r="M12" s="9">
        <f t="shared" si="8"/>
        <v>1.0848217615781927E-2</v>
      </c>
    </row>
    <row r="13" spans="1:14" x14ac:dyDescent="0.35">
      <c r="A13" s="1">
        <v>42388</v>
      </c>
      <c r="B13" s="2" t="s">
        <v>13</v>
      </c>
      <c r="C13">
        <f t="shared" si="0"/>
        <v>113654.22</v>
      </c>
      <c r="D13">
        <f t="shared" si="1"/>
        <v>2016</v>
      </c>
      <c r="E13">
        <f t="shared" si="2"/>
        <v>1</v>
      </c>
      <c r="F13" t="str">
        <f t="shared" si="4"/>
        <v>January</v>
      </c>
      <c r="G13">
        <f t="shared" si="3"/>
        <v>19</v>
      </c>
      <c r="H13" s="7">
        <f t="shared" si="5"/>
        <v>-0.85474603749933087</v>
      </c>
      <c r="I13" s="9">
        <f t="shared" si="6"/>
        <v>-8.5841994145489219E-3</v>
      </c>
      <c r="J13" s="9">
        <f t="shared" si="7"/>
        <v>114685.21714285715</v>
      </c>
      <c r="M13" s="9">
        <f t="shared" si="8"/>
        <v>1.1111142562596982E-2</v>
      </c>
    </row>
    <row r="14" spans="1:14" x14ac:dyDescent="0.35">
      <c r="A14" s="1">
        <v>42389</v>
      </c>
      <c r="B14" s="2" t="s">
        <v>14</v>
      </c>
      <c r="C14">
        <f t="shared" si="0"/>
        <v>114913.2</v>
      </c>
      <c r="D14">
        <f t="shared" si="1"/>
        <v>2016</v>
      </c>
      <c r="E14">
        <f t="shared" si="2"/>
        <v>1</v>
      </c>
      <c r="F14" t="str">
        <f t="shared" si="4"/>
        <v>January</v>
      </c>
      <c r="G14">
        <f t="shared" si="3"/>
        <v>20</v>
      </c>
      <c r="H14" s="7">
        <f t="shared" si="5"/>
        <v>1.1077283360001906</v>
      </c>
      <c r="I14" s="9">
        <f t="shared" si="6"/>
        <v>1.1016379609339407E-2</v>
      </c>
      <c r="J14" s="9">
        <f t="shared" si="7"/>
        <v>114611.83285714286</v>
      </c>
      <c r="M14" s="9">
        <f t="shared" si="8"/>
        <v>1.2067597655012656E-2</v>
      </c>
    </row>
    <row r="15" spans="1:14" x14ac:dyDescent="0.35">
      <c r="A15" s="1">
        <v>42390</v>
      </c>
      <c r="B15" s="2" t="s">
        <v>15</v>
      </c>
      <c r="C15">
        <f t="shared" si="0"/>
        <v>114544.37</v>
      </c>
      <c r="D15">
        <f t="shared" si="1"/>
        <v>2016</v>
      </c>
      <c r="E15">
        <f t="shared" si="2"/>
        <v>1</v>
      </c>
      <c r="F15" t="str">
        <f t="shared" si="4"/>
        <v>January</v>
      </c>
      <c r="G15">
        <f t="shared" si="3"/>
        <v>21</v>
      </c>
      <c r="H15" s="7">
        <f t="shared" si="5"/>
        <v>-0.32096399717352037</v>
      </c>
      <c r="I15" s="9">
        <f t="shared" si="6"/>
        <v>-3.2148019143869288E-3</v>
      </c>
      <c r="J15" s="9">
        <f t="shared" si="7"/>
        <v>114429.84</v>
      </c>
      <c r="M15" s="9">
        <f t="shared" si="8"/>
        <v>1.1958268038572089E-2</v>
      </c>
    </row>
    <row r="16" spans="1:14" x14ac:dyDescent="0.35">
      <c r="A16" s="1">
        <v>42391</v>
      </c>
      <c r="B16" s="2" t="s">
        <v>16</v>
      </c>
      <c r="C16">
        <f t="shared" si="0"/>
        <v>117362.4</v>
      </c>
      <c r="D16">
        <f t="shared" si="1"/>
        <v>2016</v>
      </c>
      <c r="E16">
        <f t="shared" si="2"/>
        <v>1</v>
      </c>
      <c r="F16" t="str">
        <f t="shared" si="4"/>
        <v>January</v>
      </c>
      <c r="G16">
        <f t="shared" si="3"/>
        <v>22</v>
      </c>
      <c r="H16" s="7">
        <f t="shared" si="5"/>
        <v>2.4602082145111095</v>
      </c>
      <c r="I16" s="9">
        <f t="shared" si="6"/>
        <v>2.4304324675019862E-2</v>
      </c>
      <c r="J16" s="9">
        <f t="shared" si="7"/>
        <v>114625.30142857143</v>
      </c>
      <c r="M16" s="9">
        <f t="shared" si="8"/>
        <v>1.5514675242171368E-2</v>
      </c>
    </row>
    <row r="17" spans="1:14" x14ac:dyDescent="0.35">
      <c r="A17" s="1">
        <v>42394</v>
      </c>
      <c r="B17" s="2" t="s">
        <v>17</v>
      </c>
      <c r="C17">
        <f t="shared" si="0"/>
        <v>117380.17</v>
      </c>
      <c r="D17">
        <f t="shared" si="1"/>
        <v>2016</v>
      </c>
      <c r="E17">
        <f t="shared" si="2"/>
        <v>1</v>
      </c>
      <c r="F17" t="str">
        <f t="shared" si="4"/>
        <v>January</v>
      </c>
      <c r="G17">
        <f t="shared" si="3"/>
        <v>25</v>
      </c>
      <c r="H17" s="7">
        <f t="shared" si="5"/>
        <v>1.5141135491438548E-2</v>
      </c>
      <c r="I17" s="9">
        <f t="shared" si="6"/>
        <v>1.5139989337209118E-4</v>
      </c>
      <c r="J17" s="9">
        <f t="shared" si="7"/>
        <v>115220.18857142857</v>
      </c>
      <c r="M17" s="9">
        <f t="shared" si="8"/>
        <v>1.0722236993660584E-2</v>
      </c>
    </row>
    <row r="18" spans="1:14" x14ac:dyDescent="0.35">
      <c r="A18" s="1">
        <v>42395</v>
      </c>
      <c r="B18" s="2" t="s">
        <v>18</v>
      </c>
      <c r="C18">
        <f t="shared" si="0"/>
        <v>116762.58</v>
      </c>
      <c r="D18">
        <f t="shared" si="1"/>
        <v>2016</v>
      </c>
      <c r="E18">
        <f t="shared" si="2"/>
        <v>1</v>
      </c>
      <c r="F18" t="str">
        <f t="shared" si="4"/>
        <v>January</v>
      </c>
      <c r="G18">
        <f t="shared" si="3"/>
        <v>26</v>
      </c>
      <c r="H18" s="7">
        <f t="shared" si="5"/>
        <v>-0.52614508907253799</v>
      </c>
      <c r="I18" s="9">
        <f t="shared" si="6"/>
        <v>-5.2753410665374372E-3</v>
      </c>
      <c r="J18" s="9">
        <f t="shared" si="7"/>
        <v>115607.28428571428</v>
      </c>
      <c r="M18" s="9">
        <f t="shared" si="8"/>
        <v>1.1335839393882885E-2</v>
      </c>
    </row>
    <row r="19" spans="1:14" x14ac:dyDescent="0.35">
      <c r="A19" s="1">
        <v>42396</v>
      </c>
      <c r="B19" s="2" t="s">
        <v>19</v>
      </c>
      <c r="C19">
        <f t="shared" si="0"/>
        <v>118443.05</v>
      </c>
      <c r="D19">
        <f t="shared" si="1"/>
        <v>2016</v>
      </c>
      <c r="E19">
        <f t="shared" si="2"/>
        <v>1</v>
      </c>
      <c r="F19" t="str">
        <f t="shared" si="4"/>
        <v>January</v>
      </c>
      <c r="G19">
        <f t="shared" si="3"/>
        <v>27</v>
      </c>
      <c r="H19" s="7">
        <f t="shared" si="5"/>
        <v>1.4392196541049376</v>
      </c>
      <c r="I19" s="9">
        <f t="shared" si="6"/>
        <v>1.4289611986938846E-2</v>
      </c>
      <c r="J19" s="9">
        <f t="shared" si="7"/>
        <v>116151.42714285714</v>
      </c>
      <c r="M19" s="9">
        <f t="shared" si="8"/>
        <v>1.2079539399241834E-2</v>
      </c>
    </row>
    <row r="20" spans="1:14" x14ac:dyDescent="0.35">
      <c r="A20" s="1">
        <v>42397</v>
      </c>
      <c r="B20" s="2" t="s">
        <v>20</v>
      </c>
      <c r="C20">
        <f t="shared" si="0"/>
        <v>117888.93</v>
      </c>
      <c r="D20">
        <f t="shared" si="1"/>
        <v>2016</v>
      </c>
      <c r="E20">
        <f t="shared" si="2"/>
        <v>1</v>
      </c>
      <c r="F20" t="str">
        <f t="shared" si="4"/>
        <v>January</v>
      </c>
      <c r="G20">
        <f t="shared" si="3"/>
        <v>28</v>
      </c>
      <c r="H20" s="7">
        <f t="shared" si="5"/>
        <v>-0.46783665229830695</v>
      </c>
      <c r="I20" s="9">
        <f t="shared" si="6"/>
        <v>-4.6893443318355554E-3</v>
      </c>
      <c r="J20" s="9">
        <f t="shared" si="7"/>
        <v>116756.3857142857</v>
      </c>
      <c r="M20" s="9">
        <f t="shared" si="8"/>
        <v>1.1440068118115529E-2</v>
      </c>
    </row>
    <row r="21" spans="1:14" x14ac:dyDescent="0.35">
      <c r="A21" s="1">
        <v>42398</v>
      </c>
      <c r="B21" s="2" t="s">
        <v>21</v>
      </c>
      <c r="C21">
        <f t="shared" si="0"/>
        <v>119153.9</v>
      </c>
      <c r="D21">
        <f t="shared" si="1"/>
        <v>2016</v>
      </c>
      <c r="E21">
        <f t="shared" si="2"/>
        <v>1</v>
      </c>
      <c r="F21" t="str">
        <f t="shared" si="4"/>
        <v>January</v>
      </c>
      <c r="G21">
        <f t="shared" si="3"/>
        <v>29</v>
      </c>
      <c r="H21" s="7">
        <f t="shared" si="5"/>
        <v>1.0730184759502026</v>
      </c>
      <c r="I21" s="9">
        <f t="shared" si="6"/>
        <v>1.0673024854365901E-2</v>
      </c>
      <c r="J21" s="9">
        <f t="shared" si="7"/>
        <v>117362.2</v>
      </c>
      <c r="M21" s="9">
        <f t="shared" si="8"/>
        <v>1.141180467537368E-2</v>
      </c>
    </row>
    <row r="22" spans="1:14" x14ac:dyDescent="0.35">
      <c r="A22" s="1">
        <v>42401</v>
      </c>
      <c r="B22" s="2" t="s">
        <v>22</v>
      </c>
      <c r="C22">
        <f t="shared" si="0"/>
        <v>119165.54</v>
      </c>
      <c r="D22">
        <f t="shared" si="1"/>
        <v>2016</v>
      </c>
      <c r="E22">
        <f t="shared" si="2"/>
        <v>2</v>
      </c>
      <c r="F22" t="str">
        <f t="shared" si="4"/>
        <v>February</v>
      </c>
      <c r="G22">
        <f t="shared" si="3"/>
        <v>1</v>
      </c>
      <c r="H22" s="7">
        <f t="shared" si="5"/>
        <v>9.7688787358193221E-3</v>
      </c>
      <c r="I22" s="9">
        <f t="shared" si="6"/>
        <v>9.7684016119415083E-5</v>
      </c>
      <c r="J22" s="9">
        <f t="shared" si="7"/>
        <v>118022.36714285715</v>
      </c>
      <c r="M22" s="9">
        <f t="shared" si="8"/>
        <v>1.1069367923381656E-2</v>
      </c>
    </row>
    <row r="23" spans="1:14" x14ac:dyDescent="0.35">
      <c r="A23" s="1">
        <v>42402</v>
      </c>
      <c r="B23" s="2" t="s">
        <v>23</v>
      </c>
      <c r="C23">
        <f t="shared" si="0"/>
        <v>115017.05</v>
      </c>
      <c r="D23">
        <f t="shared" si="1"/>
        <v>2016</v>
      </c>
      <c r="E23">
        <f t="shared" si="2"/>
        <v>2</v>
      </c>
      <c r="F23" t="str">
        <f t="shared" si="4"/>
        <v>February</v>
      </c>
      <c r="G23">
        <f t="shared" si="3"/>
        <v>2</v>
      </c>
      <c r="H23" s="7">
        <f t="shared" si="5"/>
        <v>-3.4812832636011981</v>
      </c>
      <c r="I23" s="9">
        <f t="shared" si="6"/>
        <v>-3.5433240632544771E-2</v>
      </c>
      <c r="J23" s="9">
        <f t="shared" si="7"/>
        <v>117687.31714285715</v>
      </c>
      <c r="M23" s="9">
        <f t="shared" si="8"/>
        <v>1.6151681074595334E-2</v>
      </c>
    </row>
    <row r="24" spans="1:14" x14ac:dyDescent="0.35">
      <c r="A24" s="1">
        <v>42403</v>
      </c>
      <c r="B24" s="2" t="s">
        <v>24</v>
      </c>
      <c r="C24">
        <f t="shared" si="0"/>
        <v>114660.79</v>
      </c>
      <c r="D24">
        <f t="shared" si="1"/>
        <v>2016</v>
      </c>
      <c r="E24">
        <f t="shared" si="2"/>
        <v>2</v>
      </c>
      <c r="F24" t="str">
        <f t="shared" si="4"/>
        <v>February</v>
      </c>
      <c r="G24">
        <f t="shared" si="3"/>
        <v>3</v>
      </c>
      <c r="H24" s="7">
        <f t="shared" si="5"/>
        <v>-0.30974538122826945</v>
      </c>
      <c r="I24" s="9">
        <f t="shared" si="6"/>
        <v>-3.1022608512962673E-3</v>
      </c>
      <c r="J24" s="9">
        <f t="shared" si="7"/>
        <v>117298.8342857143</v>
      </c>
      <c r="M24" s="9">
        <f t="shared" si="8"/>
        <v>1.609650134425257E-2</v>
      </c>
    </row>
    <row r="25" spans="1:14" x14ac:dyDescent="0.35">
      <c r="A25" s="1">
        <v>42404</v>
      </c>
      <c r="B25" s="2" t="s">
        <v>25</v>
      </c>
      <c r="C25">
        <f t="shared" si="0"/>
        <v>115180.53</v>
      </c>
      <c r="D25">
        <f t="shared" si="1"/>
        <v>2016</v>
      </c>
      <c r="E25">
        <f t="shared" si="2"/>
        <v>2</v>
      </c>
      <c r="F25" t="str">
        <f t="shared" si="4"/>
        <v>February</v>
      </c>
      <c r="G25">
        <f t="shared" si="3"/>
        <v>4</v>
      </c>
      <c r="H25" s="7">
        <f t="shared" si="5"/>
        <v>0.45328485875599261</v>
      </c>
      <c r="I25" s="9">
        <f t="shared" si="6"/>
        <v>4.5226061692918498E-3</v>
      </c>
      <c r="J25" s="9">
        <f t="shared" si="7"/>
        <v>117072.82714285715</v>
      </c>
      <c r="M25" s="9">
        <f t="shared" si="8"/>
        <v>1.6325401989834509E-2</v>
      </c>
    </row>
    <row r="26" spans="1:14" x14ac:dyDescent="0.35">
      <c r="A26" s="1">
        <v>42405</v>
      </c>
      <c r="B26" s="2" t="s">
        <v>26</v>
      </c>
      <c r="C26">
        <f t="shared" si="0"/>
        <v>113865.92</v>
      </c>
      <c r="D26">
        <f t="shared" si="1"/>
        <v>2016</v>
      </c>
      <c r="E26">
        <f t="shared" si="2"/>
        <v>2</v>
      </c>
      <c r="F26" t="str">
        <f t="shared" si="4"/>
        <v>February</v>
      </c>
      <c r="G26">
        <f t="shared" si="3"/>
        <v>5</v>
      </c>
      <c r="H26" s="7">
        <f t="shared" si="5"/>
        <v>-1.141347413490805</v>
      </c>
      <c r="I26" s="9">
        <f t="shared" si="6"/>
        <v>-1.1479107713498018E-2</v>
      </c>
      <c r="J26" s="9">
        <f t="shared" si="7"/>
        <v>116418.95142857144</v>
      </c>
      <c r="M26" s="9">
        <f t="shared" si="8"/>
        <v>1.4896251805384331E-2</v>
      </c>
    </row>
    <row r="27" spans="1:14" x14ac:dyDescent="0.35">
      <c r="A27" s="1">
        <v>42408</v>
      </c>
      <c r="B27" s="2" t="s">
        <v>27</v>
      </c>
      <c r="C27">
        <f t="shared" si="0"/>
        <v>114400.33</v>
      </c>
      <c r="D27">
        <f t="shared" si="1"/>
        <v>2016</v>
      </c>
      <c r="E27">
        <f t="shared" si="2"/>
        <v>2</v>
      </c>
      <c r="F27" t="str">
        <f t="shared" si="4"/>
        <v>February</v>
      </c>
      <c r="G27">
        <f t="shared" si="3"/>
        <v>8</v>
      </c>
      <c r="H27" s="7">
        <f t="shared" si="5"/>
        <v>0.46933270288423745</v>
      </c>
      <c r="I27" s="9">
        <f t="shared" si="6"/>
        <v>4.6823477091653531E-3</v>
      </c>
      <c r="J27" s="9">
        <f t="shared" si="7"/>
        <v>115920.57999999999</v>
      </c>
      <c r="M27" s="9">
        <f t="shared" si="8"/>
        <v>1.5407272927587265E-2</v>
      </c>
    </row>
    <row r="28" spans="1:14" x14ac:dyDescent="0.35">
      <c r="A28" s="1">
        <v>42409</v>
      </c>
      <c r="B28" s="2" t="s">
        <v>28</v>
      </c>
      <c r="C28">
        <f t="shared" si="0"/>
        <v>116565.97</v>
      </c>
      <c r="D28">
        <f t="shared" si="1"/>
        <v>2016</v>
      </c>
      <c r="E28">
        <f t="shared" si="2"/>
        <v>2</v>
      </c>
      <c r="F28" t="str">
        <f t="shared" si="4"/>
        <v>February</v>
      </c>
      <c r="G28">
        <f t="shared" si="3"/>
        <v>9</v>
      </c>
      <c r="H28" s="7">
        <f t="shared" si="5"/>
        <v>1.8930364973597538</v>
      </c>
      <c r="I28" s="9">
        <f t="shared" si="6"/>
        <v>1.8753415275109375E-2</v>
      </c>
      <c r="J28" s="9">
        <f t="shared" si="7"/>
        <v>115550.87571428572</v>
      </c>
      <c r="M28" s="9">
        <f t="shared" si="8"/>
        <v>1.6941587655556842E-2</v>
      </c>
    </row>
    <row r="29" spans="1:14" x14ac:dyDescent="0.35">
      <c r="A29" s="1">
        <v>42410</v>
      </c>
      <c r="B29" s="2" t="s">
        <v>29</v>
      </c>
      <c r="C29">
        <f t="shared" si="0"/>
        <v>116449.09</v>
      </c>
      <c r="D29">
        <f t="shared" si="1"/>
        <v>2016</v>
      </c>
      <c r="E29">
        <f t="shared" si="2"/>
        <v>2</v>
      </c>
      <c r="F29" t="str">
        <f t="shared" si="4"/>
        <v>February</v>
      </c>
      <c r="G29">
        <f t="shared" si="3"/>
        <v>10</v>
      </c>
      <c r="H29" s="7">
        <f t="shared" si="5"/>
        <v>-0.10026940109536657</v>
      </c>
      <c r="I29" s="9">
        <f t="shared" si="6"/>
        <v>-1.0031970448809706E-3</v>
      </c>
      <c r="J29" s="9">
        <f t="shared" si="7"/>
        <v>115162.81142857143</v>
      </c>
      <c r="M29" s="9">
        <f t="shared" si="8"/>
        <v>1.6911639451375506E-2</v>
      </c>
    </row>
    <row r="30" spans="1:14" x14ac:dyDescent="0.35">
      <c r="A30" s="1">
        <v>42411</v>
      </c>
      <c r="B30" s="2" t="s">
        <v>30</v>
      </c>
      <c r="C30">
        <f t="shared" si="0"/>
        <v>118068.33</v>
      </c>
      <c r="D30">
        <f t="shared" si="1"/>
        <v>2016</v>
      </c>
      <c r="E30">
        <f t="shared" si="2"/>
        <v>2</v>
      </c>
      <c r="F30" t="str">
        <f t="shared" si="4"/>
        <v>February</v>
      </c>
      <c r="G30">
        <f t="shared" si="3"/>
        <v>11</v>
      </c>
      <c r="H30" s="7">
        <f t="shared" si="5"/>
        <v>1.3905132277117882</v>
      </c>
      <c r="I30" s="9">
        <f t="shared" si="6"/>
        <v>1.3809342880064525E-2</v>
      </c>
      <c r="J30" s="9">
        <f t="shared" si="7"/>
        <v>115598.70857142856</v>
      </c>
      <c r="M30" s="9">
        <f t="shared" si="8"/>
        <v>1.0240690779311853E-2</v>
      </c>
    </row>
    <row r="31" spans="1:14" x14ac:dyDescent="0.35">
      <c r="A31" s="1">
        <v>42412</v>
      </c>
      <c r="B31" s="2" t="s">
        <v>31</v>
      </c>
      <c r="C31">
        <f t="shared" si="0"/>
        <v>118412.24</v>
      </c>
      <c r="D31">
        <f t="shared" si="1"/>
        <v>2016</v>
      </c>
      <c r="E31">
        <f t="shared" si="2"/>
        <v>2</v>
      </c>
      <c r="F31" t="str">
        <f t="shared" si="4"/>
        <v>February</v>
      </c>
      <c r="G31">
        <f t="shared" si="3"/>
        <v>12</v>
      </c>
      <c r="H31" s="7">
        <f t="shared" si="5"/>
        <v>0.29128048139581841</v>
      </c>
      <c r="I31" s="9">
        <f t="shared" si="6"/>
        <v>2.9085708178928447E-3</v>
      </c>
      <c r="J31" s="9">
        <f t="shared" si="7"/>
        <v>116134.62999999999</v>
      </c>
      <c r="K31" s="9">
        <f>AVERAGE(C2:C31)</f>
        <v>115679.83166666665</v>
      </c>
      <c r="M31" s="9">
        <f t="shared" si="8"/>
        <v>9.8144313867060805E-3</v>
      </c>
    </row>
    <row r="32" spans="1:14" x14ac:dyDescent="0.35">
      <c r="A32" s="1">
        <v>42415</v>
      </c>
      <c r="B32" s="2" t="s">
        <v>32</v>
      </c>
      <c r="C32">
        <f t="shared" si="0"/>
        <v>120005.25</v>
      </c>
      <c r="D32">
        <f t="shared" si="1"/>
        <v>2016</v>
      </c>
      <c r="E32">
        <f t="shared" si="2"/>
        <v>2</v>
      </c>
      <c r="F32" t="str">
        <f t="shared" si="4"/>
        <v>February</v>
      </c>
      <c r="G32">
        <f t="shared" si="3"/>
        <v>15</v>
      </c>
      <c r="H32" s="7">
        <f t="shared" si="5"/>
        <v>1.3453085593178498</v>
      </c>
      <c r="I32" s="9">
        <f t="shared" si="6"/>
        <v>1.3363396339935225E-2</v>
      </c>
      <c r="J32" s="9">
        <f t="shared" si="7"/>
        <v>116823.87571428569</v>
      </c>
      <c r="K32" s="9">
        <f t="shared" ref="K32:K95" si="9">AVERAGE(C3:C32)</f>
        <v>115893.44433333332</v>
      </c>
      <c r="M32" s="9">
        <f t="shared" si="8"/>
        <v>1.0356793778886457E-2</v>
      </c>
      <c r="N32" s="9">
        <f>STDEV(I3:I32)</f>
        <v>1.2843648555636784E-2</v>
      </c>
    </row>
    <row r="33" spans="1:14" x14ac:dyDescent="0.35">
      <c r="A33" s="1">
        <v>42416</v>
      </c>
      <c r="B33" s="2" t="s">
        <v>33</v>
      </c>
      <c r="C33">
        <f t="shared" si="0"/>
        <v>121249.37</v>
      </c>
      <c r="D33">
        <f t="shared" si="1"/>
        <v>2016</v>
      </c>
      <c r="E33">
        <f t="shared" si="2"/>
        <v>2</v>
      </c>
      <c r="F33" t="str">
        <f t="shared" si="4"/>
        <v>February</v>
      </c>
      <c r="G33">
        <f t="shared" si="3"/>
        <v>16</v>
      </c>
      <c r="H33" s="7">
        <f t="shared" si="5"/>
        <v>1.0367213101093455</v>
      </c>
      <c r="I33" s="9">
        <f t="shared" si="6"/>
        <v>1.0313842102762609E-2</v>
      </c>
      <c r="J33" s="9">
        <f t="shared" si="7"/>
        <v>117878.65428571429</v>
      </c>
      <c r="K33" s="9">
        <f t="shared" si="9"/>
        <v>116134.88499999999</v>
      </c>
      <c r="M33" s="9">
        <f t="shared" si="8"/>
        <v>7.0098934717248915E-3</v>
      </c>
      <c r="N33" s="9">
        <f t="shared" ref="N33:N96" si="10">STDEV(I4:I33)</f>
        <v>1.2933757285292554E-2</v>
      </c>
    </row>
    <row r="34" spans="1:14" x14ac:dyDescent="0.35">
      <c r="A34" s="1">
        <v>42417</v>
      </c>
      <c r="B34" s="2" t="s">
        <v>34</v>
      </c>
      <c r="C34">
        <f t="shared" si="0"/>
        <v>118718.54</v>
      </c>
      <c r="D34">
        <f t="shared" si="1"/>
        <v>2016</v>
      </c>
      <c r="E34">
        <f t="shared" si="2"/>
        <v>2</v>
      </c>
      <c r="F34" t="str">
        <f t="shared" si="4"/>
        <v>February</v>
      </c>
      <c r="G34">
        <f t="shared" si="3"/>
        <v>17</v>
      </c>
      <c r="H34" s="7">
        <f t="shared" si="5"/>
        <v>-2.0872933195446719</v>
      </c>
      <c r="I34" s="9">
        <f t="shared" si="6"/>
        <v>-2.1093852428019845E-2</v>
      </c>
      <c r="J34" s="9">
        <f t="shared" si="7"/>
        <v>118495.54142857144</v>
      </c>
      <c r="K34" s="9">
        <f t="shared" si="9"/>
        <v>116357.761</v>
      </c>
      <c r="M34" s="9">
        <f t="shared" si="8"/>
        <v>1.3451422531377877E-2</v>
      </c>
      <c r="N34" s="9">
        <f t="shared" si="10"/>
        <v>1.3137924721960233E-2</v>
      </c>
    </row>
    <row r="35" spans="1:14" x14ac:dyDescent="0.35">
      <c r="A35" s="1">
        <v>42418</v>
      </c>
      <c r="B35" s="2" t="s">
        <v>35</v>
      </c>
      <c r="C35">
        <f t="shared" si="0"/>
        <v>119353.22</v>
      </c>
      <c r="D35">
        <f t="shared" si="1"/>
        <v>2016</v>
      </c>
      <c r="E35">
        <f t="shared" si="2"/>
        <v>2</v>
      </c>
      <c r="F35" t="str">
        <f t="shared" si="4"/>
        <v>February</v>
      </c>
      <c r="G35">
        <f t="shared" si="3"/>
        <v>18</v>
      </c>
      <c r="H35" s="7">
        <f t="shared" si="5"/>
        <v>0.53460900041392656</v>
      </c>
      <c r="I35" s="9">
        <f t="shared" si="6"/>
        <v>5.3318503932551237E-3</v>
      </c>
      <c r="J35" s="9">
        <f t="shared" si="7"/>
        <v>118893.72</v>
      </c>
      <c r="K35" s="9">
        <f t="shared" si="9"/>
        <v>116515.12533333334</v>
      </c>
      <c r="M35" s="9">
        <f t="shared" si="8"/>
        <v>1.2101868086899429E-2</v>
      </c>
      <c r="N35" s="9">
        <f t="shared" si="10"/>
        <v>1.2546918957250191E-2</v>
      </c>
    </row>
    <row r="36" spans="1:14" x14ac:dyDescent="0.35">
      <c r="A36" s="1">
        <v>42419</v>
      </c>
      <c r="B36" s="2" t="s">
        <v>36</v>
      </c>
      <c r="C36">
        <f t="shared" si="0"/>
        <v>119795.83</v>
      </c>
      <c r="D36">
        <f t="shared" si="1"/>
        <v>2016</v>
      </c>
      <c r="E36">
        <f t="shared" si="2"/>
        <v>2</v>
      </c>
      <c r="F36" t="str">
        <f t="shared" si="4"/>
        <v>February</v>
      </c>
      <c r="G36">
        <f t="shared" si="3"/>
        <v>19</v>
      </c>
      <c r="H36" s="7">
        <f t="shared" si="5"/>
        <v>0.37084043480351897</v>
      </c>
      <c r="I36" s="9">
        <f t="shared" si="6"/>
        <v>3.7015451691398897E-3</v>
      </c>
      <c r="J36" s="9">
        <f t="shared" si="7"/>
        <v>119371.8257142857</v>
      </c>
      <c r="K36" s="9">
        <f t="shared" si="9"/>
        <v>116671.77066666669</v>
      </c>
      <c r="M36" s="9">
        <f t="shared" si="8"/>
        <v>1.1947806953309348E-2</v>
      </c>
      <c r="N36" s="9">
        <f t="shared" si="10"/>
        <v>1.2544555989994322E-2</v>
      </c>
    </row>
    <row r="37" spans="1:14" x14ac:dyDescent="0.35">
      <c r="A37" s="1">
        <v>42422</v>
      </c>
      <c r="B37" s="2" t="s">
        <v>37</v>
      </c>
      <c r="C37">
        <f t="shared" si="0"/>
        <v>118486.97</v>
      </c>
      <c r="D37">
        <f t="shared" si="1"/>
        <v>2016</v>
      </c>
      <c r="E37">
        <f t="shared" si="2"/>
        <v>2</v>
      </c>
      <c r="F37" t="str">
        <f t="shared" si="4"/>
        <v>February</v>
      </c>
      <c r="G37">
        <f t="shared" si="3"/>
        <v>22</v>
      </c>
      <c r="H37" s="7">
        <f t="shared" si="5"/>
        <v>-1.0925755929901737</v>
      </c>
      <c r="I37" s="9">
        <f t="shared" si="6"/>
        <v>-1.0985880338704471E-2</v>
      </c>
      <c r="J37" s="9">
        <f t="shared" si="7"/>
        <v>119431.63142857142</v>
      </c>
      <c r="K37" s="9">
        <f t="shared" si="9"/>
        <v>116773.77333333337</v>
      </c>
      <c r="M37" s="9">
        <f t="shared" si="8"/>
        <v>1.2243338546289811E-2</v>
      </c>
      <c r="N37" s="9">
        <f t="shared" si="10"/>
        <v>1.2739624394757287E-2</v>
      </c>
    </row>
    <row r="38" spans="1:14" x14ac:dyDescent="0.35">
      <c r="A38" s="1">
        <v>42423</v>
      </c>
      <c r="B38" s="2" t="s">
        <v>38</v>
      </c>
      <c r="C38">
        <f t="shared" si="0"/>
        <v>119025.13</v>
      </c>
      <c r="D38">
        <f t="shared" si="1"/>
        <v>2016</v>
      </c>
      <c r="E38">
        <f t="shared" si="2"/>
        <v>2</v>
      </c>
      <c r="F38" t="str">
        <f t="shared" si="4"/>
        <v>February</v>
      </c>
      <c r="G38">
        <f t="shared" si="3"/>
        <v>23</v>
      </c>
      <c r="H38" s="7">
        <f t="shared" si="5"/>
        <v>0.45419340202555897</v>
      </c>
      <c r="I38" s="9">
        <f t="shared" si="6"/>
        <v>4.5316505640293908E-3</v>
      </c>
      <c r="J38" s="9">
        <f t="shared" si="7"/>
        <v>119519.18714285713</v>
      </c>
      <c r="K38" s="9">
        <f t="shared" si="9"/>
        <v>116880.66700000003</v>
      </c>
      <c r="M38" s="9">
        <f t="shared" si="8"/>
        <v>1.2311609559416608E-2</v>
      </c>
      <c r="N38" s="9">
        <f t="shared" si="10"/>
        <v>1.2749137127451559E-2</v>
      </c>
    </row>
    <row r="39" spans="1:14" x14ac:dyDescent="0.35">
      <c r="A39" s="1">
        <v>42424</v>
      </c>
      <c r="B39" s="2" t="s">
        <v>39</v>
      </c>
      <c r="C39">
        <f t="shared" si="0"/>
        <v>118205.04</v>
      </c>
      <c r="D39">
        <f t="shared" si="1"/>
        <v>2016</v>
      </c>
      <c r="E39">
        <f t="shared" si="2"/>
        <v>2</v>
      </c>
      <c r="F39" t="str">
        <f t="shared" si="4"/>
        <v>February</v>
      </c>
      <c r="G39">
        <f t="shared" si="3"/>
        <v>24</v>
      </c>
      <c r="H39" s="7">
        <f t="shared" si="5"/>
        <v>-0.68900575869987379</v>
      </c>
      <c r="I39" s="9">
        <f t="shared" si="6"/>
        <v>-6.9139036306407669E-3</v>
      </c>
      <c r="J39" s="9">
        <f t="shared" si="7"/>
        <v>119262.01428571429</v>
      </c>
      <c r="K39" s="9">
        <f t="shared" si="9"/>
        <v>116954.3626666667</v>
      </c>
      <c r="M39" s="9">
        <f t="shared" si="8"/>
        <v>1.1179199326344489E-2</v>
      </c>
      <c r="N39" s="9">
        <f t="shared" si="10"/>
        <v>1.2827981916610796E-2</v>
      </c>
    </row>
    <row r="40" spans="1:14" x14ac:dyDescent="0.35">
      <c r="A40" s="1">
        <v>42425</v>
      </c>
      <c r="B40" s="2" t="s">
        <v>40</v>
      </c>
      <c r="C40">
        <f t="shared" si="0"/>
        <v>119524.15</v>
      </c>
      <c r="D40">
        <f t="shared" si="1"/>
        <v>2016</v>
      </c>
      <c r="E40">
        <f t="shared" si="2"/>
        <v>2</v>
      </c>
      <c r="F40" t="str">
        <f t="shared" si="4"/>
        <v>February</v>
      </c>
      <c r="G40">
        <f t="shared" si="3"/>
        <v>25</v>
      </c>
      <c r="H40" s="7">
        <f t="shared" si="5"/>
        <v>1.1159507242669184</v>
      </c>
      <c r="I40" s="9">
        <f t="shared" si="6"/>
        <v>1.1097699347062126E-2</v>
      </c>
      <c r="J40" s="9">
        <f t="shared" si="7"/>
        <v>119015.5542857143</v>
      </c>
      <c r="K40" s="9">
        <f t="shared" si="9"/>
        <v>117164.6356666667</v>
      </c>
      <c r="M40" s="9">
        <f t="shared" si="8"/>
        <v>1.1327899837859992E-2</v>
      </c>
      <c r="N40" s="9">
        <f t="shared" si="10"/>
        <v>1.2065178266100615E-2</v>
      </c>
    </row>
    <row r="41" spans="1:14" x14ac:dyDescent="0.35">
      <c r="A41" s="1">
        <v>42426</v>
      </c>
      <c r="B41" s="2" t="s">
        <v>41</v>
      </c>
      <c r="C41">
        <f t="shared" si="0"/>
        <v>114967.7</v>
      </c>
      <c r="D41">
        <f t="shared" si="1"/>
        <v>2016</v>
      </c>
      <c r="E41">
        <f t="shared" si="2"/>
        <v>2</v>
      </c>
      <c r="F41" t="str">
        <f t="shared" si="4"/>
        <v>February</v>
      </c>
      <c r="G41">
        <f t="shared" si="3"/>
        <v>26</v>
      </c>
      <c r="H41" s="7">
        <f t="shared" si="5"/>
        <v>-3.812158463373299</v>
      </c>
      <c r="I41" s="9">
        <f t="shared" si="6"/>
        <v>-3.886722365713785E-2</v>
      </c>
      <c r="J41" s="9">
        <f t="shared" si="7"/>
        <v>118479.72</v>
      </c>
      <c r="K41" s="9">
        <f t="shared" si="9"/>
        <v>117195.1286666667</v>
      </c>
      <c r="M41" s="9">
        <f t="shared" si="8"/>
        <v>1.692009178823238E-2</v>
      </c>
      <c r="N41" s="9">
        <f t="shared" si="10"/>
        <v>1.4110122798299677E-2</v>
      </c>
    </row>
    <row r="42" spans="1:14" x14ac:dyDescent="0.35">
      <c r="A42" s="1">
        <v>42429</v>
      </c>
      <c r="B42" s="2" t="s">
        <v>42</v>
      </c>
      <c r="C42">
        <f t="shared" si="0"/>
        <v>116122.75</v>
      </c>
      <c r="D42">
        <f t="shared" si="1"/>
        <v>2016</v>
      </c>
      <c r="E42">
        <f t="shared" si="2"/>
        <v>2</v>
      </c>
      <c r="F42" t="str">
        <f t="shared" si="4"/>
        <v>February</v>
      </c>
      <c r="G42">
        <f t="shared" si="3"/>
        <v>29</v>
      </c>
      <c r="H42" s="7">
        <f t="shared" si="5"/>
        <v>1.0046734865531823</v>
      </c>
      <c r="I42" s="9">
        <f t="shared" si="6"/>
        <v>9.9966019267362979E-3</v>
      </c>
      <c r="J42" s="9">
        <f t="shared" si="7"/>
        <v>118018.22428571428</v>
      </c>
      <c r="K42" s="9">
        <f t="shared" si="9"/>
        <v>117244.75200000004</v>
      </c>
      <c r="M42" s="9">
        <f t="shared" si="8"/>
        <v>1.7459095127878885E-2</v>
      </c>
      <c r="N42" s="9">
        <f t="shared" si="10"/>
        <v>1.4196223750674341E-2</v>
      </c>
    </row>
    <row r="43" spans="1:14" x14ac:dyDescent="0.35">
      <c r="A43" s="1">
        <v>42430</v>
      </c>
      <c r="B43" s="2" t="s">
        <v>43</v>
      </c>
      <c r="C43">
        <f t="shared" si="0"/>
        <v>116600.36</v>
      </c>
      <c r="D43">
        <f t="shared" si="1"/>
        <v>2016</v>
      </c>
      <c r="E43">
        <f t="shared" si="2"/>
        <v>3</v>
      </c>
      <c r="F43" t="str">
        <f t="shared" si="4"/>
        <v>March</v>
      </c>
      <c r="G43">
        <f t="shared" si="3"/>
        <v>1</v>
      </c>
      <c r="H43" s="7">
        <f t="shared" si="5"/>
        <v>0.41129752783154083</v>
      </c>
      <c r="I43" s="9">
        <f t="shared" si="6"/>
        <v>4.1045401166594575E-3</v>
      </c>
      <c r="J43" s="9">
        <f t="shared" si="7"/>
        <v>117561.72857142857</v>
      </c>
      <c r="K43" s="9">
        <f t="shared" si="9"/>
        <v>117342.95666666669</v>
      </c>
      <c r="M43" s="9">
        <f t="shared" si="8"/>
        <v>1.7489053968948027E-2</v>
      </c>
      <c r="N43" s="9">
        <f t="shared" si="10"/>
        <v>1.4107136195232857E-2</v>
      </c>
    </row>
    <row r="44" spans="1:14" x14ac:dyDescent="0.35">
      <c r="A44" s="1">
        <v>42431</v>
      </c>
      <c r="B44" s="2" t="s">
        <v>44</v>
      </c>
      <c r="C44">
        <f t="shared" si="0"/>
        <v>114067.56</v>
      </c>
      <c r="D44">
        <f t="shared" si="1"/>
        <v>2016</v>
      </c>
      <c r="E44">
        <f t="shared" si="2"/>
        <v>3</v>
      </c>
      <c r="F44" t="str">
        <f t="shared" si="4"/>
        <v>March</v>
      </c>
      <c r="G44">
        <f t="shared" si="3"/>
        <v>2</v>
      </c>
      <c r="H44" s="7">
        <f t="shared" si="5"/>
        <v>-2.1722059863280037</v>
      </c>
      <c r="I44" s="9">
        <f t="shared" si="6"/>
        <v>-2.19614569534873E-2</v>
      </c>
      <c r="J44" s="9">
        <f t="shared" si="7"/>
        <v>116930.38428571427</v>
      </c>
      <c r="K44" s="9">
        <f t="shared" si="9"/>
        <v>117314.7686666667</v>
      </c>
      <c r="M44" s="9">
        <f t="shared" si="8"/>
        <v>1.868522497487872E-2</v>
      </c>
      <c r="N44" s="9">
        <f t="shared" si="10"/>
        <v>1.4565293012334578E-2</v>
      </c>
    </row>
    <row r="45" spans="1:14" x14ac:dyDescent="0.35">
      <c r="A45" s="1">
        <v>42432</v>
      </c>
      <c r="B45" s="2" t="s">
        <v>45</v>
      </c>
      <c r="C45">
        <f t="shared" si="0"/>
        <v>112418.36</v>
      </c>
      <c r="D45">
        <f t="shared" si="1"/>
        <v>2016</v>
      </c>
      <c r="E45">
        <f t="shared" si="2"/>
        <v>3</v>
      </c>
      <c r="F45" t="str">
        <f t="shared" si="4"/>
        <v>March</v>
      </c>
      <c r="G45">
        <f t="shared" si="3"/>
        <v>3</v>
      </c>
      <c r="H45" s="7">
        <f t="shared" si="5"/>
        <v>-1.4458098341018226</v>
      </c>
      <c r="I45" s="9">
        <f t="shared" si="6"/>
        <v>-1.4563635120751222E-2</v>
      </c>
      <c r="J45" s="9">
        <f t="shared" si="7"/>
        <v>115986.56000000001</v>
      </c>
      <c r="K45" s="9">
        <f t="shared" si="9"/>
        <v>117243.90166666669</v>
      </c>
      <c r="M45" s="9">
        <f t="shared" si="8"/>
        <v>1.837984945926506E-2</v>
      </c>
      <c r="N45" s="9">
        <f t="shared" si="10"/>
        <v>1.4790686827272501E-2</v>
      </c>
    </row>
    <row r="46" spans="1:14" x14ac:dyDescent="0.35">
      <c r="A46" s="1">
        <v>42433</v>
      </c>
      <c r="B46" s="2" t="s">
        <v>46</v>
      </c>
      <c r="C46">
        <f t="shared" si="0"/>
        <v>111777.98</v>
      </c>
      <c r="D46">
        <f t="shared" si="1"/>
        <v>2016</v>
      </c>
      <c r="E46">
        <f t="shared" si="2"/>
        <v>3</v>
      </c>
      <c r="F46" t="str">
        <f t="shared" si="4"/>
        <v>March</v>
      </c>
      <c r="G46">
        <f t="shared" si="3"/>
        <v>4</v>
      </c>
      <c r="H46" s="7">
        <f t="shared" si="5"/>
        <v>-0.56964004812025781</v>
      </c>
      <c r="I46" s="9">
        <f t="shared" si="6"/>
        <v>-5.7126868489885234E-3</v>
      </c>
      <c r="J46" s="9">
        <f t="shared" si="7"/>
        <v>115068.40857142858</v>
      </c>
      <c r="K46" s="9">
        <f t="shared" si="9"/>
        <v>117057.75433333335</v>
      </c>
      <c r="M46" s="9">
        <f t="shared" si="8"/>
        <v>1.839900051066487E-2</v>
      </c>
      <c r="N46" s="9">
        <f t="shared" si="10"/>
        <v>1.4042518466817108E-2</v>
      </c>
    </row>
    <row r="47" spans="1:14" x14ac:dyDescent="0.35">
      <c r="A47" s="1">
        <v>42436</v>
      </c>
      <c r="B47" s="2" t="s">
        <v>47</v>
      </c>
      <c r="C47">
        <f t="shared" si="0"/>
        <v>112847.23</v>
      </c>
      <c r="D47">
        <f t="shared" si="1"/>
        <v>2016</v>
      </c>
      <c r="E47">
        <f t="shared" si="2"/>
        <v>3</v>
      </c>
      <c r="F47" t="str">
        <f t="shared" si="4"/>
        <v>March</v>
      </c>
      <c r="G47">
        <f t="shared" si="3"/>
        <v>7</v>
      </c>
      <c r="H47" s="7">
        <f t="shared" si="5"/>
        <v>0.95658375647869109</v>
      </c>
      <c r="I47" s="9">
        <f t="shared" si="6"/>
        <v>9.5203746379996096E-3</v>
      </c>
      <c r="J47" s="9">
        <f t="shared" si="7"/>
        <v>114114.56285714285</v>
      </c>
      <c r="K47" s="9">
        <f t="shared" si="9"/>
        <v>116906.65633333335</v>
      </c>
      <c r="M47" s="9">
        <f t="shared" si="8"/>
        <v>1.8134072872887496E-2</v>
      </c>
      <c r="N47" s="9">
        <f t="shared" si="10"/>
        <v>1.4186827946114778E-2</v>
      </c>
    </row>
    <row r="48" spans="1:14" x14ac:dyDescent="0.35">
      <c r="A48" s="1">
        <v>42437</v>
      </c>
      <c r="B48" s="2" t="s">
        <v>48</v>
      </c>
      <c r="C48">
        <f t="shared" si="0"/>
        <v>114312.68</v>
      </c>
      <c r="D48">
        <f t="shared" si="1"/>
        <v>2016</v>
      </c>
      <c r="E48">
        <f t="shared" si="2"/>
        <v>3</v>
      </c>
      <c r="F48" t="str">
        <f t="shared" si="4"/>
        <v>March</v>
      </c>
      <c r="G48">
        <f t="shared" si="3"/>
        <v>8</v>
      </c>
      <c r="H48" s="7">
        <f t="shared" si="5"/>
        <v>1.2986140643416741</v>
      </c>
      <c r="I48" s="9">
        <f t="shared" si="6"/>
        <v>1.2902543675832996E-2</v>
      </c>
      <c r="J48" s="9">
        <f t="shared" si="7"/>
        <v>114020.98857142856</v>
      </c>
      <c r="K48" s="9">
        <f t="shared" si="9"/>
        <v>116824.993</v>
      </c>
      <c r="M48" s="9">
        <f t="shared" si="8"/>
        <v>1.3517078823774301E-2</v>
      </c>
      <c r="N48" s="9">
        <f t="shared" si="10"/>
        <v>1.4398365682754785E-2</v>
      </c>
    </row>
    <row r="49" spans="1:14" x14ac:dyDescent="0.35">
      <c r="A49" s="1">
        <v>42438</v>
      </c>
      <c r="B49" s="2" t="s">
        <v>49</v>
      </c>
      <c r="C49">
        <f t="shared" si="0"/>
        <v>110804.74</v>
      </c>
      <c r="D49">
        <f t="shared" si="1"/>
        <v>2016</v>
      </c>
      <c r="E49">
        <f t="shared" si="2"/>
        <v>3</v>
      </c>
      <c r="F49" t="str">
        <f t="shared" si="4"/>
        <v>March</v>
      </c>
      <c r="G49">
        <f t="shared" si="3"/>
        <v>9</v>
      </c>
      <c r="H49" s="7">
        <f t="shared" si="5"/>
        <v>-3.068723434705571</v>
      </c>
      <c r="I49" s="9">
        <f t="shared" si="6"/>
        <v>-3.1167947599242355E-2</v>
      </c>
      <c r="J49" s="9">
        <f t="shared" si="7"/>
        <v>113261.27285714285</v>
      </c>
      <c r="K49" s="9">
        <f t="shared" si="9"/>
        <v>116570.38266666669</v>
      </c>
      <c r="M49" s="9">
        <f t="shared" si="8"/>
        <v>1.6625795039924243E-2</v>
      </c>
      <c r="N49" s="9">
        <f t="shared" si="10"/>
        <v>1.5138647868486274E-2</v>
      </c>
    </row>
    <row r="50" spans="1:14" x14ac:dyDescent="0.35">
      <c r="A50" s="1">
        <v>42439</v>
      </c>
      <c r="B50" s="2" t="s">
        <v>50</v>
      </c>
      <c r="C50">
        <f t="shared" si="0"/>
        <v>110460.06</v>
      </c>
      <c r="D50">
        <f t="shared" si="1"/>
        <v>2016</v>
      </c>
      <c r="E50">
        <f t="shared" si="2"/>
        <v>3</v>
      </c>
      <c r="F50" t="str">
        <f t="shared" si="4"/>
        <v>March</v>
      </c>
      <c r="G50">
        <f t="shared" si="3"/>
        <v>10</v>
      </c>
      <c r="H50" s="7">
        <f t="shared" si="5"/>
        <v>-0.31106972499552593</v>
      </c>
      <c r="I50" s="9">
        <f t="shared" si="6"/>
        <v>-3.1155455256015284E-3</v>
      </c>
      <c r="J50" s="9">
        <f t="shared" si="7"/>
        <v>112384.08714285713</v>
      </c>
      <c r="K50" s="9">
        <f t="shared" si="9"/>
        <v>116322.75366666667</v>
      </c>
      <c r="M50" s="9">
        <f t="shared" si="8"/>
        <v>1.6058280991453663E-2</v>
      </c>
      <c r="N50" s="9">
        <f t="shared" si="10"/>
        <v>1.5132528877737771E-2</v>
      </c>
    </row>
    <row r="51" spans="1:14" x14ac:dyDescent="0.35">
      <c r="A51" s="1">
        <v>42440</v>
      </c>
      <c r="B51" s="2" t="s">
        <v>51</v>
      </c>
      <c r="C51">
        <f t="shared" si="0"/>
        <v>110070.23</v>
      </c>
      <c r="D51">
        <f t="shared" si="1"/>
        <v>2016</v>
      </c>
      <c r="E51">
        <f t="shared" si="2"/>
        <v>3</v>
      </c>
      <c r="F51" t="str">
        <f t="shared" si="4"/>
        <v>March</v>
      </c>
      <c r="G51">
        <f t="shared" si="3"/>
        <v>11</v>
      </c>
      <c r="H51" s="7">
        <f t="shared" si="5"/>
        <v>-0.35291489068537696</v>
      </c>
      <c r="I51" s="9">
        <f t="shared" si="6"/>
        <v>-3.535391043470849E-3</v>
      </c>
      <c r="J51" s="9">
        <f t="shared" si="7"/>
        <v>111813.04000000001</v>
      </c>
      <c r="K51" s="9">
        <f t="shared" si="9"/>
        <v>116019.96466666668</v>
      </c>
      <c r="M51" s="9">
        <f t="shared" si="8"/>
        <v>1.479699604258013E-2</v>
      </c>
      <c r="N51" s="9">
        <f t="shared" si="10"/>
        <v>1.493781557609962E-2</v>
      </c>
    </row>
    <row r="52" spans="1:14" x14ac:dyDescent="0.35">
      <c r="A52" s="1">
        <v>42443</v>
      </c>
      <c r="B52" s="2" t="s">
        <v>52</v>
      </c>
      <c r="C52">
        <f t="shared" si="0"/>
        <v>110572.12</v>
      </c>
      <c r="D52">
        <f t="shared" si="1"/>
        <v>2016</v>
      </c>
      <c r="E52">
        <f t="shared" si="2"/>
        <v>3</v>
      </c>
      <c r="F52" t="str">
        <f t="shared" si="4"/>
        <v>March</v>
      </c>
      <c r="G52">
        <f t="shared" si="3"/>
        <v>14</v>
      </c>
      <c r="H52" s="7">
        <f t="shared" si="5"/>
        <v>0.45597251863651</v>
      </c>
      <c r="I52" s="9">
        <f t="shared" si="6"/>
        <v>4.5493611323608723E-3</v>
      </c>
      <c r="J52" s="9">
        <f t="shared" si="7"/>
        <v>111549.29142857142</v>
      </c>
      <c r="K52" s="9">
        <f t="shared" si="9"/>
        <v>115733.51733333335</v>
      </c>
      <c r="M52" s="9">
        <f t="shared" si="8"/>
        <v>1.4519632334882088E-2</v>
      </c>
      <c r="N52" s="9">
        <f t="shared" si="10"/>
        <v>1.4988008991201895E-2</v>
      </c>
    </row>
    <row r="53" spans="1:14" x14ac:dyDescent="0.35">
      <c r="A53" s="1">
        <v>42444</v>
      </c>
      <c r="B53" s="2" t="s">
        <v>53</v>
      </c>
      <c r="C53">
        <f t="shared" si="0"/>
        <v>113709.75999999999</v>
      </c>
      <c r="D53">
        <f t="shared" si="1"/>
        <v>2016</v>
      </c>
      <c r="E53">
        <f t="shared" si="2"/>
        <v>3</v>
      </c>
      <c r="F53" t="str">
        <f t="shared" si="4"/>
        <v>March</v>
      </c>
      <c r="G53">
        <f t="shared" si="3"/>
        <v>15</v>
      </c>
      <c r="H53" s="7">
        <f t="shared" si="5"/>
        <v>2.8376411703058597</v>
      </c>
      <c r="I53" s="9">
        <f t="shared" si="6"/>
        <v>2.7981259257257102E-2</v>
      </c>
      <c r="J53" s="9">
        <f t="shared" si="7"/>
        <v>111825.26</v>
      </c>
      <c r="K53" s="9">
        <f t="shared" si="9"/>
        <v>115689.94100000001</v>
      </c>
      <c r="M53" s="9">
        <f t="shared" si="8"/>
        <v>1.8314224677956143E-2</v>
      </c>
      <c r="N53" s="9">
        <f t="shared" si="10"/>
        <v>1.4650387331817168E-2</v>
      </c>
    </row>
    <row r="54" spans="1:14" x14ac:dyDescent="0.35">
      <c r="A54" s="1">
        <v>42445</v>
      </c>
      <c r="B54" s="2" t="s">
        <v>54</v>
      </c>
      <c r="C54">
        <f t="shared" si="0"/>
        <v>117252.45</v>
      </c>
      <c r="D54">
        <f t="shared" si="1"/>
        <v>2016</v>
      </c>
      <c r="E54">
        <f t="shared" si="2"/>
        <v>3</v>
      </c>
      <c r="F54" t="str">
        <f t="shared" si="4"/>
        <v>March</v>
      </c>
      <c r="G54">
        <f t="shared" si="3"/>
        <v>16</v>
      </c>
      <c r="H54" s="7">
        <f t="shared" si="5"/>
        <v>3.1155549004764431</v>
      </c>
      <c r="I54" s="9">
        <f t="shared" si="6"/>
        <v>3.068006562837455E-2</v>
      </c>
      <c r="J54" s="9">
        <f t="shared" si="7"/>
        <v>112454.57714285713</v>
      </c>
      <c r="K54" s="9">
        <f t="shared" si="9"/>
        <v>115776.32966666666</v>
      </c>
      <c r="M54" s="9">
        <f t="shared" si="8"/>
        <v>2.1195684879857592E-2</v>
      </c>
      <c r="N54" s="9">
        <f t="shared" si="10"/>
        <v>1.5695076329179849E-2</v>
      </c>
    </row>
    <row r="55" spans="1:14" x14ac:dyDescent="0.35">
      <c r="A55" s="1">
        <v>42446</v>
      </c>
      <c r="B55" s="2" t="s">
        <v>55</v>
      </c>
      <c r="C55">
        <f t="shared" si="0"/>
        <v>116562.25</v>
      </c>
      <c r="D55">
        <f t="shared" si="1"/>
        <v>2016</v>
      </c>
      <c r="E55">
        <f t="shared" si="2"/>
        <v>3</v>
      </c>
      <c r="F55" t="str">
        <f t="shared" si="4"/>
        <v>March</v>
      </c>
      <c r="G55">
        <f t="shared" si="3"/>
        <v>17</v>
      </c>
      <c r="H55" s="7">
        <f t="shared" si="5"/>
        <v>-0.58864441638532683</v>
      </c>
      <c r="I55" s="9">
        <f t="shared" si="6"/>
        <v>-5.9038375667517483E-3</v>
      </c>
      <c r="J55" s="9">
        <f t="shared" si="7"/>
        <v>112775.94428571427</v>
      </c>
      <c r="K55" s="9">
        <f t="shared" si="9"/>
        <v>115822.38700000002</v>
      </c>
      <c r="M55" s="9">
        <f t="shared" si="8"/>
        <v>2.1288343678659699E-2</v>
      </c>
      <c r="N55" s="9">
        <f t="shared" si="10"/>
        <v>1.5723956106891708E-2</v>
      </c>
    </row>
    <row r="56" spans="1:14" x14ac:dyDescent="0.35">
      <c r="A56" s="1">
        <v>42447</v>
      </c>
      <c r="B56" s="2" t="s">
        <v>56</v>
      </c>
      <c r="C56">
        <f t="shared" si="0"/>
        <v>114924.21</v>
      </c>
      <c r="D56">
        <f t="shared" si="1"/>
        <v>2016</v>
      </c>
      <c r="E56">
        <f t="shared" si="2"/>
        <v>3</v>
      </c>
      <c r="F56" t="str">
        <f t="shared" si="4"/>
        <v>March</v>
      </c>
      <c r="G56">
        <f t="shared" si="3"/>
        <v>18</v>
      </c>
      <c r="H56" s="7">
        <f t="shared" si="5"/>
        <v>-1.4052920220740366</v>
      </c>
      <c r="I56" s="9">
        <f t="shared" si="6"/>
        <v>-1.415259744334366E-2</v>
      </c>
      <c r="J56" s="9">
        <f t="shared" si="7"/>
        <v>113364.43999999999</v>
      </c>
      <c r="K56" s="9">
        <f t="shared" si="9"/>
        <v>115857.66333333334</v>
      </c>
      <c r="M56" s="9">
        <f t="shared" si="8"/>
        <v>1.7377739181940507E-2</v>
      </c>
      <c r="N56" s="9">
        <f t="shared" si="10"/>
        <v>1.5800975854927634E-2</v>
      </c>
    </row>
    <row r="57" spans="1:14" x14ac:dyDescent="0.35">
      <c r="A57" s="1">
        <v>42451</v>
      </c>
      <c r="B57" s="2" t="s">
        <v>57</v>
      </c>
      <c r="C57">
        <f t="shared" si="0"/>
        <v>116948.44</v>
      </c>
      <c r="D57">
        <f t="shared" si="1"/>
        <v>2016</v>
      </c>
      <c r="E57">
        <f t="shared" si="2"/>
        <v>3</v>
      </c>
      <c r="F57" t="str">
        <f t="shared" si="4"/>
        <v>March</v>
      </c>
      <c r="G57">
        <f t="shared" si="3"/>
        <v>22</v>
      </c>
      <c r="H57" s="7">
        <f t="shared" si="5"/>
        <v>1.7613608133569034</v>
      </c>
      <c r="I57" s="9">
        <f t="shared" si="6"/>
        <v>1.7460286287074134E-2</v>
      </c>
      <c r="J57" s="9">
        <f t="shared" si="7"/>
        <v>114291.35142857142</v>
      </c>
      <c r="K57" s="9">
        <f t="shared" si="9"/>
        <v>115942.60033333334</v>
      </c>
      <c r="M57" s="9">
        <f t="shared" si="8"/>
        <v>1.7473757359268038E-2</v>
      </c>
      <c r="N57" s="9">
        <f t="shared" si="10"/>
        <v>1.6092478645040296E-2</v>
      </c>
    </row>
    <row r="58" spans="1:14" x14ac:dyDescent="0.35">
      <c r="A58" s="1">
        <v>42452</v>
      </c>
      <c r="B58" s="2" t="s">
        <v>58</v>
      </c>
      <c r="C58">
        <f t="shared" si="0"/>
        <v>117398.52</v>
      </c>
      <c r="D58">
        <f t="shared" si="1"/>
        <v>2016</v>
      </c>
      <c r="E58">
        <f t="shared" si="2"/>
        <v>3</v>
      </c>
      <c r="F58" t="str">
        <f t="shared" si="4"/>
        <v>March</v>
      </c>
      <c r="G58">
        <f t="shared" si="3"/>
        <v>23</v>
      </c>
      <c r="H58" s="7">
        <f t="shared" si="5"/>
        <v>0.38485335930945441</v>
      </c>
      <c r="I58" s="9">
        <f t="shared" si="6"/>
        <v>3.841146933491977E-3</v>
      </c>
      <c r="J58" s="9">
        <f t="shared" si="7"/>
        <v>115338.25</v>
      </c>
      <c r="K58" s="9">
        <f t="shared" si="9"/>
        <v>115970.35200000003</v>
      </c>
      <c r="M58" s="9">
        <f t="shared" si="8"/>
        <v>1.6863057601007637E-2</v>
      </c>
      <c r="N58" s="9">
        <f t="shared" si="10"/>
        <v>1.5743219499633813E-2</v>
      </c>
    </row>
    <row r="59" spans="1:14" x14ac:dyDescent="0.35">
      <c r="A59" s="1">
        <v>42453</v>
      </c>
      <c r="B59" s="2" t="s">
        <v>59</v>
      </c>
      <c r="C59">
        <f t="shared" si="0"/>
        <v>119606.91</v>
      </c>
      <c r="D59">
        <f t="shared" si="1"/>
        <v>2016</v>
      </c>
      <c r="E59">
        <f t="shared" si="2"/>
        <v>3</v>
      </c>
      <c r="F59" t="str">
        <f t="shared" si="4"/>
        <v>March</v>
      </c>
      <c r="G59">
        <f t="shared" si="3"/>
        <v>24</v>
      </c>
      <c r="H59" s="7">
        <f t="shared" si="5"/>
        <v>1.8811054858272485</v>
      </c>
      <c r="I59" s="9">
        <f t="shared" si="6"/>
        <v>1.8636314926360378E-2</v>
      </c>
      <c r="J59" s="9">
        <f t="shared" si="7"/>
        <v>116628.93428571429</v>
      </c>
      <c r="K59" s="9">
        <f t="shared" si="9"/>
        <v>116075.6126666667</v>
      </c>
      <c r="M59" s="9">
        <f t="shared" si="8"/>
        <v>1.705392844185101E-2</v>
      </c>
      <c r="N59" s="9">
        <f t="shared" si="10"/>
        <v>1.6094280918157379E-2</v>
      </c>
    </row>
    <row r="60" spans="1:14" x14ac:dyDescent="0.35">
      <c r="A60" s="1">
        <v>42458</v>
      </c>
      <c r="B60" s="2" t="s">
        <v>60</v>
      </c>
      <c r="C60">
        <f t="shared" si="0"/>
        <v>116785.77</v>
      </c>
      <c r="D60">
        <f t="shared" si="1"/>
        <v>2016</v>
      </c>
      <c r="E60">
        <f t="shared" si="2"/>
        <v>3</v>
      </c>
      <c r="F60" t="str">
        <f t="shared" si="4"/>
        <v>March</v>
      </c>
      <c r="G60">
        <f t="shared" si="3"/>
        <v>29</v>
      </c>
      <c r="H60" s="7">
        <f t="shared" si="5"/>
        <v>-2.3586764343297548</v>
      </c>
      <c r="I60" s="9">
        <f t="shared" si="6"/>
        <v>-2.3869384987098077E-2</v>
      </c>
      <c r="J60" s="9">
        <f t="shared" si="7"/>
        <v>117068.3642857143</v>
      </c>
      <c r="K60" s="9">
        <f t="shared" si="9"/>
        <v>116032.86066666667</v>
      </c>
      <c r="M60" s="9">
        <f t="shared" si="8"/>
        <v>1.962699314024953E-2</v>
      </c>
      <c r="N60" s="9">
        <f t="shared" si="10"/>
        <v>1.6516122809719969E-2</v>
      </c>
    </row>
    <row r="61" spans="1:14" x14ac:dyDescent="0.35">
      <c r="A61" s="1">
        <v>42459</v>
      </c>
      <c r="B61" s="2" t="s">
        <v>61</v>
      </c>
      <c r="C61">
        <f t="shared" si="0"/>
        <v>116583.41</v>
      </c>
      <c r="D61">
        <f t="shared" si="1"/>
        <v>2016</v>
      </c>
      <c r="E61">
        <f t="shared" si="2"/>
        <v>3</v>
      </c>
      <c r="F61" t="str">
        <f t="shared" si="4"/>
        <v>March</v>
      </c>
      <c r="G61">
        <f t="shared" si="3"/>
        <v>30</v>
      </c>
      <c r="H61" s="7">
        <f t="shared" si="5"/>
        <v>-0.1732745350739226</v>
      </c>
      <c r="I61" s="9">
        <f t="shared" si="6"/>
        <v>-1.7342482903564618E-3</v>
      </c>
      <c r="J61" s="9">
        <f t="shared" si="7"/>
        <v>116972.78714285717</v>
      </c>
      <c r="K61" s="9">
        <f t="shared" si="9"/>
        <v>115971.89966666669</v>
      </c>
      <c r="M61" s="9">
        <f t="shared" si="8"/>
        <v>1.5653310941267561E-2</v>
      </c>
      <c r="N61" s="9">
        <f t="shared" si="10"/>
        <v>1.650614900290473E-2</v>
      </c>
    </row>
    <row r="62" spans="1:14" x14ac:dyDescent="0.35">
      <c r="A62" s="1">
        <v>42460</v>
      </c>
      <c r="B62" s="2" t="s">
        <v>62</v>
      </c>
      <c r="C62">
        <f t="shared" si="0"/>
        <v>120167.42</v>
      </c>
      <c r="D62">
        <f t="shared" si="1"/>
        <v>2016</v>
      </c>
      <c r="E62">
        <f t="shared" si="2"/>
        <v>3</v>
      </c>
      <c r="F62" t="str">
        <f t="shared" si="4"/>
        <v>March</v>
      </c>
      <c r="G62">
        <f t="shared" si="3"/>
        <v>31</v>
      </c>
      <c r="H62" s="7">
        <f t="shared" si="5"/>
        <v>3.0742024101027705</v>
      </c>
      <c r="I62" s="9">
        <f t="shared" si="6"/>
        <v>3.0278954618133486E-2</v>
      </c>
      <c r="J62" s="9">
        <f t="shared" si="7"/>
        <v>117487.81142857145</v>
      </c>
      <c r="K62" s="9">
        <f t="shared" si="9"/>
        <v>115977.30533333335</v>
      </c>
      <c r="M62" s="9">
        <f t="shared" si="8"/>
        <v>1.9253769685136365E-2</v>
      </c>
      <c r="N62" s="9">
        <f t="shared" si="10"/>
        <v>1.7268054411211816E-2</v>
      </c>
    </row>
    <row r="63" spans="1:14" x14ac:dyDescent="0.35">
      <c r="A63" s="1">
        <v>42461</v>
      </c>
      <c r="B63" s="2" t="s">
        <v>63</v>
      </c>
      <c r="C63">
        <f t="shared" si="0"/>
        <v>121114.33</v>
      </c>
      <c r="D63">
        <f t="shared" si="1"/>
        <v>2016</v>
      </c>
      <c r="E63">
        <f t="shared" si="2"/>
        <v>4</v>
      </c>
      <c r="F63" t="str">
        <f t="shared" si="4"/>
        <v>April</v>
      </c>
      <c r="G63">
        <f t="shared" si="3"/>
        <v>1</v>
      </c>
      <c r="H63" s="7">
        <f t="shared" si="5"/>
        <v>0.78799228609551863</v>
      </c>
      <c r="I63" s="9">
        <f t="shared" si="6"/>
        <v>7.8490384074544808E-3</v>
      </c>
      <c r="J63" s="9">
        <f t="shared" si="7"/>
        <v>118372.1142857143</v>
      </c>
      <c r="K63" s="9">
        <f t="shared" si="9"/>
        <v>115972.80400000002</v>
      </c>
      <c r="M63" s="9">
        <f t="shared" si="8"/>
        <v>1.7440011806988991E-2</v>
      </c>
      <c r="N63" s="9">
        <f t="shared" si="10"/>
        <v>1.7223317047293293E-2</v>
      </c>
    </row>
    <row r="64" spans="1:14" x14ac:dyDescent="0.35">
      <c r="A64" s="1">
        <v>42464</v>
      </c>
      <c r="B64" s="2" t="s">
        <v>64</v>
      </c>
      <c r="C64">
        <f t="shared" si="0"/>
        <v>119962.82</v>
      </c>
      <c r="D64">
        <f t="shared" si="1"/>
        <v>2016</v>
      </c>
      <c r="E64">
        <f t="shared" si="2"/>
        <v>4</v>
      </c>
      <c r="F64" t="str">
        <f t="shared" si="4"/>
        <v>April</v>
      </c>
      <c r="G64">
        <f t="shared" si="3"/>
        <v>4</v>
      </c>
      <c r="H64" s="7">
        <f t="shared" si="5"/>
        <v>-0.95076280403813052</v>
      </c>
      <c r="I64" s="9">
        <f t="shared" si="6"/>
        <v>-9.5531140749842234E-3</v>
      </c>
      <c r="J64" s="9">
        <f t="shared" si="7"/>
        <v>118802.73999999999</v>
      </c>
      <c r="K64" s="9">
        <f t="shared" si="9"/>
        <v>116014.28000000001</v>
      </c>
      <c r="M64" s="9">
        <f t="shared" si="8"/>
        <v>1.7851175288496657E-2</v>
      </c>
      <c r="N64" s="9">
        <f t="shared" si="10"/>
        <v>1.6861879040016192E-2</v>
      </c>
    </row>
    <row r="65" spans="1:14" x14ac:dyDescent="0.35">
      <c r="A65" s="1">
        <v>42465</v>
      </c>
      <c r="B65" s="2" t="s">
        <v>65</v>
      </c>
      <c r="C65">
        <f t="shared" si="0"/>
        <v>126991</v>
      </c>
      <c r="D65">
        <f t="shared" si="1"/>
        <v>2016</v>
      </c>
      <c r="E65">
        <f t="shared" si="2"/>
        <v>4</v>
      </c>
      <c r="F65" t="str">
        <f t="shared" si="4"/>
        <v>April</v>
      </c>
      <c r="G65">
        <f t="shared" si="3"/>
        <v>5</v>
      </c>
      <c r="H65" s="7">
        <f t="shared" si="5"/>
        <v>5.8586318661065091</v>
      </c>
      <c r="I65" s="9">
        <f t="shared" si="6"/>
        <v>5.6934356365286487E-2</v>
      </c>
      <c r="J65" s="9">
        <f t="shared" si="7"/>
        <v>120173.09428571428</v>
      </c>
      <c r="K65" s="9">
        <f t="shared" si="9"/>
        <v>116268.87266666668</v>
      </c>
      <c r="M65" s="9">
        <f t="shared" si="8"/>
        <v>2.6925858059871813E-2</v>
      </c>
      <c r="N65" s="9">
        <f t="shared" si="10"/>
        <v>1.976921080046834E-2</v>
      </c>
    </row>
    <row r="66" spans="1:14" x14ac:dyDescent="0.35">
      <c r="A66" s="1">
        <v>42466</v>
      </c>
      <c r="B66" s="2" t="s">
        <v>66</v>
      </c>
      <c r="C66">
        <f t="shared" si="0"/>
        <v>128455.67999999999</v>
      </c>
      <c r="D66">
        <f t="shared" si="1"/>
        <v>2016</v>
      </c>
      <c r="E66">
        <f t="shared" si="2"/>
        <v>4</v>
      </c>
      <c r="F66" t="str">
        <f t="shared" si="4"/>
        <v>April</v>
      </c>
      <c r="G66">
        <f t="shared" si="3"/>
        <v>6</v>
      </c>
      <c r="H66" s="7">
        <f t="shared" si="5"/>
        <v>1.1533730736823815</v>
      </c>
      <c r="I66" s="9">
        <f t="shared" si="6"/>
        <v>1.1467724313179356E-2</v>
      </c>
      <c r="J66" s="9">
        <f t="shared" si="7"/>
        <v>121437.20428571428</v>
      </c>
      <c r="K66" s="9">
        <f t="shared" si="9"/>
        <v>116557.53433333334</v>
      </c>
      <c r="M66" s="9">
        <f t="shared" si="8"/>
        <v>2.6732418890591518E-2</v>
      </c>
      <c r="N66" s="9">
        <f t="shared" si="10"/>
        <v>1.984205810450531E-2</v>
      </c>
    </row>
    <row r="67" spans="1:14" x14ac:dyDescent="0.35">
      <c r="A67" s="1">
        <v>42467</v>
      </c>
      <c r="B67" s="2" t="s">
        <v>67</v>
      </c>
      <c r="C67">
        <f t="shared" ref="C67:C130" si="11">_xlfn.NUMBERVALUE(B67,".",",")</f>
        <v>126583.84</v>
      </c>
      <c r="D67">
        <f t="shared" ref="D67:D130" si="12">YEAR(A67)</f>
        <v>2016</v>
      </c>
      <c r="E67">
        <f t="shared" ref="E67:E130" si="13">MONTH(A67)</f>
        <v>4</v>
      </c>
      <c r="F67" t="str">
        <f t="shared" si="4"/>
        <v>April</v>
      </c>
      <c r="G67">
        <f t="shared" ref="G67:G130" si="14">DAY(A67)</f>
        <v>7</v>
      </c>
      <c r="H67" s="7">
        <f t="shared" si="5"/>
        <v>-1.4571874128103923</v>
      </c>
      <c r="I67" s="9">
        <f t="shared" si="6"/>
        <v>-1.4679086685841352E-2</v>
      </c>
      <c r="J67" s="9">
        <f t="shared" si="7"/>
        <v>122836.92857142855</v>
      </c>
      <c r="K67" s="9">
        <f t="shared" si="9"/>
        <v>116827.43</v>
      </c>
      <c r="M67" s="9">
        <f t="shared" si="8"/>
        <v>2.4946554132846924E-2</v>
      </c>
      <c r="N67" s="9">
        <f t="shared" si="10"/>
        <v>1.9938722237979368E-2</v>
      </c>
    </row>
    <row r="68" spans="1:14" x14ac:dyDescent="0.35">
      <c r="A68" s="1">
        <v>42468</v>
      </c>
      <c r="B68" s="2" t="s">
        <v>68</v>
      </c>
      <c r="C68">
        <f t="shared" si="11"/>
        <v>126742.36</v>
      </c>
      <c r="D68">
        <f t="shared" si="12"/>
        <v>2016</v>
      </c>
      <c r="E68">
        <f t="shared" si="13"/>
        <v>4</v>
      </c>
      <c r="F68" t="str">
        <f t="shared" ref="F68:F131" si="15">TEXT(A68,"mmmm")</f>
        <v>April</v>
      </c>
      <c r="G68">
        <f t="shared" si="14"/>
        <v>8</v>
      </c>
      <c r="H68" s="7">
        <f t="shared" ref="H68:H131" si="16">((C68-C67)/C67)*100</f>
        <v>0.12522925517191144</v>
      </c>
      <c r="I68" s="9">
        <f t="shared" ref="I68:I131" si="17">LN(C68/C67)</f>
        <v>1.2515090874176838E-3</v>
      </c>
      <c r="J68" s="9">
        <f t="shared" si="7"/>
        <v>124288.20714285714</v>
      </c>
      <c r="K68" s="9">
        <f t="shared" si="9"/>
        <v>117084.671</v>
      </c>
      <c r="M68" s="9">
        <f t="shared" si="8"/>
        <v>2.4706752804926672E-2</v>
      </c>
      <c r="N68" s="9">
        <f t="shared" si="10"/>
        <v>1.9934507735002185E-2</v>
      </c>
    </row>
    <row r="69" spans="1:14" x14ac:dyDescent="0.35">
      <c r="A69" s="1">
        <v>42471</v>
      </c>
      <c r="B69" s="2" t="s">
        <v>69</v>
      </c>
      <c r="C69">
        <f t="shared" si="11"/>
        <v>125162.06</v>
      </c>
      <c r="D69">
        <f t="shared" si="12"/>
        <v>2016</v>
      </c>
      <c r="E69">
        <f t="shared" si="13"/>
        <v>4</v>
      </c>
      <c r="F69" t="str">
        <f t="shared" si="15"/>
        <v>April</v>
      </c>
      <c r="G69">
        <f t="shared" si="14"/>
        <v>11</v>
      </c>
      <c r="H69" s="7">
        <f t="shared" si="16"/>
        <v>-1.2468601657725191</v>
      </c>
      <c r="I69" s="9">
        <f t="shared" si="17"/>
        <v>-1.2546986922690188E-2</v>
      </c>
      <c r="J69" s="9">
        <f t="shared" si="7"/>
        <v>125001.72714285715</v>
      </c>
      <c r="K69" s="9">
        <f t="shared" si="9"/>
        <v>117316.57166666667</v>
      </c>
      <c r="M69" s="9">
        <f t="shared" si="8"/>
        <v>2.4709828285498499E-2</v>
      </c>
      <c r="N69" s="9">
        <f t="shared" si="10"/>
        <v>2.0048486446178706E-2</v>
      </c>
    </row>
    <row r="70" spans="1:14" x14ac:dyDescent="0.35">
      <c r="A70" s="1">
        <v>42472</v>
      </c>
      <c r="B70" s="2" t="s">
        <v>70</v>
      </c>
      <c r="C70">
        <f t="shared" si="11"/>
        <v>125052.11</v>
      </c>
      <c r="D70">
        <f t="shared" si="12"/>
        <v>2016</v>
      </c>
      <c r="E70">
        <f t="shared" si="13"/>
        <v>4</v>
      </c>
      <c r="F70" t="str">
        <f t="shared" si="15"/>
        <v>April</v>
      </c>
      <c r="G70">
        <f t="shared" si="14"/>
        <v>12</v>
      </c>
      <c r="H70" s="7">
        <f t="shared" si="16"/>
        <v>-8.7846109276243201E-2</v>
      </c>
      <c r="I70" s="9">
        <f t="shared" si="17"/>
        <v>-8.7884716582487909E-4</v>
      </c>
      <c r="J70" s="9">
        <f t="shared" si="7"/>
        <v>125564.26714285715</v>
      </c>
      <c r="K70" s="9">
        <f t="shared" si="9"/>
        <v>117500.837</v>
      </c>
      <c r="M70" s="9">
        <f t="shared" si="8"/>
        <v>2.4810238686014948E-2</v>
      </c>
      <c r="N70" s="9">
        <f t="shared" si="10"/>
        <v>1.997826934071386E-2</v>
      </c>
    </row>
    <row r="71" spans="1:14" x14ac:dyDescent="0.35">
      <c r="A71" s="1">
        <v>42473</v>
      </c>
      <c r="B71" s="2" t="s">
        <v>71</v>
      </c>
      <c r="C71">
        <f t="shared" si="11"/>
        <v>123022.03</v>
      </c>
      <c r="D71">
        <f t="shared" si="12"/>
        <v>2016</v>
      </c>
      <c r="E71">
        <f t="shared" si="13"/>
        <v>4</v>
      </c>
      <c r="F71" t="str">
        <f t="shared" si="15"/>
        <v>April</v>
      </c>
      <c r="G71">
        <f t="shared" si="14"/>
        <v>13</v>
      </c>
      <c r="H71" s="7">
        <f t="shared" si="16"/>
        <v>-1.6233872423264204</v>
      </c>
      <c r="I71" s="9">
        <f t="shared" si="17"/>
        <v>-1.6367085406011103E-2</v>
      </c>
      <c r="J71" s="9">
        <f t="shared" si="7"/>
        <v>126001.29714285713</v>
      </c>
      <c r="K71" s="9">
        <f t="shared" si="9"/>
        <v>117769.31466666663</v>
      </c>
      <c r="M71" s="9">
        <f t="shared" si="8"/>
        <v>2.557852218880062E-2</v>
      </c>
      <c r="N71" s="9">
        <f t="shared" si="10"/>
        <v>1.8797773881682672E-2</v>
      </c>
    </row>
    <row r="72" spans="1:14" x14ac:dyDescent="0.35">
      <c r="A72" s="1">
        <v>42474</v>
      </c>
      <c r="B72" s="2" t="s">
        <v>72</v>
      </c>
      <c r="C72">
        <f t="shared" si="11"/>
        <v>121844.58</v>
      </c>
      <c r="D72">
        <f t="shared" si="12"/>
        <v>2016</v>
      </c>
      <c r="E72">
        <f t="shared" si="13"/>
        <v>4</v>
      </c>
      <c r="F72" t="str">
        <f t="shared" si="15"/>
        <v>April</v>
      </c>
      <c r="G72">
        <f t="shared" si="14"/>
        <v>14</v>
      </c>
      <c r="H72" s="7">
        <f t="shared" si="16"/>
        <v>-0.95710499981181996</v>
      </c>
      <c r="I72" s="9">
        <f t="shared" si="17"/>
        <v>-9.6171468632181012E-3</v>
      </c>
      <c r="J72" s="9">
        <f t="shared" si="7"/>
        <v>125266.09428571429</v>
      </c>
      <c r="K72" s="9">
        <f t="shared" si="9"/>
        <v>117960.0423333333</v>
      </c>
      <c r="M72" s="9">
        <f t="shared" si="8"/>
        <v>1.0186797528531523E-2</v>
      </c>
      <c r="N72" s="9">
        <f t="shared" si="10"/>
        <v>1.8860290628895011E-2</v>
      </c>
    </row>
    <row r="73" spans="1:14" x14ac:dyDescent="0.35">
      <c r="A73" s="1">
        <v>42475</v>
      </c>
      <c r="B73" s="2" t="s">
        <v>73</v>
      </c>
      <c r="C73">
        <f t="shared" si="11"/>
        <v>122517.32</v>
      </c>
      <c r="D73">
        <f t="shared" si="12"/>
        <v>2016</v>
      </c>
      <c r="E73">
        <f t="shared" si="13"/>
        <v>4</v>
      </c>
      <c r="F73" t="str">
        <f t="shared" si="15"/>
        <v>April</v>
      </c>
      <c r="G73">
        <f t="shared" si="14"/>
        <v>15</v>
      </c>
      <c r="H73" s="7">
        <f t="shared" si="16"/>
        <v>0.55212960642156195</v>
      </c>
      <c r="I73" s="9">
        <f t="shared" si="17"/>
        <v>5.5061095828303225E-3</v>
      </c>
      <c r="J73" s="9">
        <f t="shared" ref="J73:J136" si="18">AVERAGE(C67:C73)</f>
        <v>124417.75714285715</v>
      </c>
      <c r="K73" s="9">
        <f t="shared" si="9"/>
        <v>118157.27433333331</v>
      </c>
      <c r="M73" s="9">
        <f t="shared" si="8"/>
        <v>8.6206166792790282E-3</v>
      </c>
      <c r="N73" s="9">
        <f t="shared" si="10"/>
        <v>1.8868434327426017E-2</v>
      </c>
    </row>
    <row r="74" spans="1:14" x14ac:dyDescent="0.35">
      <c r="A74" s="1">
        <v>42478</v>
      </c>
      <c r="B74" s="2" t="s">
        <v>74</v>
      </c>
      <c r="C74">
        <f t="shared" si="11"/>
        <v>119410.04</v>
      </c>
      <c r="D74">
        <f t="shared" si="12"/>
        <v>2016</v>
      </c>
      <c r="E74">
        <f t="shared" si="13"/>
        <v>4</v>
      </c>
      <c r="F74" t="str">
        <f t="shared" si="15"/>
        <v>April</v>
      </c>
      <c r="G74">
        <f t="shared" si="14"/>
        <v>18</v>
      </c>
      <c r="H74" s="7">
        <f t="shared" si="16"/>
        <v>-2.5361965149090864</v>
      </c>
      <c r="I74" s="9">
        <f t="shared" si="17"/>
        <v>-2.5689123220020128E-2</v>
      </c>
      <c r="J74" s="9">
        <f t="shared" si="18"/>
        <v>123392.92857142857</v>
      </c>
      <c r="K74" s="9">
        <f t="shared" si="9"/>
        <v>118335.35699999997</v>
      </c>
      <c r="M74" s="9">
        <f t="shared" ref="M74:M137" si="19">STDEV(I68:I74)</f>
        <v>1.0985872803246734E-2</v>
      </c>
      <c r="N74" s="9">
        <f t="shared" si="10"/>
        <v>1.9040773122871224E-2</v>
      </c>
    </row>
    <row r="75" spans="1:14" x14ac:dyDescent="0.35">
      <c r="A75" s="1">
        <v>42479</v>
      </c>
      <c r="B75" s="2" t="s">
        <v>75</v>
      </c>
      <c r="C75">
        <f t="shared" si="11"/>
        <v>120988.65</v>
      </c>
      <c r="D75">
        <f t="shared" si="12"/>
        <v>2016</v>
      </c>
      <c r="E75">
        <f t="shared" si="13"/>
        <v>4</v>
      </c>
      <c r="F75" t="str">
        <f t="shared" si="15"/>
        <v>April</v>
      </c>
      <c r="G75">
        <f t="shared" si="14"/>
        <v>19</v>
      </c>
      <c r="H75" s="7">
        <f t="shared" si="16"/>
        <v>1.3220077641712544</v>
      </c>
      <c r="I75" s="9">
        <f t="shared" si="17"/>
        <v>1.3133455018641374E-2</v>
      </c>
      <c r="J75" s="9">
        <f t="shared" si="18"/>
        <v>122570.97</v>
      </c>
      <c r="K75" s="9">
        <f t="shared" si="9"/>
        <v>118621.0333333333</v>
      </c>
      <c r="M75" s="9">
        <f t="shared" si="19"/>
        <v>1.3372543437596838E-2</v>
      </c>
      <c r="N75" s="9">
        <f t="shared" si="10"/>
        <v>1.8904733904463514E-2</v>
      </c>
    </row>
    <row r="76" spans="1:14" x14ac:dyDescent="0.35">
      <c r="A76" s="1">
        <v>42480</v>
      </c>
      <c r="B76" s="2" t="s">
        <v>76</v>
      </c>
      <c r="C76">
        <f t="shared" si="11"/>
        <v>120584.07</v>
      </c>
      <c r="D76">
        <f t="shared" si="12"/>
        <v>2016</v>
      </c>
      <c r="E76">
        <f t="shared" si="13"/>
        <v>4</v>
      </c>
      <c r="F76" t="str">
        <f t="shared" si="15"/>
        <v>April</v>
      </c>
      <c r="G76">
        <f t="shared" si="14"/>
        <v>20</v>
      </c>
      <c r="H76" s="7">
        <f t="shared" si="16"/>
        <v>-0.33439500316764192</v>
      </c>
      <c r="I76" s="9">
        <f t="shared" si="17"/>
        <v>-3.349553527945187E-3</v>
      </c>
      <c r="J76" s="9">
        <f t="shared" si="18"/>
        <v>121916.97142857143</v>
      </c>
      <c r="K76" s="9">
        <f t="shared" si="9"/>
        <v>118914.56966666663</v>
      </c>
      <c r="M76" s="9">
        <f t="shared" si="19"/>
        <v>1.3144997946950584E-2</v>
      </c>
      <c r="N76" s="9">
        <f t="shared" si="10"/>
        <v>1.8874452705999255E-2</v>
      </c>
    </row>
    <row r="77" spans="1:14" x14ac:dyDescent="0.35">
      <c r="A77" s="1">
        <v>42481</v>
      </c>
      <c r="B77" s="2" t="s">
        <v>77</v>
      </c>
      <c r="C77">
        <f t="shared" si="11"/>
        <v>122213.4</v>
      </c>
      <c r="D77">
        <f t="shared" si="12"/>
        <v>2016</v>
      </c>
      <c r="E77">
        <f t="shared" si="13"/>
        <v>4</v>
      </c>
      <c r="F77" t="str">
        <f t="shared" si="15"/>
        <v>April</v>
      </c>
      <c r="G77">
        <f t="shared" si="14"/>
        <v>21</v>
      </c>
      <c r="H77" s="7">
        <f t="shared" si="16"/>
        <v>1.3511983796864604</v>
      </c>
      <c r="I77" s="9">
        <f t="shared" si="17"/>
        <v>1.3421511010574823E-2</v>
      </c>
      <c r="J77" s="9">
        <f t="shared" si="18"/>
        <v>121511.44142857143</v>
      </c>
      <c r="K77" s="9">
        <f t="shared" si="9"/>
        <v>119226.77533333329</v>
      </c>
      <c r="M77" s="9">
        <f t="shared" si="19"/>
        <v>1.4939559190173255E-2</v>
      </c>
      <c r="N77" s="9">
        <f t="shared" si="10"/>
        <v>1.8937623463374534E-2</v>
      </c>
    </row>
    <row r="78" spans="1:14" x14ac:dyDescent="0.35">
      <c r="A78" s="1">
        <v>42482</v>
      </c>
      <c r="B78" s="2" t="s">
        <v>78</v>
      </c>
      <c r="C78">
        <f t="shared" si="11"/>
        <v>121752.86</v>
      </c>
      <c r="D78">
        <f t="shared" si="12"/>
        <v>2016</v>
      </c>
      <c r="E78">
        <f t="shared" si="13"/>
        <v>4</v>
      </c>
      <c r="F78" t="str">
        <f t="shared" si="15"/>
        <v>April</v>
      </c>
      <c r="G78">
        <f t="shared" si="14"/>
        <v>22</v>
      </c>
      <c r="H78" s="7">
        <f t="shared" si="16"/>
        <v>-0.37683265501163837</v>
      </c>
      <c r="I78" s="9">
        <f t="shared" si="17"/>
        <v>-3.7754445802786656E-3</v>
      </c>
      <c r="J78" s="9">
        <f t="shared" si="18"/>
        <v>121330.13142857142</v>
      </c>
      <c r="K78" s="9">
        <f t="shared" si="9"/>
        <v>119474.78133333329</v>
      </c>
      <c r="M78" s="9">
        <f t="shared" si="19"/>
        <v>1.3817096370154939E-2</v>
      </c>
      <c r="N78" s="9">
        <f t="shared" si="10"/>
        <v>1.8871190980245912E-2</v>
      </c>
    </row>
    <row r="79" spans="1:14" x14ac:dyDescent="0.35">
      <c r="A79" s="1">
        <v>42485</v>
      </c>
      <c r="B79" s="2" t="s">
        <v>79</v>
      </c>
      <c r="C79">
        <f t="shared" si="11"/>
        <v>120886.62</v>
      </c>
      <c r="D79">
        <f t="shared" si="12"/>
        <v>2016</v>
      </c>
      <c r="E79">
        <f t="shared" si="13"/>
        <v>4</v>
      </c>
      <c r="F79" t="str">
        <f t="shared" si="15"/>
        <v>April</v>
      </c>
      <c r="G79">
        <f t="shared" si="14"/>
        <v>25</v>
      </c>
      <c r="H79" s="7">
        <f t="shared" si="16"/>
        <v>-0.71147404668769598</v>
      </c>
      <c r="I79" s="9">
        <f t="shared" si="17"/>
        <v>-7.1401709253619411E-3</v>
      </c>
      <c r="J79" s="9">
        <f t="shared" si="18"/>
        <v>121193.28</v>
      </c>
      <c r="K79" s="9">
        <f t="shared" si="9"/>
        <v>119810.84399999997</v>
      </c>
      <c r="M79" s="9">
        <f t="shared" si="19"/>
        <v>1.3604092611501119E-2</v>
      </c>
      <c r="N79" s="9">
        <f t="shared" si="10"/>
        <v>1.7895119993949063E-2</v>
      </c>
    </row>
    <row r="80" spans="1:14" x14ac:dyDescent="0.35">
      <c r="A80" s="1">
        <v>42486</v>
      </c>
      <c r="B80" s="2" t="s">
        <v>80</v>
      </c>
      <c r="C80">
        <f t="shared" si="11"/>
        <v>120276.83</v>
      </c>
      <c r="D80">
        <f t="shared" si="12"/>
        <v>2016</v>
      </c>
      <c r="E80">
        <f t="shared" si="13"/>
        <v>4</v>
      </c>
      <c r="F80" t="str">
        <f t="shared" si="15"/>
        <v>April</v>
      </c>
      <c r="G80">
        <f t="shared" si="14"/>
        <v>26</v>
      </c>
      <c r="H80" s="7">
        <f t="shared" si="16"/>
        <v>-0.50443134236029896</v>
      </c>
      <c r="I80" s="9">
        <f t="shared" si="17"/>
        <v>-5.0570789194296405E-3</v>
      </c>
      <c r="J80" s="9">
        <f t="shared" si="18"/>
        <v>120873.20999999999</v>
      </c>
      <c r="K80" s="9">
        <f t="shared" si="9"/>
        <v>120138.06966666665</v>
      </c>
      <c r="M80" s="9">
        <f t="shared" si="19"/>
        <v>1.3328681669696894E-2</v>
      </c>
      <c r="N80" s="9">
        <f t="shared" si="10"/>
        <v>1.7921127721119267E-2</v>
      </c>
    </row>
    <row r="81" spans="1:14" x14ac:dyDescent="0.35">
      <c r="A81" s="1">
        <v>42488</v>
      </c>
      <c r="B81" s="2" t="s">
        <v>81</v>
      </c>
      <c r="C81">
        <f t="shared" si="11"/>
        <v>120051.24</v>
      </c>
      <c r="D81">
        <f t="shared" si="12"/>
        <v>2016</v>
      </c>
      <c r="E81">
        <f t="shared" si="13"/>
        <v>4</v>
      </c>
      <c r="F81" t="str">
        <f t="shared" si="15"/>
        <v>April</v>
      </c>
      <c r="G81">
        <f t="shared" si="14"/>
        <v>28</v>
      </c>
      <c r="H81" s="7">
        <f t="shared" si="16"/>
        <v>-0.18755898372113441</v>
      </c>
      <c r="I81" s="9">
        <f t="shared" si="17"/>
        <v>-1.8773509582684599E-3</v>
      </c>
      <c r="J81" s="9">
        <f t="shared" si="18"/>
        <v>120964.80999999998</v>
      </c>
      <c r="K81" s="9">
        <f t="shared" si="9"/>
        <v>120470.76999999999</v>
      </c>
      <c r="M81" s="9">
        <f t="shared" si="19"/>
        <v>8.6994395135599409E-3</v>
      </c>
      <c r="N81" s="9">
        <f t="shared" si="10"/>
        <v>1.7903342309124163E-2</v>
      </c>
    </row>
    <row r="82" spans="1:14" x14ac:dyDescent="0.35">
      <c r="A82" s="1">
        <v>42489</v>
      </c>
      <c r="B82" s="2" t="s">
        <v>82</v>
      </c>
      <c r="C82">
        <f t="shared" si="11"/>
        <v>118539.92</v>
      </c>
      <c r="D82">
        <f t="shared" si="12"/>
        <v>2016</v>
      </c>
      <c r="E82">
        <f t="shared" si="13"/>
        <v>4</v>
      </c>
      <c r="F82" t="str">
        <f t="shared" si="15"/>
        <v>April</v>
      </c>
      <c r="G82">
        <f t="shared" si="14"/>
        <v>29</v>
      </c>
      <c r="H82" s="7">
        <f t="shared" si="16"/>
        <v>-1.2588957848332152</v>
      </c>
      <c r="I82" s="9">
        <f t="shared" si="17"/>
        <v>-1.2668870161703271E-2</v>
      </c>
      <c r="J82" s="9">
        <f t="shared" si="18"/>
        <v>120614.99142857143</v>
      </c>
      <c r="K82" s="9">
        <f t="shared" si="9"/>
        <v>120736.36333333333</v>
      </c>
      <c r="M82" s="9">
        <f t="shared" si="19"/>
        <v>8.0256444420035346E-3</v>
      </c>
      <c r="N82" s="9">
        <f t="shared" si="10"/>
        <v>1.8123063843720942E-2</v>
      </c>
    </row>
    <row r="83" spans="1:14" x14ac:dyDescent="0.35">
      <c r="A83" s="1">
        <v>42493</v>
      </c>
      <c r="B83" s="2" t="s">
        <v>83</v>
      </c>
      <c r="C83">
        <f t="shared" si="11"/>
        <v>120813.77</v>
      </c>
      <c r="D83">
        <f t="shared" si="12"/>
        <v>2016</v>
      </c>
      <c r="E83">
        <f t="shared" si="13"/>
        <v>5</v>
      </c>
      <c r="F83" t="str">
        <f t="shared" si="15"/>
        <v>May</v>
      </c>
      <c r="G83">
        <f t="shared" si="14"/>
        <v>3</v>
      </c>
      <c r="H83" s="7">
        <f t="shared" si="16"/>
        <v>1.9182145559065722</v>
      </c>
      <c r="I83" s="9">
        <f t="shared" si="17"/>
        <v>1.9000487588779914E-2</v>
      </c>
      <c r="J83" s="9">
        <f t="shared" si="18"/>
        <v>120647.80571428573</v>
      </c>
      <c r="K83" s="9">
        <f t="shared" si="9"/>
        <v>120973.16366666667</v>
      </c>
      <c r="M83" s="9">
        <f t="shared" si="19"/>
        <v>1.1514287390967711E-2</v>
      </c>
      <c r="N83" s="9">
        <f t="shared" si="10"/>
        <v>1.7754996304292364E-2</v>
      </c>
    </row>
    <row r="84" spans="1:14" x14ac:dyDescent="0.35">
      <c r="A84" s="1">
        <v>42494</v>
      </c>
      <c r="B84" s="2" t="s">
        <v>84</v>
      </c>
      <c r="C84">
        <f t="shared" si="11"/>
        <v>120516.3</v>
      </c>
      <c r="D84">
        <f t="shared" si="12"/>
        <v>2016</v>
      </c>
      <c r="E84">
        <f t="shared" si="13"/>
        <v>5</v>
      </c>
      <c r="F84" t="str">
        <f t="shared" si="15"/>
        <v>May</v>
      </c>
      <c r="G84">
        <f t="shared" si="14"/>
        <v>4</v>
      </c>
      <c r="H84" s="7">
        <f t="shared" si="16"/>
        <v>-0.24622193314553562</v>
      </c>
      <c r="I84" s="9">
        <f t="shared" si="17"/>
        <v>-2.4652555784348152E-3</v>
      </c>
      <c r="J84" s="9">
        <f t="shared" si="18"/>
        <v>120405.36285714286</v>
      </c>
      <c r="K84" s="9">
        <f t="shared" si="9"/>
        <v>121081.95866666667</v>
      </c>
      <c r="M84" s="9">
        <f t="shared" si="19"/>
        <v>9.9498411136497381E-3</v>
      </c>
      <c r="N84" s="9">
        <f t="shared" si="10"/>
        <v>1.6921784515958469E-2</v>
      </c>
    </row>
    <row r="85" spans="1:14" x14ac:dyDescent="0.35">
      <c r="A85" s="1">
        <v>42495</v>
      </c>
      <c r="B85" s="2" t="s">
        <v>85</v>
      </c>
      <c r="C85">
        <f t="shared" si="11"/>
        <v>118902.86</v>
      </c>
      <c r="D85">
        <f t="shared" si="12"/>
        <v>2016</v>
      </c>
      <c r="E85">
        <f t="shared" si="13"/>
        <v>5</v>
      </c>
      <c r="F85" t="str">
        <f t="shared" si="15"/>
        <v>May</v>
      </c>
      <c r="G85">
        <f t="shared" si="14"/>
        <v>5</v>
      </c>
      <c r="H85" s="7">
        <f t="shared" si="16"/>
        <v>-1.338773261376264</v>
      </c>
      <c r="I85" s="9">
        <f t="shared" si="17"/>
        <v>-1.3478156257938476E-2</v>
      </c>
      <c r="J85" s="9">
        <f t="shared" si="18"/>
        <v>119998.22</v>
      </c>
      <c r="K85" s="9">
        <f t="shared" si="9"/>
        <v>121159.97900000001</v>
      </c>
      <c r="M85" s="9">
        <f t="shared" si="19"/>
        <v>1.0871891773912394E-2</v>
      </c>
      <c r="N85" s="9">
        <f t="shared" si="10"/>
        <v>1.7082774028248999E-2</v>
      </c>
    </row>
    <row r="86" spans="1:14" x14ac:dyDescent="0.35">
      <c r="A86" s="1">
        <v>42496</v>
      </c>
      <c r="B86" s="2" t="s">
        <v>86</v>
      </c>
      <c r="C86">
        <f t="shared" si="11"/>
        <v>120045.73</v>
      </c>
      <c r="D86">
        <f t="shared" si="12"/>
        <v>2016</v>
      </c>
      <c r="E86">
        <f t="shared" si="13"/>
        <v>5</v>
      </c>
      <c r="F86" t="str">
        <f t="shared" si="15"/>
        <v>May</v>
      </c>
      <c r="G86">
        <f t="shared" si="14"/>
        <v>6</v>
      </c>
      <c r="H86" s="7">
        <f t="shared" si="16"/>
        <v>0.96117957129037546</v>
      </c>
      <c r="I86" s="9">
        <f t="shared" si="17"/>
        <v>9.5658962873755027E-3</v>
      </c>
      <c r="J86" s="9">
        <f t="shared" si="18"/>
        <v>119878.09285714287</v>
      </c>
      <c r="K86" s="9">
        <f t="shared" si="9"/>
        <v>121330.69633333334</v>
      </c>
      <c r="M86" s="9">
        <f t="shared" si="19"/>
        <v>1.1711113918563137E-2</v>
      </c>
      <c r="N86" s="9">
        <f t="shared" si="10"/>
        <v>1.69215582765515E-2</v>
      </c>
    </row>
    <row r="87" spans="1:14" x14ac:dyDescent="0.35">
      <c r="A87" s="1">
        <v>42499</v>
      </c>
      <c r="B87" s="2" t="s">
        <v>87</v>
      </c>
      <c r="C87">
        <f t="shared" si="11"/>
        <v>125249.08</v>
      </c>
      <c r="D87">
        <f t="shared" si="12"/>
        <v>2016</v>
      </c>
      <c r="E87">
        <f t="shared" si="13"/>
        <v>5</v>
      </c>
      <c r="F87" t="str">
        <f t="shared" si="15"/>
        <v>May</v>
      </c>
      <c r="G87">
        <f t="shared" si="14"/>
        <v>9</v>
      </c>
      <c r="H87" s="7">
        <f t="shared" si="16"/>
        <v>4.3344732045029888</v>
      </c>
      <c r="I87" s="9">
        <f t="shared" si="17"/>
        <v>4.2431641107048022E-2</v>
      </c>
      <c r="J87" s="9">
        <f t="shared" si="18"/>
        <v>120588.41428571427</v>
      </c>
      <c r="K87" s="9">
        <f t="shared" si="9"/>
        <v>121607.38433333334</v>
      </c>
      <c r="M87" s="9">
        <f t="shared" si="19"/>
        <v>1.9875921027015263E-2</v>
      </c>
      <c r="N87" s="9">
        <f t="shared" si="10"/>
        <v>1.8294571115834785E-2</v>
      </c>
    </row>
    <row r="88" spans="1:14" x14ac:dyDescent="0.35">
      <c r="A88" s="1">
        <v>42500</v>
      </c>
      <c r="B88" s="2" t="s">
        <v>88</v>
      </c>
      <c r="C88">
        <f t="shared" si="11"/>
        <v>125069.19</v>
      </c>
      <c r="D88">
        <f t="shared" si="12"/>
        <v>2016</v>
      </c>
      <c r="E88">
        <f t="shared" si="13"/>
        <v>5</v>
      </c>
      <c r="F88" t="str">
        <f t="shared" si="15"/>
        <v>May</v>
      </c>
      <c r="G88">
        <f t="shared" si="14"/>
        <v>10</v>
      </c>
      <c r="H88" s="7">
        <f t="shared" si="16"/>
        <v>-0.14362580547497786</v>
      </c>
      <c r="I88" s="9">
        <f t="shared" si="17"/>
        <v>-1.4372904620035968E-3</v>
      </c>
      <c r="J88" s="9">
        <f t="shared" si="18"/>
        <v>121305.26428571426</v>
      </c>
      <c r="K88" s="9">
        <f t="shared" si="9"/>
        <v>121863.07333333333</v>
      </c>
      <c r="M88" s="9">
        <f t="shared" si="19"/>
        <v>1.9848316170368894E-2</v>
      </c>
      <c r="N88" s="9">
        <f t="shared" si="10"/>
        <v>1.8304475837176135E-2</v>
      </c>
    </row>
    <row r="89" spans="1:14" x14ac:dyDescent="0.35">
      <c r="A89" s="1">
        <v>42501</v>
      </c>
      <c r="B89" s="2" t="s">
        <v>89</v>
      </c>
      <c r="C89">
        <f t="shared" si="11"/>
        <v>123419.62</v>
      </c>
      <c r="D89">
        <f t="shared" si="12"/>
        <v>2016</v>
      </c>
      <c r="E89">
        <f t="shared" si="13"/>
        <v>5</v>
      </c>
      <c r="F89" t="str">
        <f t="shared" si="15"/>
        <v>May</v>
      </c>
      <c r="G89">
        <f t="shared" si="14"/>
        <v>11</v>
      </c>
      <c r="H89" s="7">
        <f t="shared" si="16"/>
        <v>-1.3189259481092082</v>
      </c>
      <c r="I89" s="9">
        <f t="shared" si="17"/>
        <v>-1.3277010195948962E-2</v>
      </c>
      <c r="J89" s="9">
        <f t="shared" si="18"/>
        <v>122002.36428571427</v>
      </c>
      <c r="K89" s="9">
        <f t="shared" si="9"/>
        <v>121990.16366666667</v>
      </c>
      <c r="M89" s="9">
        <f t="shared" si="19"/>
        <v>1.994398319214391E-2</v>
      </c>
      <c r="N89" s="9">
        <f t="shared" si="10"/>
        <v>1.8238116814837665E-2</v>
      </c>
    </row>
    <row r="90" spans="1:14" x14ac:dyDescent="0.35">
      <c r="A90" s="1">
        <v>42502</v>
      </c>
      <c r="B90" s="2" t="s">
        <v>90</v>
      </c>
      <c r="C90">
        <f t="shared" si="11"/>
        <v>124563.48</v>
      </c>
      <c r="D90">
        <f t="shared" si="12"/>
        <v>2016</v>
      </c>
      <c r="E90">
        <f t="shared" si="13"/>
        <v>5</v>
      </c>
      <c r="F90" t="str">
        <f t="shared" si="15"/>
        <v>May</v>
      </c>
      <c r="G90">
        <f t="shared" si="14"/>
        <v>12</v>
      </c>
      <c r="H90" s="7">
        <f t="shared" si="16"/>
        <v>0.92680564078871797</v>
      </c>
      <c r="I90" s="9">
        <f t="shared" si="17"/>
        <v>9.2253715077783034E-3</v>
      </c>
      <c r="J90" s="9">
        <f t="shared" si="18"/>
        <v>122538.03714285714</v>
      </c>
      <c r="K90" s="9">
        <f t="shared" si="9"/>
        <v>122249.42066666667</v>
      </c>
      <c r="M90" s="9">
        <f t="shared" si="19"/>
        <v>1.9190620098446715E-2</v>
      </c>
      <c r="N90" s="9">
        <f t="shared" si="10"/>
        <v>1.767118864966772E-2</v>
      </c>
    </row>
    <row r="91" spans="1:14" x14ac:dyDescent="0.35">
      <c r="A91" s="1">
        <v>42503</v>
      </c>
      <c r="B91" s="2" t="s">
        <v>91</v>
      </c>
      <c r="C91">
        <f t="shared" si="11"/>
        <v>122281.28</v>
      </c>
      <c r="D91">
        <f t="shared" si="12"/>
        <v>2016</v>
      </c>
      <c r="E91">
        <f t="shared" si="13"/>
        <v>5</v>
      </c>
      <c r="F91" t="str">
        <f t="shared" si="15"/>
        <v>May</v>
      </c>
      <c r="G91">
        <f t="shared" si="14"/>
        <v>13</v>
      </c>
      <c r="H91" s="7">
        <f t="shared" si="16"/>
        <v>-1.8321581895431931</v>
      </c>
      <c r="I91" s="9">
        <f t="shared" si="17"/>
        <v>-1.8491500731726819E-2</v>
      </c>
      <c r="J91" s="9">
        <f t="shared" si="18"/>
        <v>122790.17714285714</v>
      </c>
      <c r="K91" s="9">
        <f t="shared" si="9"/>
        <v>122439.34966666668</v>
      </c>
      <c r="L91" s="9">
        <f>AVERAGE(C2:C91)</f>
        <v>118030.36033333333</v>
      </c>
      <c r="M91" s="9">
        <f t="shared" si="19"/>
        <v>2.1011115378941521E-2</v>
      </c>
      <c r="N91" s="9">
        <f t="shared" si="10"/>
        <v>1.8058765701121218E-2</v>
      </c>
    </row>
    <row r="92" spans="1:14" x14ac:dyDescent="0.35">
      <c r="A92" s="1">
        <v>42506</v>
      </c>
      <c r="B92" s="2" t="s">
        <v>92</v>
      </c>
      <c r="C92">
        <f t="shared" si="11"/>
        <v>121501.68</v>
      </c>
      <c r="D92">
        <f t="shared" si="12"/>
        <v>2016</v>
      </c>
      <c r="E92">
        <f t="shared" si="13"/>
        <v>5</v>
      </c>
      <c r="F92" t="str">
        <f t="shared" si="15"/>
        <v>May</v>
      </c>
      <c r="G92">
        <f t="shared" si="14"/>
        <v>16</v>
      </c>
      <c r="H92" s="7">
        <f t="shared" si="16"/>
        <v>-0.63754648299396754</v>
      </c>
      <c r="I92" s="9">
        <f t="shared" si="17"/>
        <v>-6.3958749012124824E-3</v>
      </c>
      <c r="J92" s="9">
        <f t="shared" si="18"/>
        <v>123161.43714285715</v>
      </c>
      <c r="K92" s="9">
        <f t="shared" si="9"/>
        <v>122483.825</v>
      </c>
      <c r="L92" s="9">
        <f t="shared" ref="L92:L155" si="20">AVERAGE(C3:C92)</f>
        <v>118118.19155555556</v>
      </c>
      <c r="M92" s="9">
        <f t="shared" si="19"/>
        <v>2.029557878141067E-2</v>
      </c>
      <c r="N92" s="9">
        <f t="shared" si="10"/>
        <v>1.7274035101948911E-2</v>
      </c>
    </row>
    <row r="93" spans="1:14" x14ac:dyDescent="0.35">
      <c r="A93" s="1">
        <v>42507</v>
      </c>
      <c r="B93" s="2" t="s">
        <v>93</v>
      </c>
      <c r="C93">
        <f t="shared" si="11"/>
        <v>120780.97</v>
      </c>
      <c r="D93">
        <f t="shared" si="12"/>
        <v>2016</v>
      </c>
      <c r="E93">
        <f t="shared" si="13"/>
        <v>5</v>
      </c>
      <c r="F93" t="str">
        <f t="shared" si="15"/>
        <v>May</v>
      </c>
      <c r="G93">
        <f t="shared" si="14"/>
        <v>17</v>
      </c>
      <c r="H93" s="7">
        <f t="shared" si="16"/>
        <v>-0.59316875289295745</v>
      </c>
      <c r="I93" s="9">
        <f t="shared" si="17"/>
        <v>-5.9493498670149083E-3</v>
      </c>
      <c r="J93" s="9">
        <f t="shared" si="18"/>
        <v>123266.47142857143</v>
      </c>
      <c r="K93" s="9">
        <f t="shared" si="9"/>
        <v>122472.713</v>
      </c>
      <c r="L93" s="9">
        <f t="shared" si="20"/>
        <v>118193.46733333333</v>
      </c>
      <c r="M93" s="9">
        <f t="shared" si="19"/>
        <v>2.0317512462849772E-2</v>
      </c>
      <c r="N93" s="9">
        <f t="shared" si="10"/>
        <v>1.7251661398327858E-2</v>
      </c>
    </row>
    <row r="94" spans="1:14" x14ac:dyDescent="0.35">
      <c r="A94" s="1">
        <v>42508</v>
      </c>
      <c r="B94" s="2" t="s">
        <v>94</v>
      </c>
      <c r="C94">
        <f t="shared" si="11"/>
        <v>120534.39999999999</v>
      </c>
      <c r="D94">
        <f t="shared" si="12"/>
        <v>2016</v>
      </c>
      <c r="E94">
        <f t="shared" si="13"/>
        <v>5</v>
      </c>
      <c r="F94" t="str">
        <f t="shared" si="15"/>
        <v>May</v>
      </c>
      <c r="G94">
        <f t="shared" si="14"/>
        <v>18</v>
      </c>
      <c r="H94" s="7">
        <f t="shared" si="16"/>
        <v>-0.20414639822813724</v>
      </c>
      <c r="I94" s="9">
        <f t="shared" si="17"/>
        <v>-2.0435506102109654E-3</v>
      </c>
      <c r="J94" s="9">
        <f t="shared" si="18"/>
        <v>122592.94571428571</v>
      </c>
      <c r="K94" s="9">
        <f t="shared" si="9"/>
        <v>122491.76566666667</v>
      </c>
      <c r="L94" s="9">
        <f t="shared" si="20"/>
        <v>118287.93555555557</v>
      </c>
      <c r="M94" s="9">
        <f t="shared" si="19"/>
        <v>8.9027360898537283E-3</v>
      </c>
      <c r="N94" s="9">
        <f t="shared" si="10"/>
        <v>1.7163904597475316E-2</v>
      </c>
    </row>
    <row r="95" spans="1:14" x14ac:dyDescent="0.35">
      <c r="A95" s="1">
        <v>42509</v>
      </c>
      <c r="B95" s="2" t="s">
        <v>95</v>
      </c>
      <c r="C95">
        <f t="shared" si="11"/>
        <v>120116.38</v>
      </c>
      <c r="D95">
        <f t="shared" si="12"/>
        <v>2016</v>
      </c>
      <c r="E95">
        <f t="shared" si="13"/>
        <v>5</v>
      </c>
      <c r="F95" t="str">
        <f t="shared" si="15"/>
        <v>May</v>
      </c>
      <c r="G95">
        <f t="shared" si="14"/>
        <v>19</v>
      </c>
      <c r="H95" s="7">
        <f t="shared" si="16"/>
        <v>-0.34680555924282991</v>
      </c>
      <c r="I95" s="9">
        <f t="shared" si="17"/>
        <v>-3.4740832373980801E-3</v>
      </c>
      <c r="J95" s="9">
        <f t="shared" si="18"/>
        <v>121885.40142857144</v>
      </c>
      <c r="K95" s="9">
        <f t="shared" si="9"/>
        <v>122262.61166666665</v>
      </c>
      <c r="L95" s="9">
        <f t="shared" si="20"/>
        <v>118348.8698888889</v>
      </c>
      <c r="M95" s="9">
        <f t="shared" si="19"/>
        <v>8.7809875834618679E-3</v>
      </c>
      <c r="N95" s="9">
        <f t="shared" si="10"/>
        <v>1.3405403892201333E-2</v>
      </c>
    </row>
    <row r="96" spans="1:14" x14ac:dyDescent="0.35">
      <c r="A96" s="1">
        <v>42510</v>
      </c>
      <c r="B96" s="2" t="s">
        <v>96</v>
      </c>
      <c r="C96">
        <f t="shared" si="11"/>
        <v>120169.74</v>
      </c>
      <c r="D96">
        <f t="shared" si="12"/>
        <v>2016</v>
      </c>
      <c r="E96">
        <f t="shared" si="13"/>
        <v>5</v>
      </c>
      <c r="F96" t="str">
        <f t="shared" si="15"/>
        <v>May</v>
      </c>
      <c r="G96">
        <f t="shared" si="14"/>
        <v>20</v>
      </c>
      <c r="H96" s="7">
        <f t="shared" si="16"/>
        <v>4.4423583194898628E-2</v>
      </c>
      <c r="I96" s="9">
        <f t="shared" si="17"/>
        <v>4.4413718842468633E-4</v>
      </c>
      <c r="J96" s="9">
        <f t="shared" si="18"/>
        <v>121421.13285714286</v>
      </c>
      <c r="K96" s="9">
        <f t="shared" ref="K96:K159" si="21">AVERAGE(C67:C96)</f>
        <v>121986.41366666667</v>
      </c>
      <c r="L96" s="9">
        <f t="shared" si="20"/>
        <v>118405.2395555556</v>
      </c>
      <c r="M96" s="9">
        <f t="shared" si="19"/>
        <v>8.347272769890713E-3</v>
      </c>
      <c r="N96" s="9">
        <f t="shared" si="10"/>
        <v>1.3176752510363552E-2</v>
      </c>
    </row>
    <row r="97" spans="1:14" x14ac:dyDescent="0.35">
      <c r="A97" s="1">
        <v>42513</v>
      </c>
      <c r="B97" s="2" t="s">
        <v>97</v>
      </c>
      <c r="C97">
        <f t="shared" si="11"/>
        <v>120870.11</v>
      </c>
      <c r="D97">
        <f t="shared" si="12"/>
        <v>2016</v>
      </c>
      <c r="E97">
        <f t="shared" si="13"/>
        <v>5</v>
      </c>
      <c r="F97" t="str">
        <f t="shared" si="15"/>
        <v>May</v>
      </c>
      <c r="G97">
        <f t="shared" si="14"/>
        <v>23</v>
      </c>
      <c r="H97" s="7">
        <f t="shared" si="16"/>
        <v>0.58281727163593378</v>
      </c>
      <c r="I97" s="9">
        <f t="shared" si="17"/>
        <v>5.8112546203169515E-3</v>
      </c>
      <c r="J97" s="9">
        <f t="shared" si="18"/>
        <v>120893.50857142857</v>
      </c>
      <c r="K97" s="9">
        <f t="shared" si="21"/>
        <v>121795.95600000001</v>
      </c>
      <c r="L97" s="9">
        <f t="shared" si="20"/>
        <v>118465.71977777781</v>
      </c>
      <c r="M97" s="9">
        <f t="shared" si="19"/>
        <v>7.5169779993755487E-3</v>
      </c>
      <c r="N97" s="9">
        <f t="shared" ref="N97:N160" si="22">STDEV(I68:I97)</f>
        <v>1.3039147915776832E-2</v>
      </c>
    </row>
    <row r="98" spans="1:14" x14ac:dyDescent="0.35">
      <c r="A98" s="1">
        <v>42514</v>
      </c>
      <c r="B98" s="2" t="s">
        <v>98</v>
      </c>
      <c r="C98">
        <f t="shared" si="11"/>
        <v>120856.82</v>
      </c>
      <c r="D98">
        <f t="shared" si="12"/>
        <v>2016</v>
      </c>
      <c r="E98">
        <f t="shared" si="13"/>
        <v>5</v>
      </c>
      <c r="F98" t="str">
        <f t="shared" si="15"/>
        <v>May</v>
      </c>
      <c r="G98">
        <f t="shared" si="14"/>
        <v>24</v>
      </c>
      <c r="H98" s="7">
        <f t="shared" si="16"/>
        <v>-1.0995274183165381E-2</v>
      </c>
      <c r="I98" s="9">
        <f t="shared" si="17"/>
        <v>-1.0995878707752569E-4</v>
      </c>
      <c r="J98" s="9">
        <f t="shared" si="18"/>
        <v>120690.01428571429</v>
      </c>
      <c r="K98" s="9">
        <f t="shared" si="21"/>
        <v>121599.77133333335</v>
      </c>
      <c r="L98" s="9">
        <f t="shared" si="20"/>
        <v>118521.70311111114</v>
      </c>
      <c r="M98" s="9">
        <f t="shared" si="19"/>
        <v>4.2212429672570566E-3</v>
      </c>
      <c r="N98" s="9">
        <f t="shared" si="22"/>
        <v>1.3031465551046671E-2</v>
      </c>
    </row>
    <row r="99" spans="1:14" x14ac:dyDescent="0.35">
      <c r="A99" s="1">
        <v>42515</v>
      </c>
      <c r="B99" s="2" t="s">
        <v>99</v>
      </c>
      <c r="C99">
        <f t="shared" si="11"/>
        <v>120964.38</v>
      </c>
      <c r="D99">
        <f t="shared" si="12"/>
        <v>2016</v>
      </c>
      <c r="E99">
        <f t="shared" si="13"/>
        <v>5</v>
      </c>
      <c r="F99" t="str">
        <f t="shared" si="15"/>
        <v>May</v>
      </c>
      <c r="G99">
        <f t="shared" si="14"/>
        <v>25</v>
      </c>
      <c r="H99" s="7">
        <f t="shared" si="16"/>
        <v>8.89978736822611E-2</v>
      </c>
      <c r="I99" s="9">
        <f t="shared" si="17"/>
        <v>8.8958294056271374E-4</v>
      </c>
      <c r="J99" s="9">
        <f t="shared" si="18"/>
        <v>120613.25714285714</v>
      </c>
      <c r="K99" s="9">
        <f t="shared" si="21"/>
        <v>121459.84866666667</v>
      </c>
      <c r="L99" s="9">
        <f t="shared" si="20"/>
        <v>118576.92766666671</v>
      </c>
      <c r="M99" s="9">
        <f t="shared" si="19"/>
        <v>3.7328598468194161E-3</v>
      </c>
      <c r="N99" s="9">
        <f t="shared" si="22"/>
        <v>1.2871639417930984E-2</v>
      </c>
    </row>
    <row r="100" spans="1:14" x14ac:dyDescent="0.35">
      <c r="A100" s="1">
        <v>42516</v>
      </c>
      <c r="B100" s="2" t="s">
        <v>100</v>
      </c>
      <c r="C100">
        <f t="shared" si="11"/>
        <v>120148.14</v>
      </c>
      <c r="D100">
        <f t="shared" si="12"/>
        <v>2016</v>
      </c>
      <c r="E100">
        <f t="shared" si="13"/>
        <v>5</v>
      </c>
      <c r="F100" t="str">
        <f t="shared" si="15"/>
        <v>May</v>
      </c>
      <c r="G100">
        <f t="shared" si="14"/>
        <v>26</v>
      </c>
      <c r="H100" s="7">
        <f t="shared" si="16"/>
        <v>-0.67477715340665179</v>
      </c>
      <c r="I100" s="9">
        <f t="shared" si="17"/>
        <v>-6.7706406796425433E-3</v>
      </c>
      <c r="J100" s="9">
        <f t="shared" si="18"/>
        <v>120522.85285714285</v>
      </c>
      <c r="K100" s="9">
        <f t="shared" si="21"/>
        <v>121296.383</v>
      </c>
      <c r="L100" s="9">
        <f t="shared" si="20"/>
        <v>118653.95188888894</v>
      </c>
      <c r="M100" s="9">
        <f t="shared" si="19"/>
        <v>3.9352239693262181E-3</v>
      </c>
      <c r="N100" s="9">
        <f t="shared" si="22"/>
        <v>1.2912446302404967E-2</v>
      </c>
    </row>
    <row r="101" spans="1:14" x14ac:dyDescent="0.35">
      <c r="A101" s="1">
        <v>42517</v>
      </c>
      <c r="B101" s="2" t="s">
        <v>101</v>
      </c>
      <c r="C101">
        <f t="shared" si="11"/>
        <v>118110.22</v>
      </c>
      <c r="D101">
        <f t="shared" si="12"/>
        <v>2016</v>
      </c>
      <c r="E101">
        <f t="shared" si="13"/>
        <v>5</v>
      </c>
      <c r="F101" t="str">
        <f t="shared" si="15"/>
        <v>May</v>
      </c>
      <c r="G101">
        <f t="shared" si="14"/>
        <v>27</v>
      </c>
      <c r="H101" s="7">
        <f t="shared" si="16"/>
        <v>-1.6961727414173855</v>
      </c>
      <c r="I101" s="9">
        <f t="shared" si="17"/>
        <v>-1.7107225121049868E-2</v>
      </c>
      <c r="J101" s="9">
        <f t="shared" si="18"/>
        <v>120176.54142857142</v>
      </c>
      <c r="K101" s="9">
        <f t="shared" si="21"/>
        <v>121132.656</v>
      </c>
      <c r="L101" s="9">
        <f t="shared" si="20"/>
        <v>118699.03311111117</v>
      </c>
      <c r="M101" s="9">
        <f t="shared" si="19"/>
        <v>7.3753092018964406E-3</v>
      </c>
      <c r="N101" s="9">
        <f t="shared" si="22"/>
        <v>1.2942832215836518E-2</v>
      </c>
    </row>
    <row r="102" spans="1:14" x14ac:dyDescent="0.35">
      <c r="A102" s="1">
        <v>42520</v>
      </c>
      <c r="B102" s="2" t="s">
        <v>102</v>
      </c>
      <c r="C102">
        <f t="shared" si="11"/>
        <v>116989.26</v>
      </c>
      <c r="D102">
        <f t="shared" si="12"/>
        <v>2016</v>
      </c>
      <c r="E102">
        <f t="shared" si="13"/>
        <v>5</v>
      </c>
      <c r="F102" t="str">
        <f t="shared" si="15"/>
        <v>May</v>
      </c>
      <c r="G102">
        <f t="shared" si="14"/>
        <v>30</v>
      </c>
      <c r="H102" s="7">
        <f t="shared" si="16"/>
        <v>-0.94907959700693667</v>
      </c>
      <c r="I102" s="9">
        <f t="shared" si="17"/>
        <v>-9.536120579859024E-3</v>
      </c>
      <c r="J102" s="9">
        <f t="shared" si="18"/>
        <v>119729.81000000001</v>
      </c>
      <c r="K102" s="9">
        <f t="shared" si="21"/>
        <v>120970.81199999999</v>
      </c>
      <c r="L102" s="9">
        <f t="shared" si="20"/>
        <v>118725.20211111117</v>
      </c>
      <c r="M102" s="9">
        <f t="shared" si="19"/>
        <v>7.7974414049635093E-3</v>
      </c>
      <c r="N102" s="9">
        <f t="shared" si="22"/>
        <v>1.2941057657767711E-2</v>
      </c>
    </row>
    <row r="103" spans="1:14" x14ac:dyDescent="0.35">
      <c r="A103" s="1">
        <v>42521</v>
      </c>
      <c r="B103" s="2" t="s">
        <v>103</v>
      </c>
      <c r="C103">
        <f t="shared" si="11"/>
        <v>117922.55</v>
      </c>
      <c r="D103">
        <f t="shared" si="12"/>
        <v>2016</v>
      </c>
      <c r="E103">
        <f t="shared" si="13"/>
        <v>5</v>
      </c>
      <c r="F103" t="str">
        <f t="shared" si="15"/>
        <v>May</v>
      </c>
      <c r="G103">
        <f t="shared" si="14"/>
        <v>31</v>
      </c>
      <c r="H103" s="7">
        <f t="shared" si="16"/>
        <v>0.79775699068445094</v>
      </c>
      <c r="I103" s="9">
        <f t="shared" si="17"/>
        <v>7.9459173250525962E-3</v>
      </c>
      <c r="J103" s="9">
        <f t="shared" si="18"/>
        <v>119408.78285714287</v>
      </c>
      <c r="K103" s="9">
        <f t="shared" si="21"/>
        <v>120817.65299999999</v>
      </c>
      <c r="L103" s="9">
        <f t="shared" si="20"/>
        <v>118772.62800000006</v>
      </c>
      <c r="M103" s="9">
        <f t="shared" si="19"/>
        <v>8.9091820758427104E-3</v>
      </c>
      <c r="N103" s="9">
        <f t="shared" si="22"/>
        <v>1.2993226810660379E-2</v>
      </c>
    </row>
    <row r="104" spans="1:14" x14ac:dyDescent="0.35">
      <c r="A104" s="1">
        <v>42522</v>
      </c>
      <c r="B104" s="2" t="s">
        <v>104</v>
      </c>
      <c r="C104">
        <f t="shared" si="11"/>
        <v>118722.83</v>
      </c>
      <c r="D104">
        <f t="shared" si="12"/>
        <v>2016</v>
      </c>
      <c r="E104">
        <f t="shared" si="13"/>
        <v>6</v>
      </c>
      <c r="F104" t="str">
        <f t="shared" si="15"/>
        <v>June</v>
      </c>
      <c r="G104">
        <f t="shared" si="14"/>
        <v>1</v>
      </c>
      <c r="H104" s="7">
        <f t="shared" si="16"/>
        <v>0.67864882501268742</v>
      </c>
      <c r="I104" s="9">
        <f t="shared" si="17"/>
        <v>6.7635636984307709E-3</v>
      </c>
      <c r="J104" s="9">
        <f t="shared" si="18"/>
        <v>119102.02857142859</v>
      </c>
      <c r="K104" s="9">
        <f t="shared" si="21"/>
        <v>120794.746</v>
      </c>
      <c r="L104" s="9">
        <f t="shared" si="20"/>
        <v>118814.95722222229</v>
      </c>
      <c r="M104" s="9">
        <f t="shared" si="19"/>
        <v>9.0666327072121845E-3</v>
      </c>
      <c r="N104" s="9">
        <f t="shared" si="22"/>
        <v>1.2218276388394756E-2</v>
      </c>
    </row>
    <row r="105" spans="1:14" x14ac:dyDescent="0.35">
      <c r="A105" s="1">
        <v>42523</v>
      </c>
      <c r="B105" s="2" t="s">
        <v>105</v>
      </c>
      <c r="C105">
        <f t="shared" si="11"/>
        <v>116582.66</v>
      </c>
      <c r="D105">
        <f t="shared" si="12"/>
        <v>2016</v>
      </c>
      <c r="E105">
        <f t="shared" si="13"/>
        <v>6</v>
      </c>
      <c r="F105" t="str">
        <f t="shared" si="15"/>
        <v>June</v>
      </c>
      <c r="G105">
        <f t="shared" si="14"/>
        <v>2</v>
      </c>
      <c r="H105" s="7">
        <f t="shared" si="16"/>
        <v>-1.802660869859654</v>
      </c>
      <c r="I105" s="9">
        <f t="shared" si="17"/>
        <v>-1.8191067429202176E-2</v>
      </c>
      <c r="J105" s="9">
        <f t="shared" si="18"/>
        <v>118491.43428571429</v>
      </c>
      <c r="K105" s="9">
        <f t="shared" si="21"/>
        <v>120647.87966666667</v>
      </c>
      <c r="L105" s="9">
        <f t="shared" si="20"/>
        <v>118837.60488888895</v>
      </c>
      <c r="M105" s="9">
        <f t="shared" si="19"/>
        <v>1.0683488336525498E-2</v>
      </c>
      <c r="N105" s="9">
        <f t="shared" si="22"/>
        <v>1.2377633953955023E-2</v>
      </c>
    </row>
    <row r="106" spans="1:14" x14ac:dyDescent="0.35">
      <c r="A106" s="1">
        <v>42524</v>
      </c>
      <c r="B106" s="2" t="s">
        <v>106</v>
      </c>
      <c r="C106">
        <f t="shared" si="11"/>
        <v>116091.98</v>
      </c>
      <c r="D106">
        <f t="shared" si="12"/>
        <v>2016</v>
      </c>
      <c r="E106">
        <f t="shared" si="13"/>
        <v>6</v>
      </c>
      <c r="F106" t="str">
        <f t="shared" si="15"/>
        <v>June</v>
      </c>
      <c r="G106">
        <f t="shared" si="14"/>
        <v>3</v>
      </c>
      <c r="H106" s="7">
        <f t="shared" si="16"/>
        <v>-0.42088591905520728</v>
      </c>
      <c r="I106" s="9">
        <f t="shared" si="17"/>
        <v>-4.2177413697168861E-3</v>
      </c>
      <c r="J106" s="9">
        <f t="shared" si="18"/>
        <v>117795.37714285715</v>
      </c>
      <c r="K106" s="9">
        <f t="shared" si="21"/>
        <v>120498.14333333334</v>
      </c>
      <c r="L106" s="9">
        <f t="shared" si="20"/>
        <v>118823.48911111119</v>
      </c>
      <c r="M106" s="9">
        <f t="shared" si="19"/>
        <v>1.0372655630248485E-2</v>
      </c>
      <c r="N106" s="9">
        <f t="shared" si="22"/>
        <v>1.2383758074860069E-2</v>
      </c>
    </row>
    <row r="107" spans="1:14" x14ac:dyDescent="0.35">
      <c r="A107" s="1">
        <v>42527</v>
      </c>
      <c r="B107" s="2" t="s">
        <v>107</v>
      </c>
      <c r="C107">
        <f t="shared" si="11"/>
        <v>115832.28</v>
      </c>
      <c r="D107">
        <f t="shared" si="12"/>
        <v>2016</v>
      </c>
      <c r="E107">
        <f t="shared" si="13"/>
        <v>6</v>
      </c>
      <c r="F107" t="str">
        <f t="shared" si="15"/>
        <v>June</v>
      </c>
      <c r="G107">
        <f t="shared" si="14"/>
        <v>6</v>
      </c>
      <c r="H107" s="7">
        <f t="shared" si="16"/>
        <v>-0.22370193014194184</v>
      </c>
      <c r="I107" s="9">
        <f t="shared" si="17"/>
        <v>-2.2395251669073317E-3</v>
      </c>
      <c r="J107" s="9">
        <f t="shared" si="18"/>
        <v>117178.82571428572</v>
      </c>
      <c r="K107" s="9">
        <f t="shared" si="21"/>
        <v>120285.43933333333</v>
      </c>
      <c r="L107" s="9">
        <f t="shared" si="20"/>
        <v>118806.29033333341</v>
      </c>
      <c r="M107" s="9">
        <f t="shared" si="19"/>
        <v>1.044843117664959E-2</v>
      </c>
      <c r="N107" s="9">
        <f t="shared" si="22"/>
        <v>1.2069385519551872E-2</v>
      </c>
    </row>
    <row r="108" spans="1:14" x14ac:dyDescent="0.35">
      <c r="A108" s="1">
        <v>42528</v>
      </c>
      <c r="B108" s="2" t="s">
        <v>108</v>
      </c>
      <c r="C108">
        <f t="shared" si="11"/>
        <v>116501.18</v>
      </c>
      <c r="D108">
        <f t="shared" si="12"/>
        <v>2016</v>
      </c>
      <c r="E108">
        <f t="shared" si="13"/>
        <v>6</v>
      </c>
      <c r="F108" t="str">
        <f t="shared" si="15"/>
        <v>June</v>
      </c>
      <c r="G108">
        <f t="shared" si="14"/>
        <v>7</v>
      </c>
      <c r="H108" s="7">
        <f t="shared" si="16"/>
        <v>0.57747287716342477</v>
      </c>
      <c r="I108" s="9">
        <f t="shared" si="17"/>
        <v>5.7581189396136634E-3</v>
      </c>
      <c r="J108" s="9">
        <f t="shared" si="18"/>
        <v>116948.96285714286</v>
      </c>
      <c r="K108" s="9">
        <f t="shared" si="21"/>
        <v>120110.38333333333</v>
      </c>
      <c r="L108" s="9">
        <f t="shared" si="20"/>
        <v>118803.38588888895</v>
      </c>
      <c r="M108" s="9">
        <f t="shared" si="19"/>
        <v>9.6593461092296298E-3</v>
      </c>
      <c r="N108" s="9">
        <f t="shared" si="22"/>
        <v>1.2140537701557083E-2</v>
      </c>
    </row>
    <row r="109" spans="1:14" x14ac:dyDescent="0.35">
      <c r="A109" s="1">
        <v>42529</v>
      </c>
      <c r="B109" s="2" t="s">
        <v>109</v>
      </c>
      <c r="C109">
        <f t="shared" si="11"/>
        <v>116047.93</v>
      </c>
      <c r="D109">
        <f t="shared" si="12"/>
        <v>2016</v>
      </c>
      <c r="E109">
        <f t="shared" si="13"/>
        <v>6</v>
      </c>
      <c r="F109" t="str">
        <f t="shared" si="15"/>
        <v>June</v>
      </c>
      <c r="G109">
        <f t="shared" si="14"/>
        <v>8</v>
      </c>
      <c r="H109" s="7">
        <f t="shared" si="16"/>
        <v>-0.38905185338036924</v>
      </c>
      <c r="I109" s="9">
        <f t="shared" si="17"/>
        <v>-3.8981062876263729E-3</v>
      </c>
      <c r="J109" s="9">
        <f t="shared" si="18"/>
        <v>116814.48714285714</v>
      </c>
      <c r="K109" s="9">
        <f t="shared" si="21"/>
        <v>119949.09366666667</v>
      </c>
      <c r="L109" s="9">
        <f t="shared" si="20"/>
        <v>118776.77344444452</v>
      </c>
      <c r="M109" s="9">
        <f t="shared" si="19"/>
        <v>9.143580264767491E-3</v>
      </c>
      <c r="N109" s="9">
        <f t="shared" si="22"/>
        <v>1.2102692417975798E-2</v>
      </c>
    </row>
    <row r="110" spans="1:14" x14ac:dyDescent="0.35">
      <c r="A110" s="1">
        <v>42530</v>
      </c>
      <c r="B110" s="2" t="s">
        <v>110</v>
      </c>
      <c r="C110">
        <f t="shared" si="11"/>
        <v>117085.45</v>
      </c>
      <c r="D110">
        <f t="shared" si="12"/>
        <v>2016</v>
      </c>
      <c r="E110">
        <f t="shared" si="13"/>
        <v>6</v>
      </c>
      <c r="F110" t="str">
        <f t="shared" si="15"/>
        <v>June</v>
      </c>
      <c r="G110">
        <f t="shared" si="14"/>
        <v>9</v>
      </c>
      <c r="H110" s="7">
        <f t="shared" si="16"/>
        <v>0.89404438321304314</v>
      </c>
      <c r="I110" s="9">
        <f t="shared" si="17"/>
        <v>8.9007146860521271E-3</v>
      </c>
      <c r="J110" s="9">
        <f t="shared" si="18"/>
        <v>116694.90142857141</v>
      </c>
      <c r="K110" s="9">
        <f t="shared" si="21"/>
        <v>119842.71433333334</v>
      </c>
      <c r="L110" s="9">
        <f t="shared" si="20"/>
        <v>118767.84588888896</v>
      </c>
      <c r="M110" s="9">
        <f t="shared" si="19"/>
        <v>9.3076057400662687E-3</v>
      </c>
      <c r="N110" s="9">
        <f t="shared" si="22"/>
        <v>1.2223417250836885E-2</v>
      </c>
    </row>
    <row r="111" spans="1:14" x14ac:dyDescent="0.35">
      <c r="A111" s="1">
        <v>42531</v>
      </c>
      <c r="B111" s="2" t="s">
        <v>111</v>
      </c>
      <c r="C111">
        <f t="shared" si="11"/>
        <v>116602.49</v>
      </c>
      <c r="D111">
        <f t="shared" si="12"/>
        <v>2016</v>
      </c>
      <c r="E111">
        <f t="shared" si="13"/>
        <v>6</v>
      </c>
      <c r="F111" t="str">
        <f t="shared" si="15"/>
        <v>June</v>
      </c>
      <c r="G111">
        <f t="shared" si="14"/>
        <v>10</v>
      </c>
      <c r="H111" s="7">
        <f t="shared" si="16"/>
        <v>-0.41248506966492576</v>
      </c>
      <c r="I111" s="9">
        <f t="shared" si="17"/>
        <v>-4.1333813598400911E-3</v>
      </c>
      <c r="J111" s="9">
        <f t="shared" si="18"/>
        <v>116391.99571428572</v>
      </c>
      <c r="K111" s="9">
        <f t="shared" si="21"/>
        <v>119727.75600000002</v>
      </c>
      <c r="L111" s="9">
        <f t="shared" si="20"/>
        <v>118739.49688888899</v>
      </c>
      <c r="M111" s="9">
        <f t="shared" si="19"/>
        <v>8.6793314235008683E-3</v>
      </c>
      <c r="N111" s="9">
        <f t="shared" si="22"/>
        <v>1.2236593055049429E-2</v>
      </c>
    </row>
    <row r="112" spans="1:14" x14ac:dyDescent="0.35">
      <c r="A112" s="1">
        <v>42534</v>
      </c>
      <c r="B112" s="2" t="s">
        <v>112</v>
      </c>
      <c r="C112">
        <f t="shared" si="11"/>
        <v>115909.65</v>
      </c>
      <c r="D112">
        <f t="shared" si="12"/>
        <v>2016</v>
      </c>
      <c r="E112">
        <f t="shared" si="13"/>
        <v>6</v>
      </c>
      <c r="F112" t="str">
        <f t="shared" si="15"/>
        <v>June</v>
      </c>
      <c r="G112">
        <f t="shared" si="14"/>
        <v>13</v>
      </c>
      <c r="H112" s="7">
        <f t="shared" si="16"/>
        <v>-0.59418971241524177</v>
      </c>
      <c r="I112" s="9">
        <f t="shared" si="17"/>
        <v>-5.9596204364757615E-3</v>
      </c>
      <c r="J112" s="9">
        <f t="shared" si="18"/>
        <v>116295.85142857142</v>
      </c>
      <c r="K112" s="9">
        <f t="shared" si="21"/>
        <v>119640.08033333336</v>
      </c>
      <c r="L112" s="9">
        <f t="shared" si="20"/>
        <v>118703.32033333342</v>
      </c>
      <c r="M112" s="9">
        <f t="shared" si="19"/>
        <v>5.7473504457164586E-3</v>
      </c>
      <c r="N112" s="9">
        <f t="shared" si="22"/>
        <v>1.2075689227708795E-2</v>
      </c>
    </row>
    <row r="113" spans="1:14" x14ac:dyDescent="0.35">
      <c r="A113" s="1">
        <v>42535</v>
      </c>
      <c r="B113" s="2" t="s">
        <v>113</v>
      </c>
      <c r="C113">
        <f t="shared" si="11"/>
        <v>114849.89</v>
      </c>
      <c r="D113">
        <f t="shared" si="12"/>
        <v>2016</v>
      </c>
      <c r="E113">
        <f t="shared" si="13"/>
        <v>6</v>
      </c>
      <c r="F113" t="str">
        <f t="shared" si="15"/>
        <v>June</v>
      </c>
      <c r="G113">
        <f t="shared" si="14"/>
        <v>14</v>
      </c>
      <c r="H113" s="7">
        <f t="shared" si="16"/>
        <v>-0.91429833495312496</v>
      </c>
      <c r="I113" s="9">
        <f t="shared" si="17"/>
        <v>-9.1850369482915622E-3</v>
      </c>
      <c r="J113" s="9">
        <f t="shared" si="18"/>
        <v>116118.41000000002</v>
      </c>
      <c r="K113" s="9">
        <f t="shared" si="21"/>
        <v>119441.28433333334</v>
      </c>
      <c r="L113" s="9">
        <f t="shared" si="20"/>
        <v>118701.46300000008</v>
      </c>
      <c r="M113" s="9">
        <f t="shared" si="19"/>
        <v>6.4939234276720267E-3</v>
      </c>
      <c r="N113" s="9">
        <f t="shared" si="22"/>
        <v>1.1572184519380241E-2</v>
      </c>
    </row>
    <row r="114" spans="1:14" x14ac:dyDescent="0.35">
      <c r="A114" s="1">
        <v>42536</v>
      </c>
      <c r="B114" s="2" t="s">
        <v>114</v>
      </c>
      <c r="C114">
        <f t="shared" si="11"/>
        <v>114515.83</v>
      </c>
      <c r="D114">
        <f t="shared" si="12"/>
        <v>2016</v>
      </c>
      <c r="E114">
        <f t="shared" si="13"/>
        <v>6</v>
      </c>
      <c r="F114" t="str">
        <f t="shared" si="15"/>
        <v>June</v>
      </c>
      <c r="G114">
        <f t="shared" si="14"/>
        <v>15</v>
      </c>
      <c r="H114" s="7">
        <f t="shared" si="16"/>
        <v>-0.29086662599328361</v>
      </c>
      <c r="I114" s="9">
        <f t="shared" si="17"/>
        <v>-2.9129046503426448E-3</v>
      </c>
      <c r="J114" s="9">
        <f t="shared" si="18"/>
        <v>115930.34571428571</v>
      </c>
      <c r="K114" s="9">
        <f t="shared" si="21"/>
        <v>119241.26866666669</v>
      </c>
      <c r="L114" s="9">
        <f t="shared" si="20"/>
        <v>118699.8523333334</v>
      </c>
      <c r="M114" s="9">
        <f t="shared" si="19"/>
        <v>6.5110349919887348E-3</v>
      </c>
      <c r="N114" s="9">
        <f t="shared" si="22"/>
        <v>1.1573510533625929E-2</v>
      </c>
    </row>
    <row r="115" spans="1:14" x14ac:dyDescent="0.35">
      <c r="A115" s="1">
        <v>42538</v>
      </c>
      <c r="B115" s="2" t="s">
        <v>115</v>
      </c>
      <c r="C115">
        <f t="shared" si="11"/>
        <v>114044.15</v>
      </c>
      <c r="D115">
        <f t="shared" si="12"/>
        <v>2016</v>
      </c>
      <c r="E115">
        <f t="shared" si="13"/>
        <v>6</v>
      </c>
      <c r="F115" t="str">
        <f t="shared" si="15"/>
        <v>June</v>
      </c>
      <c r="G115">
        <f t="shared" si="14"/>
        <v>17</v>
      </c>
      <c r="H115" s="7">
        <f t="shared" si="16"/>
        <v>-0.41189065302151462</v>
      </c>
      <c r="I115" s="9">
        <f t="shared" si="17"/>
        <v>-4.1274125908648176E-3</v>
      </c>
      <c r="J115" s="9">
        <f t="shared" si="18"/>
        <v>115579.34142857142</v>
      </c>
      <c r="K115" s="9">
        <f t="shared" si="21"/>
        <v>119079.3116666667</v>
      </c>
      <c r="L115" s="9">
        <f t="shared" si="20"/>
        <v>118687.22588888898</v>
      </c>
      <c r="M115" s="9">
        <f t="shared" si="19"/>
        <v>5.6568041009113822E-3</v>
      </c>
      <c r="N115" s="9">
        <f t="shared" si="22"/>
        <v>1.1369553878708218E-2</v>
      </c>
    </row>
    <row r="116" spans="1:14" x14ac:dyDescent="0.35">
      <c r="A116" s="1">
        <v>42541</v>
      </c>
      <c r="B116" s="2" t="s">
        <v>116</v>
      </c>
      <c r="C116">
        <f t="shared" si="11"/>
        <v>112863.01</v>
      </c>
      <c r="D116">
        <f t="shared" si="12"/>
        <v>2016</v>
      </c>
      <c r="E116">
        <f t="shared" si="13"/>
        <v>6</v>
      </c>
      <c r="F116" t="str">
        <f t="shared" si="15"/>
        <v>June</v>
      </c>
      <c r="G116">
        <f t="shared" si="14"/>
        <v>20</v>
      </c>
      <c r="H116" s="7">
        <f t="shared" si="16"/>
        <v>-1.0356866178580835</v>
      </c>
      <c r="I116" s="9">
        <f t="shared" si="17"/>
        <v>-1.0410871726204456E-2</v>
      </c>
      <c r="J116" s="9">
        <f t="shared" si="18"/>
        <v>115124.35285714285</v>
      </c>
      <c r="K116" s="9">
        <f t="shared" si="21"/>
        <v>118839.88766666669</v>
      </c>
      <c r="L116" s="9">
        <f t="shared" si="20"/>
        <v>118676.08244444453</v>
      </c>
      <c r="M116" s="9">
        <f t="shared" si="19"/>
        <v>6.31748942558051E-3</v>
      </c>
      <c r="N116" s="9">
        <f t="shared" si="22"/>
        <v>1.1290444169123783E-2</v>
      </c>
    </row>
    <row r="117" spans="1:14" x14ac:dyDescent="0.35">
      <c r="A117" s="1">
        <v>42542</v>
      </c>
      <c r="B117" s="2" t="s">
        <v>117</v>
      </c>
      <c r="C117">
        <f t="shared" si="11"/>
        <v>113301.77</v>
      </c>
      <c r="D117">
        <f t="shared" si="12"/>
        <v>2016</v>
      </c>
      <c r="E117">
        <f t="shared" si="13"/>
        <v>6</v>
      </c>
      <c r="F117" t="str">
        <f t="shared" si="15"/>
        <v>June</v>
      </c>
      <c r="G117">
        <f t="shared" si="14"/>
        <v>21</v>
      </c>
      <c r="H117" s="7">
        <f t="shared" si="16"/>
        <v>0.38875447323264667</v>
      </c>
      <c r="I117" s="9">
        <f t="shared" si="17"/>
        <v>3.8800077575396785E-3</v>
      </c>
      <c r="J117" s="9">
        <f t="shared" si="18"/>
        <v>114583.82714285715</v>
      </c>
      <c r="K117" s="9">
        <f t="shared" si="21"/>
        <v>118441.64400000003</v>
      </c>
      <c r="L117" s="9">
        <f t="shared" si="20"/>
        <v>118663.8762222223</v>
      </c>
      <c r="M117" s="9">
        <f t="shared" si="19"/>
        <v>4.6864173150372411E-3</v>
      </c>
      <c r="N117" s="9">
        <f t="shared" si="22"/>
        <v>7.6637269177574456E-3</v>
      </c>
    </row>
    <row r="118" spans="1:14" x14ac:dyDescent="0.35">
      <c r="A118" s="1">
        <v>42543</v>
      </c>
      <c r="B118" s="2" t="s">
        <v>118</v>
      </c>
      <c r="C118">
        <f t="shared" si="11"/>
        <v>112123.6</v>
      </c>
      <c r="D118">
        <f t="shared" si="12"/>
        <v>2016</v>
      </c>
      <c r="E118">
        <f t="shared" si="13"/>
        <v>6</v>
      </c>
      <c r="F118" t="str">
        <f t="shared" si="15"/>
        <v>June</v>
      </c>
      <c r="G118">
        <f t="shared" si="14"/>
        <v>22</v>
      </c>
      <c r="H118" s="7">
        <f t="shared" si="16"/>
        <v>-1.0398513633105626</v>
      </c>
      <c r="I118" s="9">
        <f t="shared" si="17"/>
        <v>-1.0452955917421836E-2</v>
      </c>
      <c r="J118" s="9">
        <f t="shared" si="18"/>
        <v>113943.98571428572</v>
      </c>
      <c r="K118" s="9">
        <f t="shared" si="21"/>
        <v>118010.12433333337</v>
      </c>
      <c r="L118" s="9">
        <f t="shared" si="20"/>
        <v>118614.51655555562</v>
      </c>
      <c r="M118" s="9">
        <f t="shared" si="19"/>
        <v>5.1467933017932529E-3</v>
      </c>
      <c r="N118" s="9">
        <f t="shared" si="22"/>
        <v>7.7626053531249448E-3</v>
      </c>
    </row>
    <row r="119" spans="1:14" x14ac:dyDescent="0.35">
      <c r="A119" s="1">
        <v>42544</v>
      </c>
      <c r="B119" s="2" t="s">
        <v>119</v>
      </c>
      <c r="C119">
        <f t="shared" si="11"/>
        <v>111042.85</v>
      </c>
      <c r="D119">
        <f t="shared" si="12"/>
        <v>2016</v>
      </c>
      <c r="E119">
        <f t="shared" si="13"/>
        <v>6</v>
      </c>
      <c r="F119" t="str">
        <f t="shared" si="15"/>
        <v>June</v>
      </c>
      <c r="G119">
        <f t="shared" si="14"/>
        <v>23</v>
      </c>
      <c r="H119" s="7">
        <f t="shared" si="16"/>
        <v>-0.96389163387547316</v>
      </c>
      <c r="I119" s="9">
        <f t="shared" si="17"/>
        <v>-9.6856713807183647E-3</v>
      </c>
      <c r="J119" s="9">
        <f t="shared" si="18"/>
        <v>113248.72857142857</v>
      </c>
      <c r="K119" s="9">
        <f t="shared" si="21"/>
        <v>117597.56533333336</v>
      </c>
      <c r="L119" s="9">
        <f t="shared" si="20"/>
        <v>118554.44722222228</v>
      </c>
      <c r="M119" s="9">
        <f t="shared" si="19"/>
        <v>5.3781989184839936E-3</v>
      </c>
      <c r="N119" s="9">
        <f t="shared" si="22"/>
        <v>7.6355500092947243E-3</v>
      </c>
    </row>
    <row r="120" spans="1:14" x14ac:dyDescent="0.35">
      <c r="A120" s="1">
        <v>42545</v>
      </c>
      <c r="B120" s="2" t="s">
        <v>120</v>
      </c>
      <c r="C120">
        <f t="shared" si="11"/>
        <v>110730.56</v>
      </c>
      <c r="D120">
        <f t="shared" si="12"/>
        <v>2016</v>
      </c>
      <c r="E120">
        <f t="shared" si="13"/>
        <v>6</v>
      </c>
      <c r="F120" t="str">
        <f t="shared" si="15"/>
        <v>June</v>
      </c>
      <c r="G120">
        <f t="shared" si="14"/>
        <v>24</v>
      </c>
      <c r="H120" s="7">
        <f t="shared" si="16"/>
        <v>-0.28123377597027466</v>
      </c>
      <c r="I120" s="9">
        <f t="shared" si="17"/>
        <v>-2.8162998117026387E-3</v>
      </c>
      <c r="J120" s="9">
        <f t="shared" si="18"/>
        <v>112660.25285714286</v>
      </c>
      <c r="K120" s="9">
        <f t="shared" si="21"/>
        <v>117136.46800000002</v>
      </c>
      <c r="L120" s="9">
        <f t="shared" si="20"/>
        <v>118472.91644444449</v>
      </c>
      <c r="M120" s="9">
        <f t="shared" si="19"/>
        <v>5.3131209002693384E-3</v>
      </c>
      <c r="N120" s="9">
        <f t="shared" si="22"/>
        <v>7.2490309655711075E-3</v>
      </c>
    </row>
    <row r="121" spans="1:14" x14ac:dyDescent="0.35">
      <c r="A121" s="1">
        <v>42548</v>
      </c>
      <c r="B121" s="2" t="s">
        <v>121</v>
      </c>
      <c r="C121">
        <f t="shared" si="11"/>
        <v>110827.39</v>
      </c>
      <c r="D121">
        <f t="shared" si="12"/>
        <v>2016</v>
      </c>
      <c r="E121">
        <f t="shared" si="13"/>
        <v>6</v>
      </c>
      <c r="F121" t="str">
        <f t="shared" si="15"/>
        <v>June</v>
      </c>
      <c r="G121">
        <f t="shared" si="14"/>
        <v>27</v>
      </c>
      <c r="H121" s="7">
        <f t="shared" si="16"/>
        <v>8.7446500767269439E-2</v>
      </c>
      <c r="I121" s="9">
        <f t="shared" si="17"/>
        <v>8.7408288589966275E-4</v>
      </c>
      <c r="J121" s="9">
        <f t="shared" si="18"/>
        <v>112133.33285714286</v>
      </c>
      <c r="K121" s="9">
        <f t="shared" si="21"/>
        <v>116754.67166666669</v>
      </c>
      <c r="L121" s="9">
        <f t="shared" si="20"/>
        <v>118388.6403333334</v>
      </c>
      <c r="M121" s="9">
        <f t="shared" si="19"/>
        <v>5.7608867258759529E-3</v>
      </c>
      <c r="N121" s="9">
        <f t="shared" si="22"/>
        <v>6.7522870497788009E-3</v>
      </c>
    </row>
    <row r="122" spans="1:14" x14ac:dyDescent="0.35">
      <c r="A122" s="1">
        <v>42549</v>
      </c>
      <c r="B122" s="2" t="s">
        <v>122</v>
      </c>
      <c r="C122">
        <f t="shared" si="11"/>
        <v>112479.92</v>
      </c>
      <c r="D122">
        <f t="shared" si="12"/>
        <v>2016</v>
      </c>
      <c r="E122">
        <f t="shared" si="13"/>
        <v>6</v>
      </c>
      <c r="F122" t="str">
        <f t="shared" si="15"/>
        <v>June</v>
      </c>
      <c r="G122">
        <f t="shared" si="14"/>
        <v>28</v>
      </c>
      <c r="H122" s="7">
        <f t="shared" si="16"/>
        <v>1.4910844692814647</v>
      </c>
      <c r="I122" s="9">
        <f t="shared" si="17"/>
        <v>1.4800770894720962E-2</v>
      </c>
      <c r="J122" s="9">
        <f t="shared" si="18"/>
        <v>111909.87142857144</v>
      </c>
      <c r="K122" s="9">
        <f t="shared" si="21"/>
        <v>116453.94633333334</v>
      </c>
      <c r="L122" s="9">
        <f t="shared" si="20"/>
        <v>118305.02555555561</v>
      </c>
      <c r="M122" s="9">
        <f t="shared" si="19"/>
        <v>9.3721818593261834E-3</v>
      </c>
      <c r="N122" s="9">
        <f t="shared" si="22"/>
        <v>7.4841589245448498E-3</v>
      </c>
    </row>
    <row r="123" spans="1:14" x14ac:dyDescent="0.35">
      <c r="A123" s="1">
        <v>42550</v>
      </c>
      <c r="B123" s="2" t="s">
        <v>123</v>
      </c>
      <c r="C123">
        <f t="shared" si="11"/>
        <v>110924.74</v>
      </c>
      <c r="D123">
        <f t="shared" si="12"/>
        <v>2016</v>
      </c>
      <c r="E123">
        <f t="shared" si="13"/>
        <v>6</v>
      </c>
      <c r="F123" t="str">
        <f t="shared" si="15"/>
        <v>June</v>
      </c>
      <c r="G123">
        <f t="shared" si="14"/>
        <v>29</v>
      </c>
      <c r="H123" s="7">
        <f t="shared" si="16"/>
        <v>-1.382629006137267</v>
      </c>
      <c r="I123" s="9">
        <f t="shared" si="17"/>
        <v>-1.3922763488398462E-2</v>
      </c>
      <c r="J123" s="9">
        <f t="shared" si="18"/>
        <v>111632.97571428571</v>
      </c>
      <c r="K123" s="9">
        <f t="shared" si="21"/>
        <v>116125.40533333334</v>
      </c>
      <c r="L123" s="9">
        <f t="shared" si="20"/>
        <v>118190.30744444448</v>
      </c>
      <c r="M123" s="9">
        <f t="shared" si="19"/>
        <v>9.9738330640517774E-3</v>
      </c>
      <c r="N123" s="9">
        <f t="shared" si="22"/>
        <v>7.74526350083409E-3</v>
      </c>
    </row>
    <row r="124" spans="1:14" x14ac:dyDescent="0.35">
      <c r="A124" s="1">
        <v>42551</v>
      </c>
      <c r="B124" s="2" t="s">
        <v>124</v>
      </c>
      <c r="C124">
        <f t="shared" si="11"/>
        <v>111332.74</v>
      </c>
      <c r="D124">
        <f t="shared" si="12"/>
        <v>2016</v>
      </c>
      <c r="E124">
        <f t="shared" si="13"/>
        <v>6</v>
      </c>
      <c r="F124" t="str">
        <f t="shared" si="15"/>
        <v>June</v>
      </c>
      <c r="G124">
        <f t="shared" si="14"/>
        <v>30</v>
      </c>
      <c r="H124" s="7">
        <f t="shared" si="16"/>
        <v>0.36781695408977294</v>
      </c>
      <c r="I124" s="9">
        <f t="shared" si="17"/>
        <v>3.6714216169224652E-3</v>
      </c>
      <c r="J124" s="9">
        <f t="shared" si="18"/>
        <v>111351.68571428572</v>
      </c>
      <c r="K124" s="9">
        <f t="shared" si="21"/>
        <v>115818.68333333335</v>
      </c>
      <c r="L124" s="9">
        <f t="shared" si="20"/>
        <v>118108.24300000003</v>
      </c>
      <c r="M124" s="9">
        <f t="shared" si="19"/>
        <v>9.9519710355740702E-3</v>
      </c>
      <c r="N124" s="9">
        <f t="shared" si="22"/>
        <v>7.835225021511294E-3</v>
      </c>
    </row>
    <row r="125" spans="1:14" x14ac:dyDescent="0.35">
      <c r="A125" s="1">
        <v>42552</v>
      </c>
      <c r="B125" s="2" t="s">
        <v>125</v>
      </c>
      <c r="C125">
        <f t="shared" si="11"/>
        <v>110836.89</v>
      </c>
      <c r="D125">
        <f t="shared" si="12"/>
        <v>2016</v>
      </c>
      <c r="E125">
        <f t="shared" si="13"/>
        <v>7</v>
      </c>
      <c r="F125" t="str">
        <f t="shared" si="15"/>
        <v>July</v>
      </c>
      <c r="G125">
        <f t="shared" si="14"/>
        <v>1</v>
      </c>
      <c r="H125" s="7">
        <f t="shared" si="16"/>
        <v>-0.4453766250610609</v>
      </c>
      <c r="I125" s="9">
        <f t="shared" si="17"/>
        <v>-4.4637138145895957E-3</v>
      </c>
      <c r="J125" s="9">
        <f t="shared" si="18"/>
        <v>111167.87</v>
      </c>
      <c r="K125" s="9">
        <f t="shared" si="21"/>
        <v>115509.36700000001</v>
      </c>
      <c r="L125" s="9">
        <f t="shared" si="20"/>
        <v>118013.61711111115</v>
      </c>
      <c r="M125" s="9">
        <f t="shared" si="19"/>
        <v>9.3966869656394204E-3</v>
      </c>
      <c r="N125" s="9">
        <f t="shared" si="22"/>
        <v>7.8409081987751393E-3</v>
      </c>
    </row>
    <row r="126" spans="1:14" x14ac:dyDescent="0.35">
      <c r="A126" s="1">
        <v>42555</v>
      </c>
      <c r="B126" s="2" t="s">
        <v>126</v>
      </c>
      <c r="C126">
        <f t="shared" si="11"/>
        <v>111947.89</v>
      </c>
      <c r="D126">
        <f t="shared" si="12"/>
        <v>2016</v>
      </c>
      <c r="E126">
        <f t="shared" si="13"/>
        <v>7</v>
      </c>
      <c r="F126" t="str">
        <f t="shared" si="15"/>
        <v>July</v>
      </c>
      <c r="G126">
        <f t="shared" si="14"/>
        <v>4</v>
      </c>
      <c r="H126" s="7">
        <f t="shared" si="16"/>
        <v>1.002373848634692</v>
      </c>
      <c r="I126" s="9">
        <f t="shared" si="17"/>
        <v>9.9738340287948563E-3</v>
      </c>
      <c r="J126" s="9">
        <f t="shared" si="18"/>
        <v>111297.16142857143</v>
      </c>
      <c r="K126" s="9">
        <f t="shared" si="21"/>
        <v>115235.30533333334</v>
      </c>
      <c r="L126" s="9">
        <f t="shared" si="20"/>
        <v>117926.41777777784</v>
      </c>
      <c r="M126" s="9">
        <f t="shared" si="19"/>
        <v>9.5312657319193105E-3</v>
      </c>
      <c r="N126" s="9">
        <f t="shared" si="22"/>
        <v>8.1584490366329952E-3</v>
      </c>
    </row>
    <row r="127" spans="1:14" x14ac:dyDescent="0.35">
      <c r="A127" s="1">
        <v>42556</v>
      </c>
      <c r="B127" s="2" t="s">
        <v>127</v>
      </c>
      <c r="C127">
        <f t="shared" si="11"/>
        <v>110958.51</v>
      </c>
      <c r="D127">
        <f t="shared" si="12"/>
        <v>2016</v>
      </c>
      <c r="E127">
        <f t="shared" si="13"/>
        <v>7</v>
      </c>
      <c r="F127" t="str">
        <f t="shared" si="15"/>
        <v>July</v>
      </c>
      <c r="G127">
        <f t="shared" si="14"/>
        <v>5</v>
      </c>
      <c r="H127" s="7">
        <f t="shared" si="16"/>
        <v>-0.88378619731019903</v>
      </c>
      <c r="I127" s="9">
        <f t="shared" si="17"/>
        <v>-8.8771475132984248E-3</v>
      </c>
      <c r="J127" s="9">
        <f t="shared" si="18"/>
        <v>111329.72571428571</v>
      </c>
      <c r="K127" s="9">
        <f t="shared" si="21"/>
        <v>114904.91866666668</v>
      </c>
      <c r="L127" s="9">
        <f t="shared" si="20"/>
        <v>117842.76822222226</v>
      </c>
      <c r="M127" s="9">
        <f t="shared" si="19"/>
        <v>1.0204175720092282E-2</v>
      </c>
      <c r="N127" s="9">
        <f t="shared" si="22"/>
        <v>8.0914819902725785E-3</v>
      </c>
    </row>
    <row r="128" spans="1:14" x14ac:dyDescent="0.35">
      <c r="A128" s="1">
        <v>42557</v>
      </c>
      <c r="B128" s="2" t="s">
        <v>128</v>
      </c>
      <c r="C128">
        <f t="shared" si="11"/>
        <v>110567.85</v>
      </c>
      <c r="D128">
        <f t="shared" si="12"/>
        <v>2016</v>
      </c>
      <c r="E128">
        <f t="shared" si="13"/>
        <v>7</v>
      </c>
      <c r="F128" t="str">
        <f t="shared" si="15"/>
        <v>July</v>
      </c>
      <c r="G128">
        <f t="shared" si="14"/>
        <v>6</v>
      </c>
      <c r="H128" s="7">
        <f t="shared" si="16"/>
        <v>-0.35207754682357306</v>
      </c>
      <c r="I128" s="9">
        <f t="shared" si="17"/>
        <v>-3.5269879843872337E-3</v>
      </c>
      <c r="J128" s="9">
        <f t="shared" si="18"/>
        <v>111292.64857142858</v>
      </c>
      <c r="K128" s="9">
        <f t="shared" si="21"/>
        <v>114561.95300000001</v>
      </c>
      <c r="L128" s="9">
        <f t="shared" si="20"/>
        <v>117748.7984444445</v>
      </c>
      <c r="M128" s="9">
        <f t="shared" si="19"/>
        <v>1.0297618653275057E-2</v>
      </c>
      <c r="N128" s="9">
        <f t="shared" si="22"/>
        <v>8.0755867188309904E-3</v>
      </c>
    </row>
    <row r="129" spans="1:14" x14ac:dyDescent="0.35">
      <c r="A129" s="1">
        <v>42558</v>
      </c>
      <c r="B129" s="2" t="s">
        <v>129</v>
      </c>
      <c r="C129">
        <f t="shared" si="11"/>
        <v>111861.66</v>
      </c>
      <c r="D129">
        <f t="shared" si="12"/>
        <v>2016</v>
      </c>
      <c r="E129">
        <f t="shared" si="13"/>
        <v>7</v>
      </c>
      <c r="F129" t="str">
        <f t="shared" si="15"/>
        <v>July</v>
      </c>
      <c r="G129">
        <f t="shared" si="14"/>
        <v>7</v>
      </c>
      <c r="H129" s="7">
        <f t="shared" si="16"/>
        <v>1.1701502742433696</v>
      </c>
      <c r="I129" s="9">
        <f t="shared" si="17"/>
        <v>1.1633569592283106E-2</v>
      </c>
      <c r="J129" s="9">
        <f t="shared" si="18"/>
        <v>111204.32571428572</v>
      </c>
      <c r="K129" s="9">
        <f t="shared" si="21"/>
        <v>114258.52900000002</v>
      </c>
      <c r="L129" s="9">
        <f t="shared" si="20"/>
        <v>117678.31644444448</v>
      </c>
      <c r="M129" s="9">
        <f t="shared" si="19"/>
        <v>9.5652857426846514E-3</v>
      </c>
      <c r="N129" s="9">
        <f t="shared" si="22"/>
        <v>8.4805457737584088E-3</v>
      </c>
    </row>
    <row r="130" spans="1:14" x14ac:dyDescent="0.35">
      <c r="A130" s="1">
        <v>42559</v>
      </c>
      <c r="B130" s="2" t="s">
        <v>130</v>
      </c>
      <c r="C130">
        <f t="shared" si="11"/>
        <v>110295.21</v>
      </c>
      <c r="D130">
        <f t="shared" si="12"/>
        <v>2016</v>
      </c>
      <c r="E130">
        <f t="shared" si="13"/>
        <v>7</v>
      </c>
      <c r="F130" t="str">
        <f t="shared" si="15"/>
        <v>July</v>
      </c>
      <c r="G130">
        <f t="shared" si="14"/>
        <v>8</v>
      </c>
      <c r="H130" s="7">
        <f t="shared" si="16"/>
        <v>-1.4003457484896944</v>
      </c>
      <c r="I130" s="9">
        <f t="shared" si="17"/>
        <v>-1.4102430962624288E-2</v>
      </c>
      <c r="J130" s="9">
        <f t="shared" si="18"/>
        <v>111114.39285714286</v>
      </c>
      <c r="K130" s="9">
        <f t="shared" si="21"/>
        <v>113930.09800000001</v>
      </c>
      <c r="L130" s="9">
        <f t="shared" si="20"/>
        <v>117575.77266666671</v>
      </c>
      <c r="M130" s="9">
        <f t="shared" si="19"/>
        <v>9.6065586341752551E-3</v>
      </c>
      <c r="N130" s="9">
        <f t="shared" si="22"/>
        <v>8.7072619250025893E-3</v>
      </c>
    </row>
    <row r="131" spans="1:14" x14ac:dyDescent="0.35">
      <c r="A131" s="1">
        <v>42562</v>
      </c>
      <c r="B131" s="2" t="s">
        <v>131</v>
      </c>
      <c r="C131">
        <f t="shared" ref="C131:C194" si="23">_xlfn.NUMBERVALUE(B131,".",",")</f>
        <v>110015.43</v>
      </c>
      <c r="D131">
        <f t="shared" ref="D131:D194" si="24">YEAR(A131)</f>
        <v>2016</v>
      </c>
      <c r="E131">
        <f t="shared" ref="E131:E194" si="25">MONTH(A131)</f>
        <v>7</v>
      </c>
      <c r="F131" t="str">
        <f t="shared" si="15"/>
        <v>July</v>
      </c>
      <c r="G131">
        <f t="shared" ref="G131:G194" si="26">DAY(A131)</f>
        <v>11</v>
      </c>
      <c r="H131" s="7">
        <f t="shared" si="16"/>
        <v>-0.2536646877049451</v>
      </c>
      <c r="I131" s="9">
        <f t="shared" si="17"/>
        <v>-2.5398696168610875E-3</v>
      </c>
      <c r="J131" s="9">
        <f t="shared" si="18"/>
        <v>110926.20571428571</v>
      </c>
      <c r="K131" s="9">
        <f t="shared" si="21"/>
        <v>113660.2716666667</v>
      </c>
      <c r="L131" s="9">
        <f t="shared" si="20"/>
        <v>117520.74744444448</v>
      </c>
      <c r="M131" s="9">
        <f t="shared" si="19"/>
        <v>9.4081135042610869E-3</v>
      </c>
      <c r="N131" s="9">
        <f t="shared" si="22"/>
        <v>8.2806236715778411E-3</v>
      </c>
    </row>
    <row r="132" spans="1:14" x14ac:dyDescent="0.35">
      <c r="A132" s="1">
        <v>42563</v>
      </c>
      <c r="B132" s="2" t="s">
        <v>132</v>
      </c>
      <c r="C132">
        <f t="shared" si="23"/>
        <v>109641.33</v>
      </c>
      <c r="D132">
        <f t="shared" si="24"/>
        <v>2016</v>
      </c>
      <c r="E132">
        <f t="shared" si="25"/>
        <v>7</v>
      </c>
      <c r="F132" t="str">
        <f t="shared" ref="F132:F195" si="27">TEXT(A132,"mmmm")</f>
        <v>July</v>
      </c>
      <c r="G132">
        <f t="shared" si="26"/>
        <v>12</v>
      </c>
      <c r="H132" s="7">
        <f t="shared" ref="H132:H195" si="28">((C132-C131)/C131)*100</f>
        <v>-0.34004321030240148</v>
      </c>
      <c r="I132" s="9">
        <f t="shared" ref="I132:I195" si="29">LN(C132/C131)</f>
        <v>-3.4062267121132777E-3</v>
      </c>
      <c r="J132" s="9">
        <f t="shared" si="18"/>
        <v>110755.41142857143</v>
      </c>
      <c r="K132" s="9">
        <f t="shared" si="21"/>
        <v>113415.34066666669</v>
      </c>
      <c r="L132" s="9">
        <f t="shared" si="20"/>
        <v>117448.7316666667</v>
      </c>
      <c r="M132" s="9">
        <f t="shared" si="19"/>
        <v>9.3647367770059043E-3</v>
      </c>
      <c r="N132" s="9">
        <f t="shared" si="22"/>
        <v>8.1725344263203561E-3</v>
      </c>
    </row>
    <row r="133" spans="1:14" x14ac:dyDescent="0.35">
      <c r="A133" s="1">
        <v>42564</v>
      </c>
      <c r="B133" s="2" t="s">
        <v>133</v>
      </c>
      <c r="C133">
        <f t="shared" si="23"/>
        <v>111896.75</v>
      </c>
      <c r="D133">
        <f t="shared" si="24"/>
        <v>2016</v>
      </c>
      <c r="E133">
        <f t="shared" si="25"/>
        <v>7</v>
      </c>
      <c r="F133" t="str">
        <f t="shared" si="27"/>
        <v>July</v>
      </c>
      <c r="G133">
        <f t="shared" si="26"/>
        <v>13</v>
      </c>
      <c r="H133" s="7">
        <f t="shared" si="28"/>
        <v>2.0570892381549895</v>
      </c>
      <c r="I133" s="9">
        <f t="shared" si="29"/>
        <v>2.0362169136726695E-2</v>
      </c>
      <c r="J133" s="9">
        <f t="shared" si="18"/>
        <v>110748.10571428572</v>
      </c>
      <c r="K133" s="9">
        <f t="shared" si="21"/>
        <v>113214.4806666667</v>
      </c>
      <c r="L133" s="9">
        <f t="shared" si="20"/>
        <v>117396.46933333336</v>
      </c>
      <c r="M133" s="9">
        <f t="shared" si="19"/>
        <v>1.1958980705658614E-2</v>
      </c>
      <c r="N133" s="9">
        <f t="shared" si="22"/>
        <v>8.976895778685115E-3</v>
      </c>
    </row>
    <row r="134" spans="1:14" x14ac:dyDescent="0.35">
      <c r="A134" s="1">
        <v>42565</v>
      </c>
      <c r="B134" s="2" t="s">
        <v>134</v>
      </c>
      <c r="C134">
        <f t="shared" si="23"/>
        <v>112019.34</v>
      </c>
      <c r="D134">
        <f t="shared" si="24"/>
        <v>2016</v>
      </c>
      <c r="E134">
        <f t="shared" si="25"/>
        <v>7</v>
      </c>
      <c r="F134" t="str">
        <f t="shared" si="27"/>
        <v>July</v>
      </c>
      <c r="G134">
        <f t="shared" si="26"/>
        <v>14</v>
      </c>
      <c r="H134" s="7">
        <f t="shared" si="28"/>
        <v>0.10955635440707305</v>
      </c>
      <c r="I134" s="9">
        <f t="shared" si="29"/>
        <v>1.0949638522915973E-3</v>
      </c>
      <c r="J134" s="9">
        <f t="shared" si="18"/>
        <v>110899.65285714285</v>
      </c>
      <c r="K134" s="9">
        <f t="shared" si="21"/>
        <v>112991.03100000002</v>
      </c>
      <c r="L134" s="9">
        <f t="shared" si="20"/>
        <v>117373.71133333335</v>
      </c>
      <c r="M134" s="9">
        <f t="shared" si="19"/>
        <v>1.1310719309960126E-2</v>
      </c>
      <c r="N134" s="9">
        <f t="shared" si="22"/>
        <v>8.8503172820344738E-3</v>
      </c>
    </row>
    <row r="135" spans="1:14" x14ac:dyDescent="0.35">
      <c r="A135" s="1">
        <v>42566</v>
      </c>
      <c r="B135" s="2" t="s">
        <v>135</v>
      </c>
      <c r="C135">
        <f t="shared" si="23"/>
        <v>110391.91</v>
      </c>
      <c r="D135">
        <f t="shared" si="24"/>
        <v>2016</v>
      </c>
      <c r="E135">
        <f t="shared" si="25"/>
        <v>7</v>
      </c>
      <c r="F135" t="str">
        <f t="shared" si="27"/>
        <v>July</v>
      </c>
      <c r="G135">
        <f t="shared" si="26"/>
        <v>15</v>
      </c>
      <c r="H135" s="7">
        <f t="shared" si="28"/>
        <v>-1.4528116305630734</v>
      </c>
      <c r="I135" s="9">
        <f t="shared" si="29"/>
        <v>-1.4634682786843003E-2</v>
      </c>
      <c r="J135" s="9">
        <f t="shared" si="18"/>
        <v>110874.51857142858</v>
      </c>
      <c r="K135" s="9">
        <f t="shared" si="21"/>
        <v>112784.67266666669</v>
      </c>
      <c r="L135" s="9">
        <f t="shared" si="20"/>
        <v>117351.19522222225</v>
      </c>
      <c r="M135" s="9">
        <f t="shared" si="19"/>
        <v>1.2792578183591771E-2</v>
      </c>
      <c r="N135" s="9">
        <f t="shared" si="22"/>
        <v>8.6465711731886427E-3</v>
      </c>
    </row>
    <row r="136" spans="1:14" x14ac:dyDescent="0.35">
      <c r="A136" s="1">
        <v>42569</v>
      </c>
      <c r="B136" s="2" t="s">
        <v>136</v>
      </c>
      <c r="C136">
        <f t="shared" si="23"/>
        <v>112314.18</v>
      </c>
      <c r="D136">
        <f t="shared" si="24"/>
        <v>2016</v>
      </c>
      <c r="E136">
        <f t="shared" si="25"/>
        <v>7</v>
      </c>
      <c r="F136" t="str">
        <f t="shared" si="27"/>
        <v>July</v>
      </c>
      <c r="G136">
        <f t="shared" si="26"/>
        <v>18</v>
      </c>
      <c r="H136" s="7">
        <f t="shared" si="28"/>
        <v>1.7413141959406169</v>
      </c>
      <c r="I136" s="9">
        <f t="shared" si="29"/>
        <v>1.7263270523225255E-2</v>
      </c>
      <c r="J136" s="9">
        <f t="shared" si="18"/>
        <v>110939.1642857143</v>
      </c>
      <c r="K136" s="9">
        <f t="shared" si="21"/>
        <v>112658.74600000003</v>
      </c>
      <c r="L136" s="9">
        <f t="shared" si="20"/>
        <v>117357.15300000003</v>
      </c>
      <c r="M136" s="9">
        <f t="shared" si="19"/>
        <v>1.379984773872386E-2</v>
      </c>
      <c r="N136" s="9">
        <f t="shared" si="22"/>
        <v>9.3053961569704857E-3</v>
      </c>
    </row>
    <row r="137" spans="1:14" x14ac:dyDescent="0.35">
      <c r="A137" s="1">
        <v>42570</v>
      </c>
      <c r="B137" s="2" t="s">
        <v>137</v>
      </c>
      <c r="C137">
        <f t="shared" si="23"/>
        <v>111973.21</v>
      </c>
      <c r="D137">
        <f t="shared" si="24"/>
        <v>2016</v>
      </c>
      <c r="E137">
        <f t="shared" si="25"/>
        <v>7</v>
      </c>
      <c r="F137" t="str">
        <f t="shared" si="27"/>
        <v>July</v>
      </c>
      <c r="G137">
        <f t="shared" si="26"/>
        <v>19</v>
      </c>
      <c r="H137" s="7">
        <f t="shared" si="28"/>
        <v>-0.30358588737413805</v>
      </c>
      <c r="I137" s="9">
        <f t="shared" si="29"/>
        <v>-3.0404764411821996E-3</v>
      </c>
      <c r="J137" s="9">
        <f t="shared" ref="J137:J200" si="30">AVERAGE(C131:C137)</f>
        <v>111178.87857142856</v>
      </c>
      <c r="K137" s="9">
        <f t="shared" si="21"/>
        <v>112530.11033333333</v>
      </c>
      <c r="L137" s="9">
        <f t="shared" si="20"/>
        <v>117347.44166666671</v>
      </c>
      <c r="M137" s="9">
        <f t="shared" si="19"/>
        <v>1.2401209356432203E-2</v>
      </c>
      <c r="N137" s="9">
        <f t="shared" si="22"/>
        <v>9.3099180771572775E-3</v>
      </c>
    </row>
    <row r="138" spans="1:14" x14ac:dyDescent="0.35">
      <c r="A138" s="1">
        <v>42571</v>
      </c>
      <c r="B138" s="2" t="s">
        <v>138</v>
      </c>
      <c r="C138">
        <f t="shared" si="23"/>
        <v>114045.55</v>
      </c>
      <c r="D138">
        <f t="shared" si="24"/>
        <v>2016</v>
      </c>
      <c r="E138">
        <f t="shared" si="25"/>
        <v>7</v>
      </c>
      <c r="F138" t="str">
        <f t="shared" si="27"/>
        <v>July</v>
      </c>
      <c r="G138">
        <f t="shared" si="26"/>
        <v>20</v>
      </c>
      <c r="H138" s="7">
        <f t="shared" si="28"/>
        <v>1.8507462633249476</v>
      </c>
      <c r="I138" s="9">
        <f t="shared" si="29"/>
        <v>1.8338283740108836E-2</v>
      </c>
      <c r="J138" s="9">
        <f t="shared" si="30"/>
        <v>111754.61</v>
      </c>
      <c r="K138" s="9">
        <f t="shared" si="21"/>
        <v>112448.25600000001</v>
      </c>
      <c r="L138" s="9">
        <f t="shared" si="20"/>
        <v>117344.47355555561</v>
      </c>
      <c r="M138" s="9">
        <f t="shared" ref="M138:M201" si="31">STDEV(I132:I138)</f>
        <v>1.3541549619759979E-2</v>
      </c>
      <c r="N138" s="9">
        <f t="shared" si="22"/>
        <v>9.8957348484284158E-3</v>
      </c>
    </row>
    <row r="139" spans="1:14" x14ac:dyDescent="0.35">
      <c r="A139" s="1">
        <v>42572</v>
      </c>
      <c r="B139" s="2" t="s">
        <v>139</v>
      </c>
      <c r="C139">
        <f t="shared" si="23"/>
        <v>112908.47</v>
      </c>
      <c r="D139">
        <f t="shared" si="24"/>
        <v>2016</v>
      </c>
      <c r="E139">
        <f t="shared" si="25"/>
        <v>7</v>
      </c>
      <c r="F139" t="str">
        <f t="shared" si="27"/>
        <v>July</v>
      </c>
      <c r="G139">
        <f t="shared" si="26"/>
        <v>21</v>
      </c>
      <c r="H139" s="7">
        <f t="shared" si="28"/>
        <v>-0.99704021770248963</v>
      </c>
      <c r="I139" s="9">
        <f t="shared" si="29"/>
        <v>-1.0020439509517687E-2</v>
      </c>
      <c r="J139" s="9">
        <f t="shared" si="30"/>
        <v>112221.34428571429</v>
      </c>
      <c r="K139" s="9">
        <f t="shared" si="21"/>
        <v>112343.60733333333</v>
      </c>
      <c r="L139" s="9">
        <f t="shared" si="20"/>
        <v>117367.84833333339</v>
      </c>
      <c r="M139" s="9">
        <f t="shared" si="31"/>
        <v>1.4438302904340217E-2</v>
      </c>
      <c r="N139" s="9">
        <f t="shared" si="22"/>
        <v>1.0026019409077866E-2</v>
      </c>
    </row>
    <row r="140" spans="1:14" x14ac:dyDescent="0.35">
      <c r="A140" s="1">
        <v>42573</v>
      </c>
      <c r="B140" s="2" t="s">
        <v>140</v>
      </c>
      <c r="C140">
        <f t="shared" si="23"/>
        <v>111187.24</v>
      </c>
      <c r="D140">
        <f t="shared" si="24"/>
        <v>2016</v>
      </c>
      <c r="E140">
        <f t="shared" si="25"/>
        <v>7</v>
      </c>
      <c r="F140" t="str">
        <f t="shared" si="27"/>
        <v>July</v>
      </c>
      <c r="G140">
        <f t="shared" si="26"/>
        <v>22</v>
      </c>
      <c r="H140" s="7">
        <f t="shared" si="28"/>
        <v>-1.5244471916057278</v>
      </c>
      <c r="I140" s="9">
        <f t="shared" si="29"/>
        <v>-1.5361863454121225E-2</v>
      </c>
      <c r="J140" s="9">
        <f t="shared" si="30"/>
        <v>112119.98571428572</v>
      </c>
      <c r="K140" s="9">
        <f t="shared" si="21"/>
        <v>112147.00033333334</v>
      </c>
      <c r="L140" s="9">
        <f t="shared" si="20"/>
        <v>117375.92811111116</v>
      </c>
      <c r="M140" s="9">
        <f t="shared" si="31"/>
        <v>1.4080402276464647E-2</v>
      </c>
      <c r="N140" s="9">
        <f t="shared" si="22"/>
        <v>1.0184320626000755E-2</v>
      </c>
    </row>
    <row r="141" spans="1:14" x14ac:dyDescent="0.35">
      <c r="A141" s="1">
        <v>42576</v>
      </c>
      <c r="B141" s="2" t="s">
        <v>141</v>
      </c>
      <c r="C141">
        <f t="shared" si="23"/>
        <v>110841.60000000001</v>
      </c>
      <c r="D141">
        <f t="shared" si="24"/>
        <v>2016</v>
      </c>
      <c r="E141">
        <f t="shared" si="25"/>
        <v>7</v>
      </c>
      <c r="F141" t="str">
        <f t="shared" si="27"/>
        <v>July</v>
      </c>
      <c r="G141">
        <f t="shared" si="26"/>
        <v>25</v>
      </c>
      <c r="H141" s="7">
        <f t="shared" si="28"/>
        <v>-0.31086300910068404</v>
      </c>
      <c r="I141" s="9">
        <f t="shared" si="29"/>
        <v>-3.1134719184321867E-3</v>
      </c>
      <c r="J141" s="9">
        <f t="shared" si="30"/>
        <v>111951.73714285714</v>
      </c>
      <c r="K141" s="9">
        <f t="shared" si="21"/>
        <v>111954.97066666669</v>
      </c>
      <c r="L141" s="9">
        <f t="shared" si="20"/>
        <v>117384.49888888893</v>
      </c>
      <c r="M141" s="9">
        <f t="shared" si="31"/>
        <v>1.40704331483515E-2</v>
      </c>
      <c r="N141" s="9">
        <f t="shared" si="22"/>
        <v>1.0177696883729367E-2</v>
      </c>
    </row>
    <row r="142" spans="1:14" x14ac:dyDescent="0.35">
      <c r="A142" s="1">
        <v>42577</v>
      </c>
      <c r="B142" s="2" t="s">
        <v>142</v>
      </c>
      <c r="C142">
        <f t="shared" si="23"/>
        <v>108846.44</v>
      </c>
      <c r="D142">
        <f t="shared" si="24"/>
        <v>2016</v>
      </c>
      <c r="E142">
        <f t="shared" si="25"/>
        <v>7</v>
      </c>
      <c r="F142" t="str">
        <f t="shared" si="27"/>
        <v>July</v>
      </c>
      <c r="G142">
        <f t="shared" si="26"/>
        <v>26</v>
      </c>
      <c r="H142" s="7">
        <f t="shared" si="28"/>
        <v>-1.8000101045095012</v>
      </c>
      <c r="I142" s="9">
        <f t="shared" si="29"/>
        <v>-1.8164073524921848E-2</v>
      </c>
      <c r="J142" s="9">
        <f t="shared" si="30"/>
        <v>111730.95571428571</v>
      </c>
      <c r="K142" s="9">
        <f t="shared" si="21"/>
        <v>111719.53033333334</v>
      </c>
      <c r="L142" s="9">
        <f t="shared" si="20"/>
        <v>117365.3246666667</v>
      </c>
      <c r="M142" s="9">
        <f t="shared" si="31"/>
        <v>1.4669608673673012E-2</v>
      </c>
      <c r="N142" s="9">
        <f t="shared" si="22"/>
        <v>1.0589855322268292E-2</v>
      </c>
    </row>
    <row r="143" spans="1:14" x14ac:dyDescent="0.35">
      <c r="A143" s="1">
        <v>42578</v>
      </c>
      <c r="B143" s="2" t="s">
        <v>143</v>
      </c>
      <c r="C143">
        <f t="shared" si="23"/>
        <v>110100.53</v>
      </c>
      <c r="D143">
        <f t="shared" si="24"/>
        <v>2016</v>
      </c>
      <c r="E143">
        <f t="shared" si="25"/>
        <v>7</v>
      </c>
      <c r="F143" t="str">
        <f t="shared" si="27"/>
        <v>July</v>
      </c>
      <c r="G143">
        <f t="shared" si="26"/>
        <v>27</v>
      </c>
      <c r="H143" s="7">
        <f t="shared" si="28"/>
        <v>1.1521644621542022</v>
      </c>
      <c r="I143" s="9">
        <f t="shared" si="29"/>
        <v>1.1455775935068649E-2</v>
      </c>
      <c r="J143" s="9">
        <f t="shared" si="30"/>
        <v>111414.72</v>
      </c>
      <c r="K143" s="9">
        <f t="shared" si="21"/>
        <v>111561.21833333332</v>
      </c>
      <c r="L143" s="9">
        <f t="shared" si="20"/>
        <v>117325.22211111113</v>
      </c>
      <c r="M143" s="9">
        <f t="shared" si="31"/>
        <v>1.3516574986630711E-2</v>
      </c>
      <c r="N143" s="9">
        <f t="shared" si="22"/>
        <v>1.0782154878716923E-2</v>
      </c>
    </row>
    <row r="144" spans="1:14" x14ac:dyDescent="0.35">
      <c r="A144" s="1">
        <v>42579</v>
      </c>
      <c r="B144" s="2" t="s">
        <v>144</v>
      </c>
      <c r="C144">
        <f t="shared" si="23"/>
        <v>108795.92</v>
      </c>
      <c r="D144">
        <f t="shared" si="24"/>
        <v>2016</v>
      </c>
      <c r="E144">
        <f t="shared" si="25"/>
        <v>7</v>
      </c>
      <c r="F144" t="str">
        <f t="shared" si="27"/>
        <v>July</v>
      </c>
      <c r="G144">
        <f t="shared" si="26"/>
        <v>28</v>
      </c>
      <c r="H144" s="7">
        <f t="shared" si="28"/>
        <v>-1.1849261761046932</v>
      </c>
      <c r="I144" s="9">
        <f t="shared" si="29"/>
        <v>-1.1920023803979544E-2</v>
      </c>
      <c r="J144" s="9">
        <f t="shared" si="30"/>
        <v>110960.82142857145</v>
      </c>
      <c r="K144" s="9">
        <f t="shared" si="21"/>
        <v>111370.55466666668</v>
      </c>
      <c r="L144" s="9">
        <f t="shared" si="20"/>
        <v>117231.26066666668</v>
      </c>
      <c r="M144" s="9">
        <f t="shared" si="31"/>
        <v>1.3947897312758731E-2</v>
      </c>
      <c r="N144" s="9">
        <f t="shared" si="22"/>
        <v>1.0949617250019833E-2</v>
      </c>
    </row>
    <row r="145" spans="1:14" x14ac:dyDescent="0.35">
      <c r="A145" s="1">
        <v>42580</v>
      </c>
      <c r="B145" s="2" t="s">
        <v>145</v>
      </c>
      <c r="C145">
        <f t="shared" si="23"/>
        <v>107381.91</v>
      </c>
      <c r="D145">
        <f t="shared" si="24"/>
        <v>2016</v>
      </c>
      <c r="E145">
        <f t="shared" si="25"/>
        <v>7</v>
      </c>
      <c r="F145" t="str">
        <f t="shared" si="27"/>
        <v>July</v>
      </c>
      <c r="G145">
        <f t="shared" si="26"/>
        <v>29</v>
      </c>
      <c r="H145" s="7">
        <f t="shared" si="28"/>
        <v>-1.2996902825032361</v>
      </c>
      <c r="I145" s="9">
        <f t="shared" si="29"/>
        <v>-1.3082101585020024E-2</v>
      </c>
      <c r="J145" s="9">
        <f t="shared" si="30"/>
        <v>110008.87285714287</v>
      </c>
      <c r="K145" s="9">
        <f t="shared" si="21"/>
        <v>111148.48000000001</v>
      </c>
      <c r="L145" s="9">
        <f t="shared" si="20"/>
        <v>117129.25688888891</v>
      </c>
      <c r="M145" s="9">
        <f t="shared" si="31"/>
        <v>1.0022141106069356E-2</v>
      </c>
      <c r="N145" s="9">
        <f t="shared" si="22"/>
        <v>1.1138274529547035E-2</v>
      </c>
    </row>
    <row r="146" spans="1:14" x14ac:dyDescent="0.35">
      <c r="A146" s="1">
        <v>42583</v>
      </c>
      <c r="B146" s="2" t="s">
        <v>146</v>
      </c>
      <c r="C146">
        <f t="shared" si="23"/>
        <v>109080.93</v>
      </c>
      <c r="D146">
        <f t="shared" si="24"/>
        <v>2016</v>
      </c>
      <c r="E146">
        <f t="shared" si="25"/>
        <v>8</v>
      </c>
      <c r="F146" t="str">
        <f t="shared" si="27"/>
        <v>August</v>
      </c>
      <c r="G146">
        <f t="shared" si="26"/>
        <v>1</v>
      </c>
      <c r="H146" s="7">
        <f t="shared" si="28"/>
        <v>1.5822218099864209</v>
      </c>
      <c r="I146" s="9">
        <f t="shared" si="29"/>
        <v>1.569835165994838E-2</v>
      </c>
      <c r="J146" s="9">
        <f t="shared" si="30"/>
        <v>109462.08142857144</v>
      </c>
      <c r="K146" s="9">
        <f t="shared" si="21"/>
        <v>111022.41066666668</v>
      </c>
      <c r="L146" s="9">
        <f t="shared" si="20"/>
        <v>117064.33155555556</v>
      </c>
      <c r="M146" s="9">
        <f t="shared" si="31"/>
        <v>1.351914640285236E-2</v>
      </c>
      <c r="N146" s="9">
        <f t="shared" si="22"/>
        <v>1.147392396822503E-2</v>
      </c>
    </row>
    <row r="147" spans="1:14" x14ac:dyDescent="0.35">
      <c r="A147" s="1">
        <v>42584</v>
      </c>
      <c r="B147" s="2" t="s">
        <v>147</v>
      </c>
      <c r="C147">
        <f t="shared" si="23"/>
        <v>109243.56</v>
      </c>
      <c r="D147">
        <f t="shared" si="24"/>
        <v>2016</v>
      </c>
      <c r="E147">
        <f t="shared" si="25"/>
        <v>8</v>
      </c>
      <c r="F147" t="str">
        <f t="shared" si="27"/>
        <v>August</v>
      </c>
      <c r="G147">
        <f t="shared" si="26"/>
        <v>2</v>
      </c>
      <c r="H147" s="7">
        <f t="shared" si="28"/>
        <v>0.14909113811186306</v>
      </c>
      <c r="I147" s="9">
        <f t="shared" si="29"/>
        <v>1.4898010761858951E-3</v>
      </c>
      <c r="J147" s="9">
        <f t="shared" si="30"/>
        <v>109184.41285714287</v>
      </c>
      <c r="K147" s="9">
        <f t="shared" si="21"/>
        <v>110887.13700000002</v>
      </c>
      <c r="L147" s="9">
        <f t="shared" si="20"/>
        <v>116978.72177777778</v>
      </c>
      <c r="M147" s="9">
        <f t="shared" si="31"/>
        <v>1.2834308415676824E-2</v>
      </c>
      <c r="N147" s="9">
        <f t="shared" si="22"/>
        <v>1.1446156286211382E-2</v>
      </c>
    </row>
    <row r="148" spans="1:14" x14ac:dyDescent="0.35">
      <c r="A148" s="1">
        <v>42586</v>
      </c>
      <c r="B148" s="2" t="s">
        <v>148</v>
      </c>
      <c r="C148">
        <f t="shared" si="23"/>
        <v>109669.78</v>
      </c>
      <c r="D148">
        <f t="shared" si="24"/>
        <v>2016</v>
      </c>
      <c r="E148">
        <f t="shared" si="25"/>
        <v>8</v>
      </c>
      <c r="F148" t="str">
        <f t="shared" si="27"/>
        <v>August</v>
      </c>
      <c r="G148">
        <f t="shared" si="26"/>
        <v>4</v>
      </c>
      <c r="H148" s="7">
        <f t="shared" si="28"/>
        <v>0.39015572176520169</v>
      </c>
      <c r="I148" s="9">
        <f t="shared" si="29"/>
        <v>3.893965882237155E-3</v>
      </c>
      <c r="J148" s="9">
        <f t="shared" si="30"/>
        <v>109017.01000000001</v>
      </c>
      <c r="K148" s="9">
        <f t="shared" si="21"/>
        <v>110805.34300000001</v>
      </c>
      <c r="L148" s="9">
        <f t="shared" si="20"/>
        <v>116892.84688888887</v>
      </c>
      <c r="M148" s="9">
        <f t="shared" si="31"/>
        <v>1.3051693225034822E-2</v>
      </c>
      <c r="N148" s="9">
        <f t="shared" si="22"/>
        <v>1.1346189855817038E-2</v>
      </c>
    </row>
    <row r="149" spans="1:14" x14ac:dyDescent="0.35">
      <c r="A149" s="1">
        <v>42587</v>
      </c>
      <c r="B149" s="2" t="s">
        <v>149</v>
      </c>
      <c r="C149">
        <f t="shared" si="23"/>
        <v>110371.25</v>
      </c>
      <c r="D149">
        <f t="shared" si="24"/>
        <v>2016</v>
      </c>
      <c r="E149">
        <f t="shared" si="25"/>
        <v>8</v>
      </c>
      <c r="F149" t="str">
        <f t="shared" si="27"/>
        <v>August</v>
      </c>
      <c r="G149">
        <f t="shared" si="26"/>
        <v>5</v>
      </c>
      <c r="H149" s="7">
        <f t="shared" si="28"/>
        <v>0.63962013965925812</v>
      </c>
      <c r="I149" s="9">
        <f t="shared" si="29"/>
        <v>6.3758325099688264E-3</v>
      </c>
      <c r="J149" s="9">
        <f t="shared" si="30"/>
        <v>109234.84</v>
      </c>
      <c r="K149" s="9">
        <f t="shared" si="21"/>
        <v>110782.95633333334</v>
      </c>
      <c r="L149" s="9">
        <f t="shared" si="20"/>
        <v>116790.22844444442</v>
      </c>
      <c r="M149" s="9">
        <f t="shared" si="31"/>
        <v>1.0964241812933458E-2</v>
      </c>
      <c r="N149" s="9">
        <f t="shared" si="22"/>
        <v>1.1288197318688513E-2</v>
      </c>
    </row>
    <row r="150" spans="1:14" x14ac:dyDescent="0.35">
      <c r="A150" s="1">
        <v>42590</v>
      </c>
      <c r="B150" s="2" t="s">
        <v>150</v>
      </c>
      <c r="C150">
        <f t="shared" si="23"/>
        <v>109818.48</v>
      </c>
      <c r="D150">
        <f t="shared" si="24"/>
        <v>2016</v>
      </c>
      <c r="E150">
        <f t="shared" si="25"/>
        <v>8</v>
      </c>
      <c r="F150" t="str">
        <f t="shared" si="27"/>
        <v>August</v>
      </c>
      <c r="G150">
        <f t="shared" si="26"/>
        <v>8</v>
      </c>
      <c r="H150" s="7">
        <f t="shared" si="28"/>
        <v>-0.50082788769720743</v>
      </c>
      <c r="I150" s="9">
        <f t="shared" si="29"/>
        <v>-5.0208623375285902E-3</v>
      </c>
      <c r="J150" s="9">
        <f t="shared" si="30"/>
        <v>109194.54714285713</v>
      </c>
      <c r="K150" s="9">
        <f t="shared" si="21"/>
        <v>110752.55366666667</v>
      </c>
      <c r="L150" s="9">
        <f t="shared" si="20"/>
        <v>116712.8141111111</v>
      </c>
      <c r="M150" s="9">
        <f t="shared" si="31"/>
        <v>1.0343834350686866E-2</v>
      </c>
      <c r="N150" s="9">
        <f t="shared" si="22"/>
        <v>1.1312950280887848E-2</v>
      </c>
    </row>
    <row r="151" spans="1:14" x14ac:dyDescent="0.35">
      <c r="A151" s="1">
        <v>42592</v>
      </c>
      <c r="B151" s="2" t="s">
        <v>151</v>
      </c>
      <c r="C151">
        <f t="shared" si="23"/>
        <v>108707.33</v>
      </c>
      <c r="D151">
        <f t="shared" si="24"/>
        <v>2016</v>
      </c>
      <c r="E151">
        <f t="shared" si="25"/>
        <v>8</v>
      </c>
      <c r="F151" t="str">
        <f t="shared" si="27"/>
        <v>August</v>
      </c>
      <c r="G151">
        <f t="shared" si="26"/>
        <v>10</v>
      </c>
      <c r="H151" s="7">
        <f t="shared" si="28"/>
        <v>-1.0118060275465424</v>
      </c>
      <c r="I151" s="9">
        <f t="shared" si="29"/>
        <v>-1.0169595768182844E-2</v>
      </c>
      <c r="J151" s="9">
        <f t="shared" si="30"/>
        <v>109181.89142857143</v>
      </c>
      <c r="K151" s="9">
        <f t="shared" si="21"/>
        <v>110681.88500000001</v>
      </c>
      <c r="L151" s="9">
        <f t="shared" si="20"/>
        <v>116625.30211111109</v>
      </c>
      <c r="M151" s="9">
        <f t="shared" si="31"/>
        <v>1.0034509479757757E-2</v>
      </c>
      <c r="N151" s="9">
        <f t="shared" si="22"/>
        <v>1.1453058907036823E-2</v>
      </c>
    </row>
    <row r="152" spans="1:14" x14ac:dyDescent="0.35">
      <c r="A152" s="1">
        <v>42593</v>
      </c>
      <c r="B152" s="2" t="s">
        <v>152</v>
      </c>
      <c r="C152">
        <f t="shared" si="23"/>
        <v>110443.73</v>
      </c>
      <c r="D152">
        <f t="shared" si="24"/>
        <v>2016</v>
      </c>
      <c r="E152">
        <f t="shared" si="25"/>
        <v>8</v>
      </c>
      <c r="F152" t="str">
        <f t="shared" si="27"/>
        <v>August</v>
      </c>
      <c r="G152">
        <f t="shared" si="26"/>
        <v>11</v>
      </c>
      <c r="H152" s="7">
        <f t="shared" si="28"/>
        <v>1.5973163907162418</v>
      </c>
      <c r="I152" s="9">
        <f t="shared" si="29"/>
        <v>1.5846935330245879E-2</v>
      </c>
      <c r="J152" s="9">
        <f t="shared" si="30"/>
        <v>109619.29428571428</v>
      </c>
      <c r="K152" s="9">
        <f t="shared" si="21"/>
        <v>110614.012</v>
      </c>
      <c r="L152" s="9">
        <f t="shared" si="20"/>
        <v>116517.26111111112</v>
      </c>
      <c r="M152" s="9">
        <f t="shared" si="31"/>
        <v>9.7579861418067727E-3</v>
      </c>
      <c r="N152" s="9">
        <f t="shared" si="22"/>
        <v>1.15031889752255E-2</v>
      </c>
    </row>
    <row r="153" spans="1:14" x14ac:dyDescent="0.35">
      <c r="A153" s="1">
        <v>42594</v>
      </c>
      <c r="B153" s="2" t="s">
        <v>153</v>
      </c>
      <c r="C153">
        <f t="shared" si="23"/>
        <v>110742.69</v>
      </c>
      <c r="D153">
        <f t="shared" si="24"/>
        <v>2016</v>
      </c>
      <c r="E153">
        <f t="shared" si="25"/>
        <v>8</v>
      </c>
      <c r="F153" t="str">
        <f t="shared" si="27"/>
        <v>August</v>
      </c>
      <c r="G153">
        <f t="shared" si="26"/>
        <v>12</v>
      </c>
      <c r="H153" s="7">
        <f t="shared" si="28"/>
        <v>0.2706898798148219</v>
      </c>
      <c r="I153" s="9">
        <f t="shared" si="29"/>
        <v>2.7032417456240351E-3</v>
      </c>
      <c r="J153" s="9">
        <f t="shared" si="30"/>
        <v>109856.68857142855</v>
      </c>
      <c r="K153" s="9">
        <f t="shared" si="21"/>
        <v>110607.94366666666</v>
      </c>
      <c r="L153" s="9">
        <f t="shared" si="20"/>
        <v>116402.02066666663</v>
      </c>
      <c r="M153" s="9">
        <f t="shared" si="31"/>
        <v>8.2909596751506356E-3</v>
      </c>
      <c r="N153" s="9">
        <f t="shared" si="22"/>
        <v>1.1237063448453185E-2</v>
      </c>
    </row>
    <row r="154" spans="1:14" x14ac:dyDescent="0.35">
      <c r="A154" s="1">
        <v>42597</v>
      </c>
      <c r="B154" s="2" t="s">
        <v>154</v>
      </c>
      <c r="C154">
        <f t="shared" si="23"/>
        <v>108837.14</v>
      </c>
      <c r="D154">
        <f t="shared" si="24"/>
        <v>2016</v>
      </c>
      <c r="E154">
        <f t="shared" si="25"/>
        <v>8</v>
      </c>
      <c r="F154" t="str">
        <f t="shared" si="27"/>
        <v>August</v>
      </c>
      <c r="G154">
        <f t="shared" si="26"/>
        <v>15</v>
      </c>
      <c r="H154" s="7">
        <f t="shared" si="28"/>
        <v>-1.7207004814493876</v>
      </c>
      <c r="I154" s="9">
        <f t="shared" si="29"/>
        <v>-1.7356765766388015E-2</v>
      </c>
      <c r="J154" s="9">
        <f t="shared" si="30"/>
        <v>109798.62857142858</v>
      </c>
      <c r="K154" s="9">
        <f t="shared" si="21"/>
        <v>110524.757</v>
      </c>
      <c r="L154" s="9">
        <f t="shared" si="20"/>
        <v>116278.402</v>
      </c>
      <c r="M154" s="9">
        <f t="shared" si="31"/>
        <v>1.1121671895778293E-2</v>
      </c>
      <c r="N154" s="9">
        <f t="shared" si="22"/>
        <v>1.1645055318255045E-2</v>
      </c>
    </row>
    <row r="155" spans="1:14" x14ac:dyDescent="0.35">
      <c r="A155" s="1">
        <v>42598</v>
      </c>
      <c r="B155" s="2" t="s">
        <v>155</v>
      </c>
      <c r="C155">
        <f t="shared" si="23"/>
        <v>108902</v>
      </c>
      <c r="D155">
        <f t="shared" si="24"/>
        <v>2016</v>
      </c>
      <c r="E155">
        <f t="shared" si="25"/>
        <v>8</v>
      </c>
      <c r="F155" t="str">
        <f t="shared" si="27"/>
        <v>August</v>
      </c>
      <c r="G155">
        <f t="shared" si="26"/>
        <v>16</v>
      </c>
      <c r="H155" s="7">
        <f t="shared" si="28"/>
        <v>5.9593627689960051E-2</v>
      </c>
      <c r="I155" s="9">
        <f t="shared" si="29"/>
        <v>5.9575877739205594E-4</v>
      </c>
      <c r="J155" s="9">
        <f t="shared" si="30"/>
        <v>109688.94571428571</v>
      </c>
      <c r="K155" s="9">
        <f t="shared" si="21"/>
        <v>110460.26066666668</v>
      </c>
      <c r="L155" s="9">
        <f t="shared" si="20"/>
        <v>116077.41311111109</v>
      </c>
      <c r="M155" s="9">
        <f t="shared" si="31"/>
        <v>1.0971744733598522E-2</v>
      </c>
      <c r="N155" s="9">
        <f t="shared" si="22"/>
        <v>1.1626123673288122E-2</v>
      </c>
    </row>
    <row r="156" spans="1:14" x14ac:dyDescent="0.35">
      <c r="A156" s="1">
        <v>42599</v>
      </c>
      <c r="B156" s="2" t="s">
        <v>156</v>
      </c>
      <c r="C156">
        <f t="shared" si="23"/>
        <v>111325.7</v>
      </c>
      <c r="D156">
        <f t="shared" si="24"/>
        <v>2016</v>
      </c>
      <c r="E156">
        <f t="shared" si="25"/>
        <v>8</v>
      </c>
      <c r="F156" t="str">
        <f t="shared" si="27"/>
        <v>August</v>
      </c>
      <c r="G156">
        <f t="shared" si="26"/>
        <v>17</v>
      </c>
      <c r="H156" s="7">
        <f t="shared" si="28"/>
        <v>2.2255789609006236</v>
      </c>
      <c r="I156" s="9">
        <f t="shared" si="29"/>
        <v>2.2011743840615494E-2</v>
      </c>
      <c r="J156" s="9">
        <f t="shared" si="30"/>
        <v>109825.2957142857</v>
      </c>
      <c r="K156" s="9">
        <f t="shared" si="21"/>
        <v>110439.52100000001</v>
      </c>
      <c r="L156" s="9">
        <f t="shared" ref="L156:L219" si="32">AVERAGE(C67:C156)</f>
        <v>115887.07999999997</v>
      </c>
      <c r="M156" s="9">
        <f t="shared" si="31"/>
        <v>1.3920011398107474E-2</v>
      </c>
      <c r="N156" s="9">
        <f t="shared" si="22"/>
        <v>1.2196916577960508E-2</v>
      </c>
    </row>
    <row r="157" spans="1:14" x14ac:dyDescent="0.35">
      <c r="A157" s="1">
        <v>42600</v>
      </c>
      <c r="B157" s="2" t="s">
        <v>157</v>
      </c>
      <c r="C157">
        <f t="shared" si="23"/>
        <v>110736.11</v>
      </c>
      <c r="D157">
        <f t="shared" si="24"/>
        <v>2016</v>
      </c>
      <c r="E157">
        <f t="shared" si="25"/>
        <v>8</v>
      </c>
      <c r="F157" t="str">
        <f t="shared" si="27"/>
        <v>August</v>
      </c>
      <c r="G157">
        <f t="shared" si="26"/>
        <v>18</v>
      </c>
      <c r="H157" s="7">
        <f t="shared" si="28"/>
        <v>-0.52960816774562969</v>
      </c>
      <c r="I157" s="9">
        <f t="shared" si="29"/>
        <v>-5.3101556312221262E-3</v>
      </c>
      <c r="J157" s="9">
        <f t="shared" si="30"/>
        <v>109956.3857142857</v>
      </c>
      <c r="K157" s="9">
        <f t="shared" si="21"/>
        <v>110432.10766666666</v>
      </c>
      <c r="L157" s="9">
        <f t="shared" si="32"/>
        <v>115710.99411111105</v>
      </c>
      <c r="M157" s="9">
        <f t="shared" si="31"/>
        <v>1.3942075057974576E-2</v>
      </c>
      <c r="N157" s="9">
        <f t="shared" si="22"/>
        <v>1.212645110808694E-2</v>
      </c>
    </row>
    <row r="158" spans="1:14" x14ac:dyDescent="0.35">
      <c r="A158" s="1">
        <v>42601</v>
      </c>
      <c r="B158" s="2" t="s">
        <v>158</v>
      </c>
      <c r="C158">
        <f t="shared" si="23"/>
        <v>113024.09</v>
      </c>
      <c r="D158">
        <f t="shared" si="24"/>
        <v>2016</v>
      </c>
      <c r="E158">
        <f t="shared" si="25"/>
        <v>8</v>
      </c>
      <c r="F158" t="str">
        <f t="shared" si="27"/>
        <v>August</v>
      </c>
      <c r="G158">
        <f t="shared" si="26"/>
        <v>19</v>
      </c>
      <c r="H158" s="7">
        <f t="shared" si="28"/>
        <v>2.0661552947814363</v>
      </c>
      <c r="I158" s="9">
        <f t="shared" si="29"/>
        <v>2.0450998379600585E-2</v>
      </c>
      <c r="J158" s="9">
        <f t="shared" si="30"/>
        <v>110573.06571428571</v>
      </c>
      <c r="K158" s="9">
        <f t="shared" si="21"/>
        <v>110513.98233333332</v>
      </c>
      <c r="L158" s="9">
        <f t="shared" si="32"/>
        <v>115558.56888888884</v>
      </c>
      <c r="M158" s="9">
        <f t="shared" si="31"/>
        <v>1.4573754230830949E-2</v>
      </c>
      <c r="N158" s="9">
        <f t="shared" si="22"/>
        <v>1.2668614234702355E-2</v>
      </c>
    </row>
    <row r="159" spans="1:14" x14ac:dyDescent="0.35">
      <c r="A159" s="1">
        <v>42604</v>
      </c>
      <c r="B159" s="2" t="s">
        <v>159</v>
      </c>
      <c r="C159">
        <f t="shared" si="23"/>
        <v>111634.6</v>
      </c>
      <c r="D159">
        <f t="shared" si="24"/>
        <v>2016</v>
      </c>
      <c r="E159">
        <f t="shared" si="25"/>
        <v>8</v>
      </c>
      <c r="F159" t="str">
        <f t="shared" si="27"/>
        <v>August</v>
      </c>
      <c r="G159">
        <f t="shared" si="26"/>
        <v>22</v>
      </c>
      <c r="H159" s="7">
        <f t="shared" si="28"/>
        <v>-1.2293750827810166</v>
      </c>
      <c r="I159" s="9">
        <f t="shared" si="29"/>
        <v>-1.2369944093852026E-2</v>
      </c>
      <c r="J159" s="9">
        <f t="shared" si="30"/>
        <v>110743.18999999999</v>
      </c>
      <c r="K159" s="9">
        <f t="shared" si="21"/>
        <v>110506.41366666667</v>
      </c>
      <c r="L159" s="9">
        <f t="shared" si="32"/>
        <v>115408.26377777771</v>
      </c>
      <c r="M159" s="9">
        <f t="shared" si="31"/>
        <v>1.5146294253359718E-2</v>
      </c>
      <c r="N159" s="9">
        <f t="shared" si="22"/>
        <v>1.2714300267591242E-2</v>
      </c>
    </row>
    <row r="160" spans="1:14" x14ac:dyDescent="0.35">
      <c r="A160" s="1">
        <v>42605</v>
      </c>
      <c r="B160" s="2" t="s">
        <v>160</v>
      </c>
      <c r="C160">
        <f t="shared" si="23"/>
        <v>110875.39</v>
      </c>
      <c r="D160">
        <f t="shared" si="24"/>
        <v>2016</v>
      </c>
      <c r="E160">
        <f t="shared" si="25"/>
        <v>8</v>
      </c>
      <c r="F160" t="str">
        <f t="shared" si="27"/>
        <v>August</v>
      </c>
      <c r="G160">
        <f t="shared" si="26"/>
        <v>23</v>
      </c>
      <c r="H160" s="7">
        <f t="shared" si="28"/>
        <v>-0.68008484824597959</v>
      </c>
      <c r="I160" s="9">
        <f t="shared" si="29"/>
        <v>-6.8240796401333528E-3</v>
      </c>
      <c r="J160" s="9">
        <f t="shared" si="30"/>
        <v>110762.14714285715</v>
      </c>
      <c r="K160" s="9">
        <f t="shared" ref="K160:K223" si="33">AVERAGE(C131:C160)</f>
        <v>110525.75300000001</v>
      </c>
      <c r="L160" s="9">
        <f t="shared" si="32"/>
        <v>115250.74466666662</v>
      </c>
      <c r="M160" s="9">
        <f t="shared" si="31"/>
        <v>1.544856467720539E-2</v>
      </c>
      <c r="N160" s="9">
        <f t="shared" si="22"/>
        <v>1.2504977105013354E-2</v>
      </c>
    </row>
    <row r="161" spans="1:14" x14ac:dyDescent="0.35">
      <c r="A161" s="1">
        <v>42606</v>
      </c>
      <c r="B161" s="2" t="s">
        <v>161</v>
      </c>
      <c r="C161">
        <f t="shared" si="23"/>
        <v>111028.82</v>
      </c>
      <c r="D161">
        <f t="shared" si="24"/>
        <v>2016</v>
      </c>
      <c r="E161">
        <f t="shared" si="25"/>
        <v>8</v>
      </c>
      <c r="F161" t="str">
        <f t="shared" si="27"/>
        <v>August</v>
      </c>
      <c r="G161">
        <f t="shared" si="26"/>
        <v>24</v>
      </c>
      <c r="H161" s="7">
        <f t="shared" si="28"/>
        <v>0.13838057300182446</v>
      </c>
      <c r="I161" s="9">
        <f t="shared" si="29"/>
        <v>1.3828491532448808E-3</v>
      </c>
      <c r="J161" s="9">
        <f t="shared" si="30"/>
        <v>111075.24428571427</v>
      </c>
      <c r="K161" s="9">
        <f t="shared" si="33"/>
        <v>110559.53266666667</v>
      </c>
      <c r="L161" s="9">
        <f t="shared" si="32"/>
        <v>115117.48677777774</v>
      </c>
      <c r="M161" s="9">
        <f t="shared" si="31"/>
        <v>1.3391691065642286E-2</v>
      </c>
      <c r="N161" s="9">
        <f t="shared" ref="N161:N224" si="34">STDEV(I132:I161)</f>
        <v>1.2496117333244239E-2</v>
      </c>
    </row>
    <row r="162" spans="1:14" x14ac:dyDescent="0.35">
      <c r="A162" s="1">
        <v>42607</v>
      </c>
      <c r="B162" s="2" t="s">
        <v>162</v>
      </c>
      <c r="C162">
        <f t="shared" si="23"/>
        <v>110022.75</v>
      </c>
      <c r="D162">
        <f t="shared" si="24"/>
        <v>2016</v>
      </c>
      <c r="E162">
        <f t="shared" si="25"/>
        <v>8</v>
      </c>
      <c r="F162" t="str">
        <f t="shared" si="27"/>
        <v>August</v>
      </c>
      <c r="G162">
        <f t="shared" si="26"/>
        <v>25</v>
      </c>
      <c r="H162" s="7">
        <f t="shared" si="28"/>
        <v>-0.90613410103791681</v>
      </c>
      <c r="I162" s="9">
        <f t="shared" si="29"/>
        <v>-9.1026446611331951E-3</v>
      </c>
      <c r="J162" s="9">
        <f t="shared" si="30"/>
        <v>111235.35142857142</v>
      </c>
      <c r="K162" s="9">
        <f t="shared" si="33"/>
        <v>110572.24666666666</v>
      </c>
      <c r="L162" s="9">
        <f t="shared" si="32"/>
        <v>114986.13311111108</v>
      </c>
      <c r="M162" s="9">
        <f t="shared" si="31"/>
        <v>1.4144114764998635E-2</v>
      </c>
      <c r="N162" s="9">
        <f t="shared" si="34"/>
        <v>1.259733376575548E-2</v>
      </c>
    </row>
    <row r="163" spans="1:14" x14ac:dyDescent="0.35">
      <c r="A163" s="1">
        <v>42608</v>
      </c>
      <c r="B163" s="2" t="s">
        <v>163</v>
      </c>
      <c r="C163">
        <f t="shared" si="23"/>
        <v>110243.26</v>
      </c>
      <c r="D163">
        <f t="shared" si="24"/>
        <v>2016</v>
      </c>
      <c r="E163">
        <f t="shared" si="25"/>
        <v>8</v>
      </c>
      <c r="F163" t="str">
        <f t="shared" si="27"/>
        <v>August</v>
      </c>
      <c r="G163">
        <f t="shared" si="26"/>
        <v>26</v>
      </c>
      <c r="H163" s="7">
        <f t="shared" si="28"/>
        <v>0.20042218541164872</v>
      </c>
      <c r="I163" s="9">
        <f t="shared" si="29"/>
        <v>2.0022160810586002E-3</v>
      </c>
      <c r="J163" s="9">
        <f t="shared" si="30"/>
        <v>111080.71714285715</v>
      </c>
      <c r="K163" s="9">
        <f t="shared" si="33"/>
        <v>110517.13033333332</v>
      </c>
      <c r="L163" s="9">
        <f t="shared" si="32"/>
        <v>114849.75466666663</v>
      </c>
      <c r="M163" s="9">
        <f t="shared" si="31"/>
        <v>1.0963315320663995E-2</v>
      </c>
      <c r="N163" s="9">
        <f t="shared" si="34"/>
        <v>1.2012202194151705E-2</v>
      </c>
    </row>
    <row r="164" spans="1:14" x14ac:dyDescent="0.35">
      <c r="A164" s="1">
        <v>42611</v>
      </c>
      <c r="B164" s="2" t="s">
        <v>164</v>
      </c>
      <c r="C164">
        <f t="shared" si="23"/>
        <v>110970.72</v>
      </c>
      <c r="D164">
        <f t="shared" si="24"/>
        <v>2016</v>
      </c>
      <c r="E164">
        <f t="shared" si="25"/>
        <v>8</v>
      </c>
      <c r="F164" t="str">
        <f t="shared" si="27"/>
        <v>August</v>
      </c>
      <c r="G164">
        <f t="shared" si="26"/>
        <v>29</v>
      </c>
      <c r="H164" s="7">
        <f t="shared" si="28"/>
        <v>0.65986800462904172</v>
      </c>
      <c r="I164" s="9">
        <f t="shared" si="29"/>
        <v>6.5770040601276008E-3</v>
      </c>
      <c r="J164" s="9">
        <f t="shared" si="30"/>
        <v>111114.23285714285</v>
      </c>
      <c r="K164" s="9">
        <f t="shared" si="33"/>
        <v>110482.17633333332</v>
      </c>
      <c r="L164" s="9">
        <f t="shared" si="32"/>
        <v>114755.98444444442</v>
      </c>
      <c r="M164" s="9">
        <f t="shared" si="31"/>
        <v>1.1174549206457041E-2</v>
      </c>
      <c r="N164" s="9">
        <f t="shared" si="34"/>
        <v>1.2078756123565182E-2</v>
      </c>
    </row>
    <row r="165" spans="1:14" x14ac:dyDescent="0.35">
      <c r="A165" s="1">
        <v>42612</v>
      </c>
      <c r="B165" s="2" t="s">
        <v>165</v>
      </c>
      <c r="C165">
        <f t="shared" si="23"/>
        <v>109448.89</v>
      </c>
      <c r="D165">
        <f t="shared" si="24"/>
        <v>2016</v>
      </c>
      <c r="E165">
        <f t="shared" si="25"/>
        <v>8</v>
      </c>
      <c r="F165" t="str">
        <f t="shared" si="27"/>
        <v>August</v>
      </c>
      <c r="G165">
        <f t="shared" si="26"/>
        <v>30</v>
      </c>
      <c r="H165" s="7">
        <f t="shared" si="28"/>
        <v>-1.3713797657616367</v>
      </c>
      <c r="I165" s="9">
        <f t="shared" si="29"/>
        <v>-1.3808700431220077E-2</v>
      </c>
      <c r="J165" s="9">
        <f t="shared" si="30"/>
        <v>110603.48999999999</v>
      </c>
      <c r="K165" s="9">
        <f t="shared" si="33"/>
        <v>110450.74233333333</v>
      </c>
      <c r="L165" s="9">
        <f t="shared" si="32"/>
        <v>114627.76488888887</v>
      </c>
      <c r="M165" s="9">
        <f t="shared" si="31"/>
        <v>7.9025442706513113E-3</v>
      </c>
      <c r="N165" s="9">
        <f t="shared" si="34"/>
        <v>1.2045882914305769E-2</v>
      </c>
    </row>
    <row r="166" spans="1:14" x14ac:dyDescent="0.35">
      <c r="A166" s="1">
        <v>42613</v>
      </c>
      <c r="B166" s="2" t="s">
        <v>166</v>
      </c>
      <c r="C166">
        <f t="shared" si="23"/>
        <v>109925.94</v>
      </c>
      <c r="D166">
        <f t="shared" si="24"/>
        <v>2016</v>
      </c>
      <c r="E166">
        <f t="shared" si="25"/>
        <v>8</v>
      </c>
      <c r="F166" t="str">
        <f t="shared" si="27"/>
        <v>August</v>
      </c>
      <c r="G166">
        <f t="shared" si="26"/>
        <v>31</v>
      </c>
      <c r="H166" s="7">
        <f t="shared" si="28"/>
        <v>0.4358655441823146</v>
      </c>
      <c r="I166" s="9">
        <f t="shared" si="29"/>
        <v>4.3491840150102082E-3</v>
      </c>
      <c r="J166" s="9">
        <f t="shared" si="30"/>
        <v>110359.39571428571</v>
      </c>
      <c r="K166" s="9">
        <f t="shared" si="33"/>
        <v>110371.13433333332</v>
      </c>
      <c r="L166" s="9">
        <f t="shared" si="32"/>
        <v>114509.3412222222</v>
      </c>
      <c r="M166" s="9">
        <f t="shared" si="31"/>
        <v>7.6834616509896076E-3</v>
      </c>
      <c r="N166" s="9">
        <f t="shared" si="34"/>
        <v>1.1620352521514103E-2</v>
      </c>
    </row>
    <row r="167" spans="1:14" x14ac:dyDescent="0.35">
      <c r="A167" s="1">
        <v>42614</v>
      </c>
      <c r="B167" s="2" t="s">
        <v>167</v>
      </c>
      <c r="C167">
        <f t="shared" si="23"/>
        <v>109778.12</v>
      </c>
      <c r="D167">
        <f t="shared" si="24"/>
        <v>2016</v>
      </c>
      <c r="E167">
        <f t="shared" si="25"/>
        <v>9</v>
      </c>
      <c r="F167" t="str">
        <f t="shared" si="27"/>
        <v>September</v>
      </c>
      <c r="G167">
        <f t="shared" si="26"/>
        <v>1</v>
      </c>
      <c r="H167" s="7">
        <f t="shared" si="28"/>
        <v>-0.13447235475085043</v>
      </c>
      <c r="I167" s="9">
        <f t="shared" si="29"/>
        <v>-1.3456284995826396E-3</v>
      </c>
      <c r="J167" s="9">
        <f t="shared" si="30"/>
        <v>110202.64285714287</v>
      </c>
      <c r="K167" s="9">
        <f t="shared" si="33"/>
        <v>110297.96466666667</v>
      </c>
      <c r="L167" s="9">
        <f t="shared" si="32"/>
        <v>114371.17144444439</v>
      </c>
      <c r="M167" s="9">
        <f t="shared" si="31"/>
        <v>7.4084584341970747E-3</v>
      </c>
      <c r="N167" s="9">
        <f t="shared" si="34"/>
        <v>1.1612781569792743E-2</v>
      </c>
    </row>
    <row r="168" spans="1:14" x14ac:dyDescent="0.35">
      <c r="A168" s="1">
        <v>42615</v>
      </c>
      <c r="B168" s="2" t="s">
        <v>168</v>
      </c>
      <c r="C168">
        <f t="shared" si="23"/>
        <v>108089.86</v>
      </c>
      <c r="D168">
        <f t="shared" si="24"/>
        <v>2016</v>
      </c>
      <c r="E168">
        <f t="shared" si="25"/>
        <v>9</v>
      </c>
      <c r="F168" t="str">
        <f t="shared" si="27"/>
        <v>September</v>
      </c>
      <c r="G168">
        <f t="shared" si="26"/>
        <v>2</v>
      </c>
      <c r="H168" s="7">
        <f t="shared" si="28"/>
        <v>-1.5378838697547332</v>
      </c>
      <c r="I168" s="9">
        <f t="shared" si="29"/>
        <v>-1.5498319605372205E-2</v>
      </c>
      <c r="J168" s="9">
        <f t="shared" si="30"/>
        <v>109782.79142857144</v>
      </c>
      <c r="K168" s="9">
        <f t="shared" si="33"/>
        <v>110099.44166666667</v>
      </c>
      <c r="L168" s="9">
        <f t="shared" si="32"/>
        <v>114219.36033333329</v>
      </c>
      <c r="M168" s="9">
        <f t="shared" si="31"/>
        <v>8.9341714455449736E-3</v>
      </c>
      <c r="N168" s="9">
        <f t="shared" si="34"/>
        <v>1.1344032084597583E-2</v>
      </c>
    </row>
    <row r="169" spans="1:14" x14ac:dyDescent="0.35">
      <c r="A169" s="1">
        <v>42618</v>
      </c>
      <c r="B169" s="2" t="s">
        <v>169</v>
      </c>
      <c r="C169">
        <f t="shared" si="23"/>
        <v>108649.81</v>
      </c>
      <c r="D169">
        <f t="shared" si="24"/>
        <v>2016</v>
      </c>
      <c r="E169">
        <f t="shared" si="25"/>
        <v>9</v>
      </c>
      <c r="F169" t="str">
        <f t="shared" si="27"/>
        <v>September</v>
      </c>
      <c r="G169">
        <f t="shared" si="26"/>
        <v>5</v>
      </c>
      <c r="H169" s="7">
        <f t="shared" si="28"/>
        <v>0.51804119276312977</v>
      </c>
      <c r="I169" s="9">
        <f t="shared" si="29"/>
        <v>5.1670397561171836E-3</v>
      </c>
      <c r="J169" s="9">
        <f t="shared" si="30"/>
        <v>109586.65714285712</v>
      </c>
      <c r="K169" s="9">
        <f t="shared" si="33"/>
        <v>109957.48633333335</v>
      </c>
      <c r="L169" s="9">
        <f t="shared" si="32"/>
        <v>114083.39577777773</v>
      </c>
      <c r="M169" s="9">
        <f t="shared" si="31"/>
        <v>9.156438436490489E-3</v>
      </c>
      <c r="N169" s="9">
        <f t="shared" si="34"/>
        <v>1.1302777611694596E-2</v>
      </c>
    </row>
    <row r="170" spans="1:14" x14ac:dyDescent="0.35">
      <c r="A170" s="1">
        <v>42619</v>
      </c>
      <c r="B170" s="2" t="s">
        <v>170</v>
      </c>
      <c r="C170">
        <f t="shared" si="23"/>
        <v>107940.48</v>
      </c>
      <c r="D170">
        <f t="shared" si="24"/>
        <v>2016</v>
      </c>
      <c r="E170">
        <f t="shared" si="25"/>
        <v>9</v>
      </c>
      <c r="F170" t="str">
        <f t="shared" si="27"/>
        <v>September</v>
      </c>
      <c r="G170">
        <f t="shared" si="26"/>
        <v>6</v>
      </c>
      <c r="H170" s="7">
        <f t="shared" si="28"/>
        <v>-0.6528589419530525</v>
      </c>
      <c r="I170" s="9">
        <f t="shared" si="29"/>
        <v>-6.5499938708791262E-3</v>
      </c>
      <c r="J170" s="9">
        <f t="shared" si="30"/>
        <v>109257.68857142857</v>
      </c>
      <c r="K170" s="9">
        <f t="shared" si="33"/>
        <v>109849.261</v>
      </c>
      <c r="L170" s="9">
        <f t="shared" si="32"/>
        <v>113946.32522222219</v>
      </c>
      <c r="M170" s="9">
        <f t="shared" si="31"/>
        <v>9.1360434555063201E-3</v>
      </c>
      <c r="N170" s="9">
        <f t="shared" si="34"/>
        <v>1.1035591713180486E-2</v>
      </c>
    </row>
    <row r="171" spans="1:14" x14ac:dyDescent="0.35">
      <c r="A171" s="1">
        <v>42620</v>
      </c>
      <c r="B171" s="2" t="s">
        <v>171</v>
      </c>
      <c r="C171">
        <f t="shared" si="23"/>
        <v>107243.58</v>
      </c>
      <c r="D171">
        <f t="shared" si="24"/>
        <v>2016</v>
      </c>
      <c r="E171">
        <f t="shared" si="25"/>
        <v>9</v>
      </c>
      <c r="F171" t="str">
        <f t="shared" si="27"/>
        <v>September</v>
      </c>
      <c r="G171">
        <f t="shared" si="26"/>
        <v>7</v>
      </c>
      <c r="H171" s="7">
        <f t="shared" si="28"/>
        <v>-0.64563359362492567</v>
      </c>
      <c r="I171" s="9">
        <f t="shared" si="29"/>
        <v>-6.4772682189854196E-3</v>
      </c>
      <c r="J171" s="9">
        <f t="shared" si="30"/>
        <v>108725.23999999999</v>
      </c>
      <c r="K171" s="9">
        <f t="shared" si="33"/>
        <v>109729.327</v>
      </c>
      <c r="L171" s="9">
        <f t="shared" si="32"/>
        <v>113804.01788888886</v>
      </c>
      <c r="M171" s="9">
        <f t="shared" si="31"/>
        <v>8.1283779986076662E-3</v>
      </c>
      <c r="N171" s="9">
        <f t="shared" si="34"/>
        <v>1.1074952301279457E-2</v>
      </c>
    </row>
    <row r="172" spans="1:14" x14ac:dyDescent="0.35">
      <c r="A172" s="1">
        <v>42621</v>
      </c>
      <c r="B172" s="2" t="s">
        <v>172</v>
      </c>
      <c r="C172">
        <f t="shared" si="23"/>
        <v>106700.14</v>
      </c>
      <c r="D172">
        <f t="shared" si="24"/>
        <v>2016</v>
      </c>
      <c r="E172">
        <f t="shared" si="25"/>
        <v>9</v>
      </c>
      <c r="F172" t="str">
        <f t="shared" si="27"/>
        <v>September</v>
      </c>
      <c r="G172">
        <f t="shared" si="26"/>
        <v>8</v>
      </c>
      <c r="H172" s="7">
        <f t="shared" si="28"/>
        <v>-0.50673429588978869</v>
      </c>
      <c r="I172" s="9">
        <f t="shared" si="29"/>
        <v>-5.0802254797577776E-3</v>
      </c>
      <c r="J172" s="9">
        <f t="shared" si="30"/>
        <v>108332.56142857143</v>
      </c>
      <c r="K172" s="9">
        <f t="shared" si="33"/>
        <v>109657.78366666667</v>
      </c>
      <c r="L172" s="9">
        <f t="shared" si="32"/>
        <v>113672.46477777776</v>
      </c>
      <c r="M172" s="9">
        <f t="shared" si="31"/>
        <v>7.1398764353980213E-3</v>
      </c>
      <c r="N172" s="9">
        <f t="shared" si="34"/>
        <v>1.0628418910742567E-2</v>
      </c>
    </row>
    <row r="173" spans="1:14" x14ac:dyDescent="0.35">
      <c r="A173" s="1">
        <v>42622</v>
      </c>
      <c r="B173" s="2" t="s">
        <v>173</v>
      </c>
      <c r="C173">
        <f t="shared" si="23"/>
        <v>105803.18</v>
      </c>
      <c r="D173">
        <f t="shared" si="24"/>
        <v>2016</v>
      </c>
      <c r="E173">
        <f t="shared" si="25"/>
        <v>9</v>
      </c>
      <c r="F173" t="str">
        <f t="shared" si="27"/>
        <v>September</v>
      </c>
      <c r="G173">
        <f t="shared" si="26"/>
        <v>9</v>
      </c>
      <c r="H173" s="7">
        <f t="shared" si="28"/>
        <v>-0.84063619785316712</v>
      </c>
      <c r="I173" s="9">
        <f t="shared" si="29"/>
        <v>-8.4418947135386085E-3</v>
      </c>
      <c r="J173" s="9">
        <f t="shared" si="30"/>
        <v>107743.59571428571</v>
      </c>
      <c r="K173" s="9">
        <f t="shared" si="33"/>
        <v>109514.53866666669</v>
      </c>
      <c r="L173" s="9">
        <f t="shared" si="32"/>
        <v>113505.68044444444</v>
      </c>
      <c r="M173" s="9">
        <f t="shared" si="31"/>
        <v>6.3493927229927296E-3</v>
      </c>
      <c r="N173" s="9">
        <f t="shared" si="34"/>
        <v>1.046562620454959E-2</v>
      </c>
    </row>
    <row r="174" spans="1:14" x14ac:dyDescent="0.35">
      <c r="A174" s="1">
        <v>42625</v>
      </c>
      <c r="B174" s="2" t="s">
        <v>174</v>
      </c>
      <c r="C174">
        <f t="shared" si="23"/>
        <v>106693.24</v>
      </c>
      <c r="D174">
        <f t="shared" si="24"/>
        <v>2016</v>
      </c>
      <c r="E174">
        <f t="shared" si="25"/>
        <v>9</v>
      </c>
      <c r="F174" t="str">
        <f t="shared" si="27"/>
        <v>September</v>
      </c>
      <c r="G174">
        <f t="shared" si="26"/>
        <v>12</v>
      </c>
      <c r="H174" s="7">
        <f t="shared" si="28"/>
        <v>0.84124125569761921</v>
      </c>
      <c r="I174" s="9">
        <f t="shared" si="29"/>
        <v>8.3772254159025731E-3</v>
      </c>
      <c r="J174" s="9">
        <f t="shared" si="30"/>
        <v>107302.89857142858</v>
      </c>
      <c r="K174" s="9">
        <f t="shared" si="33"/>
        <v>109444.44933333337</v>
      </c>
      <c r="L174" s="9">
        <f t="shared" si="32"/>
        <v>113352.09088888891</v>
      </c>
      <c r="M174" s="9">
        <f t="shared" si="31"/>
        <v>8.1949386412658812E-3</v>
      </c>
      <c r="N174" s="9">
        <f t="shared" si="34"/>
        <v>1.0413158604109657E-2</v>
      </c>
    </row>
    <row r="175" spans="1:14" x14ac:dyDescent="0.35">
      <c r="A175" s="1">
        <v>42626</v>
      </c>
      <c r="B175" s="2" t="s">
        <v>175</v>
      </c>
      <c r="C175">
        <f t="shared" si="23"/>
        <v>105963.07</v>
      </c>
      <c r="D175">
        <f t="shared" si="24"/>
        <v>2016</v>
      </c>
      <c r="E175">
        <f t="shared" si="25"/>
        <v>9</v>
      </c>
      <c r="F175" t="str">
        <f t="shared" si="27"/>
        <v>September</v>
      </c>
      <c r="G175">
        <f t="shared" si="26"/>
        <v>13</v>
      </c>
      <c r="H175" s="7">
        <f t="shared" si="28"/>
        <v>-0.6843638828476839</v>
      </c>
      <c r="I175" s="9">
        <f t="shared" si="29"/>
        <v>-6.8671639175956018E-3</v>
      </c>
      <c r="J175" s="9">
        <f t="shared" si="30"/>
        <v>106999.07142857143</v>
      </c>
      <c r="K175" s="9">
        <f t="shared" si="33"/>
        <v>109397.15466666668</v>
      </c>
      <c r="L175" s="9">
        <f t="shared" si="32"/>
        <v>113208.31544444447</v>
      </c>
      <c r="M175" s="9">
        <f t="shared" si="31"/>
        <v>6.7026174190279002E-3</v>
      </c>
      <c r="N175" s="9">
        <f t="shared" si="34"/>
        <v>1.0217289937681878E-2</v>
      </c>
    </row>
    <row r="176" spans="1:14" x14ac:dyDescent="0.35">
      <c r="A176" s="1">
        <v>42627</v>
      </c>
      <c r="B176" s="2" t="s">
        <v>176</v>
      </c>
      <c r="C176">
        <f t="shared" si="23"/>
        <v>106110.83</v>
      </c>
      <c r="D176">
        <f t="shared" si="24"/>
        <v>2016</v>
      </c>
      <c r="E176">
        <f t="shared" si="25"/>
        <v>9</v>
      </c>
      <c r="F176" t="str">
        <f t="shared" si="27"/>
        <v>September</v>
      </c>
      <c r="G176">
        <f t="shared" si="26"/>
        <v>14</v>
      </c>
      <c r="H176" s="7">
        <f t="shared" si="28"/>
        <v>0.13944480846015009</v>
      </c>
      <c r="I176" s="9">
        <f t="shared" si="29"/>
        <v>1.3934767447550222E-3</v>
      </c>
      <c r="J176" s="9">
        <f t="shared" si="30"/>
        <v>106636.35999999999</v>
      </c>
      <c r="K176" s="9">
        <f t="shared" si="33"/>
        <v>109298.15133333336</v>
      </c>
      <c r="L176" s="9">
        <f t="shared" si="32"/>
        <v>113053.48322222225</v>
      </c>
      <c r="M176" s="9">
        <f t="shared" si="31"/>
        <v>6.0736341346380764E-3</v>
      </c>
      <c r="N176" s="9">
        <f t="shared" si="34"/>
        <v>9.7616336386029071E-3</v>
      </c>
    </row>
    <row r="177" spans="1:14" x14ac:dyDescent="0.35">
      <c r="A177" s="1">
        <v>42628</v>
      </c>
      <c r="B177" s="2" t="s">
        <v>177</v>
      </c>
      <c r="C177">
        <f t="shared" si="23"/>
        <v>105422.83</v>
      </c>
      <c r="D177">
        <f t="shared" si="24"/>
        <v>2016</v>
      </c>
      <c r="E177">
        <f t="shared" si="25"/>
        <v>9</v>
      </c>
      <c r="F177" t="str">
        <f t="shared" si="27"/>
        <v>September</v>
      </c>
      <c r="G177">
        <f t="shared" si="26"/>
        <v>15</v>
      </c>
      <c r="H177" s="7">
        <f t="shared" si="28"/>
        <v>-0.64837868104509222</v>
      </c>
      <c r="I177" s="9">
        <f t="shared" si="29"/>
        <v>-6.5048978586531806E-3</v>
      </c>
      <c r="J177" s="9">
        <f t="shared" si="30"/>
        <v>106276.6957142857</v>
      </c>
      <c r="K177" s="9">
        <f t="shared" si="33"/>
        <v>109170.79366666668</v>
      </c>
      <c r="L177" s="9">
        <f t="shared" si="32"/>
        <v>112833.19155555556</v>
      </c>
      <c r="M177" s="9">
        <f t="shared" si="31"/>
        <v>6.0697314902068067E-3</v>
      </c>
      <c r="N177" s="9">
        <f t="shared" si="34"/>
        <v>9.8026131307525719E-3</v>
      </c>
    </row>
    <row r="178" spans="1:14" x14ac:dyDescent="0.35">
      <c r="A178" s="1">
        <v>42629</v>
      </c>
      <c r="B178" s="2" t="s">
        <v>178</v>
      </c>
      <c r="C178">
        <f t="shared" si="23"/>
        <v>105367.88</v>
      </c>
      <c r="D178">
        <f t="shared" si="24"/>
        <v>2016</v>
      </c>
      <c r="E178">
        <f t="shared" si="25"/>
        <v>9</v>
      </c>
      <c r="F178" t="str">
        <f t="shared" si="27"/>
        <v>September</v>
      </c>
      <c r="G178">
        <f t="shared" si="26"/>
        <v>16</v>
      </c>
      <c r="H178" s="7">
        <f t="shared" si="28"/>
        <v>-5.212343474368606E-2</v>
      </c>
      <c r="I178" s="9">
        <f t="shared" si="29"/>
        <v>-5.2137023728172276E-4</v>
      </c>
      <c r="J178" s="9">
        <f t="shared" si="30"/>
        <v>106008.73857142856</v>
      </c>
      <c r="K178" s="9">
        <f t="shared" si="33"/>
        <v>109027.39700000001</v>
      </c>
      <c r="L178" s="9">
        <f t="shared" si="32"/>
        <v>112614.28811111115</v>
      </c>
      <c r="M178" s="9">
        <f t="shared" si="31"/>
        <v>5.9785753060479056E-3</v>
      </c>
      <c r="N178" s="9">
        <f t="shared" si="34"/>
        <v>9.7567399465487599E-3</v>
      </c>
    </row>
    <row r="179" spans="1:14" x14ac:dyDescent="0.35">
      <c r="A179" s="1">
        <v>42632</v>
      </c>
      <c r="B179" s="2" t="s">
        <v>179</v>
      </c>
      <c r="C179">
        <f t="shared" si="23"/>
        <v>104884.98</v>
      </c>
      <c r="D179">
        <f t="shared" si="24"/>
        <v>2016</v>
      </c>
      <c r="E179">
        <f t="shared" si="25"/>
        <v>9</v>
      </c>
      <c r="F179" t="str">
        <f t="shared" si="27"/>
        <v>September</v>
      </c>
      <c r="G179">
        <f t="shared" si="26"/>
        <v>19</v>
      </c>
      <c r="H179" s="7">
        <f t="shared" si="28"/>
        <v>-0.45829905660055864</v>
      </c>
      <c r="I179" s="9">
        <f t="shared" si="29"/>
        <v>-4.5935246647084808E-3</v>
      </c>
      <c r="J179" s="9">
        <f t="shared" si="30"/>
        <v>105749.43000000001</v>
      </c>
      <c r="K179" s="9">
        <f t="shared" si="33"/>
        <v>108844.52133333334</v>
      </c>
      <c r="L179" s="9">
        <f t="shared" si="32"/>
        <v>112408.3476666667</v>
      </c>
      <c r="M179" s="9">
        <f t="shared" si="31"/>
        <v>5.9465923145684595E-3</v>
      </c>
      <c r="N179" s="9">
        <f t="shared" si="34"/>
        <v>9.6629407053820306E-3</v>
      </c>
    </row>
    <row r="180" spans="1:14" x14ac:dyDescent="0.35">
      <c r="A180" s="1">
        <v>42633</v>
      </c>
      <c r="B180" s="2" t="s">
        <v>180</v>
      </c>
      <c r="C180">
        <f t="shared" si="23"/>
        <v>104675.38</v>
      </c>
      <c r="D180">
        <f t="shared" si="24"/>
        <v>2016</v>
      </c>
      <c r="E180">
        <f t="shared" si="25"/>
        <v>9</v>
      </c>
      <c r="F180" t="str">
        <f t="shared" si="27"/>
        <v>September</v>
      </c>
      <c r="G180">
        <f t="shared" si="26"/>
        <v>20</v>
      </c>
      <c r="H180" s="7">
        <f t="shared" si="28"/>
        <v>-0.19983795582550642</v>
      </c>
      <c r="I180" s="9">
        <f t="shared" si="29"/>
        <v>-2.000378982868116E-3</v>
      </c>
      <c r="J180" s="9">
        <f t="shared" si="30"/>
        <v>105588.31571428572</v>
      </c>
      <c r="K180" s="9">
        <f t="shared" si="33"/>
        <v>108673.08466666668</v>
      </c>
      <c r="L180" s="9">
        <f t="shared" si="32"/>
        <v>112187.36877777781</v>
      </c>
      <c r="M180" s="9">
        <f t="shared" si="31"/>
        <v>5.3316433766835026E-3</v>
      </c>
      <c r="N180" s="9">
        <f t="shared" si="34"/>
        <v>9.6428556934896725E-3</v>
      </c>
    </row>
    <row r="181" spans="1:14" x14ac:dyDescent="0.35">
      <c r="A181" s="1">
        <v>42634</v>
      </c>
      <c r="B181" s="2" t="s">
        <v>181</v>
      </c>
      <c r="C181">
        <f t="shared" si="23"/>
        <v>104458.36</v>
      </c>
      <c r="D181">
        <f t="shared" si="24"/>
        <v>2016</v>
      </c>
      <c r="E181">
        <f t="shared" si="25"/>
        <v>9</v>
      </c>
      <c r="F181" t="str">
        <f t="shared" si="27"/>
        <v>September</v>
      </c>
      <c r="G181">
        <f t="shared" si="26"/>
        <v>21</v>
      </c>
      <c r="H181" s="7">
        <f t="shared" si="28"/>
        <v>-0.20732668942783306</v>
      </c>
      <c r="I181" s="9">
        <f t="shared" si="29"/>
        <v>-2.0754190873140226E-3</v>
      </c>
      <c r="J181" s="9">
        <f t="shared" si="30"/>
        <v>105269.04714285715</v>
      </c>
      <c r="K181" s="9">
        <f t="shared" si="33"/>
        <v>108531.45233333333</v>
      </c>
      <c r="L181" s="9">
        <f t="shared" si="32"/>
        <v>111989.33633333337</v>
      </c>
      <c r="M181" s="9">
        <f t="shared" si="31"/>
        <v>3.0842294687113973E-3</v>
      </c>
      <c r="N181" s="9">
        <f t="shared" si="34"/>
        <v>9.5070582765436652E-3</v>
      </c>
    </row>
    <row r="182" spans="1:14" x14ac:dyDescent="0.35">
      <c r="A182" s="1">
        <v>42635</v>
      </c>
      <c r="B182" s="2" t="s">
        <v>182</v>
      </c>
      <c r="C182">
        <f t="shared" si="23"/>
        <v>103927.36</v>
      </c>
      <c r="D182">
        <f t="shared" si="24"/>
        <v>2016</v>
      </c>
      <c r="E182">
        <f t="shared" si="25"/>
        <v>9</v>
      </c>
      <c r="F182" t="str">
        <f t="shared" si="27"/>
        <v>September</v>
      </c>
      <c r="G182">
        <f t="shared" si="26"/>
        <v>22</v>
      </c>
      <c r="H182" s="7">
        <f t="shared" si="28"/>
        <v>-0.50833652758860093</v>
      </c>
      <c r="I182" s="9">
        <f t="shared" si="29"/>
        <v>-5.0963295305065607E-3</v>
      </c>
      <c r="J182" s="9">
        <f t="shared" si="30"/>
        <v>104978.23142857142</v>
      </c>
      <c r="K182" s="9">
        <f t="shared" si="33"/>
        <v>108314.23999999999</v>
      </c>
      <c r="L182" s="9">
        <f t="shared" si="32"/>
        <v>111794.06611111114</v>
      </c>
      <c r="M182" s="9">
        <f t="shared" si="31"/>
        <v>2.773449617507192E-3</v>
      </c>
      <c r="N182" s="9">
        <f t="shared" si="34"/>
        <v>8.9552506542374122E-3</v>
      </c>
    </row>
    <row r="183" spans="1:14" x14ac:dyDescent="0.35">
      <c r="A183" s="1">
        <v>42636</v>
      </c>
      <c r="B183" s="2" t="s">
        <v>183</v>
      </c>
      <c r="C183">
        <f t="shared" si="23"/>
        <v>103587.74</v>
      </c>
      <c r="D183">
        <f t="shared" si="24"/>
        <v>2016</v>
      </c>
      <c r="E183">
        <f t="shared" si="25"/>
        <v>9</v>
      </c>
      <c r="F183" t="str">
        <f t="shared" si="27"/>
        <v>September</v>
      </c>
      <c r="G183">
        <f t="shared" si="26"/>
        <v>23</v>
      </c>
      <c r="H183" s="7">
        <f t="shared" si="28"/>
        <v>-0.32678593971789077</v>
      </c>
      <c r="I183" s="9">
        <f t="shared" si="29"/>
        <v>-3.273210510669968E-3</v>
      </c>
      <c r="J183" s="9">
        <f t="shared" si="30"/>
        <v>104617.79000000001</v>
      </c>
      <c r="K183" s="9">
        <f t="shared" si="33"/>
        <v>108075.74166666667</v>
      </c>
      <c r="L183" s="9">
        <f t="shared" si="32"/>
        <v>111603.03022222227</v>
      </c>
      <c r="M183" s="9">
        <f t="shared" si="31"/>
        <v>2.0796002072146188E-3</v>
      </c>
      <c r="N183" s="9">
        <f t="shared" si="34"/>
        <v>8.9127661015831385E-3</v>
      </c>
    </row>
    <row r="184" spans="1:14" x14ac:dyDescent="0.35">
      <c r="A184" s="1">
        <v>42639</v>
      </c>
      <c r="B184" s="2" t="s">
        <v>184</v>
      </c>
      <c r="C184">
        <f t="shared" si="23"/>
        <v>103227.66</v>
      </c>
      <c r="D184">
        <f t="shared" si="24"/>
        <v>2016</v>
      </c>
      <c r="E184">
        <f t="shared" si="25"/>
        <v>9</v>
      </c>
      <c r="F184" t="str">
        <f t="shared" si="27"/>
        <v>September</v>
      </c>
      <c r="G184">
        <f t="shared" si="26"/>
        <v>26</v>
      </c>
      <c r="H184" s="7">
        <f t="shared" si="28"/>
        <v>-0.34760870350101442</v>
      </c>
      <c r="I184" s="9">
        <f t="shared" si="29"/>
        <v>-3.4821426628799126E-3</v>
      </c>
      <c r="J184" s="9">
        <f t="shared" si="30"/>
        <v>104304.19428571429</v>
      </c>
      <c r="K184" s="9">
        <f t="shared" si="33"/>
        <v>107888.75899999999</v>
      </c>
      <c r="L184" s="9">
        <f t="shared" si="32"/>
        <v>111410.73311111116</v>
      </c>
      <c r="M184" s="9">
        <f t="shared" si="31"/>
        <v>1.5936574758695246E-3</v>
      </c>
      <c r="N184" s="9">
        <f t="shared" si="34"/>
        <v>8.4484546805273023E-3</v>
      </c>
    </row>
    <row r="185" spans="1:14" x14ac:dyDescent="0.35">
      <c r="A185" s="1">
        <v>42640</v>
      </c>
      <c r="B185" s="2" t="s">
        <v>185</v>
      </c>
      <c r="C185">
        <f t="shared" si="23"/>
        <v>102771.76</v>
      </c>
      <c r="D185">
        <f t="shared" si="24"/>
        <v>2016</v>
      </c>
      <c r="E185">
        <f t="shared" si="25"/>
        <v>9</v>
      </c>
      <c r="F185" t="str">
        <f t="shared" si="27"/>
        <v>September</v>
      </c>
      <c r="G185">
        <f t="shared" si="26"/>
        <v>27</v>
      </c>
      <c r="H185" s="7">
        <f t="shared" si="28"/>
        <v>-0.44164519470848101</v>
      </c>
      <c r="I185" s="9">
        <f t="shared" si="29"/>
        <v>-4.4262332808030864E-3</v>
      </c>
      <c r="J185" s="9">
        <f t="shared" si="30"/>
        <v>103933.31999999999</v>
      </c>
      <c r="K185" s="9">
        <f t="shared" si="33"/>
        <v>107684.41766666665</v>
      </c>
      <c r="L185" s="9">
        <f t="shared" si="32"/>
        <v>111218.01511111115</v>
      </c>
      <c r="M185" s="9">
        <f t="shared" si="31"/>
        <v>1.218157347705424E-3</v>
      </c>
      <c r="N185" s="9">
        <f t="shared" si="34"/>
        <v>8.4498417860391934E-3</v>
      </c>
    </row>
    <row r="186" spans="1:14" x14ac:dyDescent="0.35">
      <c r="A186" s="1">
        <v>42641</v>
      </c>
      <c r="B186" s="2" t="s">
        <v>186</v>
      </c>
      <c r="C186">
        <f t="shared" si="23"/>
        <v>101532.28</v>
      </c>
      <c r="D186">
        <f t="shared" si="24"/>
        <v>2016</v>
      </c>
      <c r="E186">
        <f t="shared" si="25"/>
        <v>9</v>
      </c>
      <c r="F186" t="str">
        <f t="shared" si="27"/>
        <v>September</v>
      </c>
      <c r="G186">
        <f t="shared" si="26"/>
        <v>28</v>
      </c>
      <c r="H186" s="7">
        <f t="shared" si="28"/>
        <v>-1.2060511564655465</v>
      </c>
      <c r="I186" s="9">
        <f t="shared" si="29"/>
        <v>-1.213382963284476E-2</v>
      </c>
      <c r="J186" s="9">
        <f t="shared" si="30"/>
        <v>103454.36285714286</v>
      </c>
      <c r="K186" s="9">
        <f t="shared" si="33"/>
        <v>107357.97033333332</v>
      </c>
      <c r="L186" s="9">
        <f t="shared" si="32"/>
        <v>111010.93222222224</v>
      </c>
      <c r="M186" s="9">
        <f t="shared" si="31"/>
        <v>3.4920106142500582E-3</v>
      </c>
      <c r="N186" s="9">
        <f t="shared" si="34"/>
        <v>7.3403842214075452E-3</v>
      </c>
    </row>
    <row r="187" spans="1:14" x14ac:dyDescent="0.35">
      <c r="A187" s="1">
        <v>42642</v>
      </c>
      <c r="B187" s="2" t="s">
        <v>187</v>
      </c>
      <c r="C187">
        <f t="shared" si="23"/>
        <v>100432.95</v>
      </c>
      <c r="D187">
        <f t="shared" si="24"/>
        <v>2016</v>
      </c>
      <c r="E187">
        <f t="shared" si="25"/>
        <v>9</v>
      </c>
      <c r="F187" t="str">
        <f t="shared" si="27"/>
        <v>September</v>
      </c>
      <c r="G187">
        <f t="shared" si="26"/>
        <v>29</v>
      </c>
      <c r="H187" s="7">
        <f t="shared" si="28"/>
        <v>-1.0827394007107904</v>
      </c>
      <c r="I187" s="9">
        <f t="shared" si="29"/>
        <v>-1.0886436810843614E-2</v>
      </c>
      <c r="J187" s="9">
        <f t="shared" si="30"/>
        <v>102848.30142857143</v>
      </c>
      <c r="K187" s="9">
        <f t="shared" si="33"/>
        <v>107014.53166666666</v>
      </c>
      <c r="L187" s="9">
        <f t="shared" si="32"/>
        <v>110783.85266666669</v>
      </c>
      <c r="M187" s="9">
        <f t="shared" si="31"/>
        <v>3.9563400790021963E-3</v>
      </c>
      <c r="N187" s="9">
        <f t="shared" si="34"/>
        <v>7.4685641201393321E-3</v>
      </c>
    </row>
    <row r="188" spans="1:14" x14ac:dyDescent="0.35">
      <c r="A188" s="1">
        <v>42643</v>
      </c>
      <c r="B188" s="2" t="s">
        <v>188</v>
      </c>
      <c r="C188">
        <f t="shared" si="23"/>
        <v>101514.87</v>
      </c>
      <c r="D188">
        <f t="shared" si="24"/>
        <v>2016</v>
      </c>
      <c r="E188">
        <f t="shared" si="25"/>
        <v>9</v>
      </c>
      <c r="F188" t="str">
        <f t="shared" si="27"/>
        <v>September</v>
      </c>
      <c r="G188">
        <f t="shared" si="26"/>
        <v>30</v>
      </c>
      <c r="H188" s="7">
        <f t="shared" si="28"/>
        <v>1.0772560200611436</v>
      </c>
      <c r="I188" s="9">
        <f t="shared" si="29"/>
        <v>1.0714949547489633E-2</v>
      </c>
      <c r="J188" s="9">
        <f t="shared" si="30"/>
        <v>102427.80285714286</v>
      </c>
      <c r="K188" s="9">
        <f t="shared" si="33"/>
        <v>106630.891</v>
      </c>
      <c r="L188" s="9">
        <f t="shared" si="32"/>
        <v>110568.94211111112</v>
      </c>
      <c r="M188" s="9">
        <f t="shared" si="31"/>
        <v>7.4413636148790924E-3</v>
      </c>
      <c r="N188" s="9">
        <f t="shared" si="34"/>
        <v>6.5590769814192025E-3</v>
      </c>
    </row>
    <row r="189" spans="1:14" x14ac:dyDescent="0.35">
      <c r="A189" s="1">
        <v>42646</v>
      </c>
      <c r="B189" s="2" t="s">
        <v>189</v>
      </c>
      <c r="C189">
        <f t="shared" si="23"/>
        <v>101167.18</v>
      </c>
      <c r="D189">
        <f t="shared" si="24"/>
        <v>2016</v>
      </c>
      <c r="E189">
        <f t="shared" si="25"/>
        <v>10</v>
      </c>
      <c r="F189" t="str">
        <f t="shared" si="27"/>
        <v>October</v>
      </c>
      <c r="G189">
        <f t="shared" si="26"/>
        <v>3</v>
      </c>
      <c r="H189" s="7">
        <f t="shared" si="28"/>
        <v>-0.34250154681772471</v>
      </c>
      <c r="I189" s="9">
        <f t="shared" si="29"/>
        <v>-3.4308942607978606E-3</v>
      </c>
      <c r="J189" s="9">
        <f t="shared" si="30"/>
        <v>102033.49142857142</v>
      </c>
      <c r="K189" s="9">
        <f t="shared" si="33"/>
        <v>106281.977</v>
      </c>
      <c r="L189" s="9">
        <f t="shared" si="32"/>
        <v>110348.97322222222</v>
      </c>
      <c r="M189" s="9">
        <f t="shared" si="31"/>
        <v>7.4301927196624125E-3</v>
      </c>
      <c r="N189" s="9">
        <f t="shared" si="34"/>
        <v>6.3455556771220226E-3</v>
      </c>
    </row>
    <row r="190" spans="1:14" x14ac:dyDescent="0.35">
      <c r="A190" s="1">
        <v>42647</v>
      </c>
      <c r="B190" s="2" t="s">
        <v>190</v>
      </c>
      <c r="C190">
        <f t="shared" si="23"/>
        <v>101899</v>
      </c>
      <c r="D190">
        <f t="shared" si="24"/>
        <v>2016</v>
      </c>
      <c r="E190">
        <f t="shared" si="25"/>
        <v>10</v>
      </c>
      <c r="F190" t="str">
        <f t="shared" si="27"/>
        <v>October</v>
      </c>
      <c r="G190">
        <f t="shared" si="26"/>
        <v>4</v>
      </c>
      <c r="H190" s="7">
        <f t="shared" si="28"/>
        <v>0.72337688961974334</v>
      </c>
      <c r="I190" s="9">
        <f t="shared" si="29"/>
        <v>7.2077306841766622E-3</v>
      </c>
      <c r="J190" s="9">
        <f t="shared" si="30"/>
        <v>101792.24285714285</v>
      </c>
      <c r="K190" s="9">
        <f t="shared" si="33"/>
        <v>105982.76400000001</v>
      </c>
      <c r="L190" s="9">
        <f t="shared" si="32"/>
        <v>110146.20499999999</v>
      </c>
      <c r="M190" s="9">
        <f t="shared" si="31"/>
        <v>8.5381301386691141E-3</v>
      </c>
      <c r="N190" s="9">
        <f t="shared" si="34"/>
        <v>6.587967485699636E-3</v>
      </c>
    </row>
    <row r="191" spans="1:14" x14ac:dyDescent="0.35">
      <c r="A191" s="1">
        <v>42648</v>
      </c>
      <c r="B191" s="2" t="s">
        <v>191</v>
      </c>
      <c r="C191">
        <f t="shared" si="23"/>
        <v>101835.59</v>
      </c>
      <c r="D191">
        <f t="shared" si="24"/>
        <v>2016</v>
      </c>
      <c r="E191">
        <f t="shared" si="25"/>
        <v>10</v>
      </c>
      <c r="F191" t="str">
        <f t="shared" si="27"/>
        <v>October</v>
      </c>
      <c r="G191">
        <f t="shared" si="26"/>
        <v>5</v>
      </c>
      <c r="H191" s="7">
        <f t="shared" si="28"/>
        <v>-6.2228284870316182E-2</v>
      </c>
      <c r="I191" s="9">
        <f t="shared" si="29"/>
        <v>-6.2247654703596769E-4</v>
      </c>
      <c r="J191" s="9">
        <f t="shared" si="30"/>
        <v>101593.37571428572</v>
      </c>
      <c r="K191" s="9">
        <f t="shared" si="33"/>
        <v>105676.323</v>
      </c>
      <c r="L191" s="9">
        <f t="shared" si="32"/>
        <v>109965.37577777778</v>
      </c>
      <c r="M191" s="9">
        <f t="shared" si="31"/>
        <v>8.5432391150196182E-3</v>
      </c>
      <c r="N191" s="9">
        <f t="shared" si="34"/>
        <v>6.5540003423389236E-3</v>
      </c>
    </row>
    <row r="192" spans="1:14" x14ac:dyDescent="0.35">
      <c r="A192" s="1">
        <v>42649</v>
      </c>
      <c r="B192" s="2" t="s">
        <v>192</v>
      </c>
      <c r="C192">
        <f t="shared" si="23"/>
        <v>101858.9</v>
      </c>
      <c r="D192">
        <f t="shared" si="24"/>
        <v>2016</v>
      </c>
      <c r="E192">
        <f t="shared" si="25"/>
        <v>10</v>
      </c>
      <c r="F192" t="str">
        <f t="shared" si="27"/>
        <v>October</v>
      </c>
      <c r="G192">
        <f t="shared" si="26"/>
        <v>6</v>
      </c>
      <c r="H192" s="7">
        <f t="shared" si="28"/>
        <v>2.2889836451085197E-2</v>
      </c>
      <c r="I192" s="9">
        <f t="shared" si="29"/>
        <v>2.2887217127724364E-4</v>
      </c>
      <c r="J192" s="9">
        <f t="shared" si="30"/>
        <v>101462.96714285715</v>
      </c>
      <c r="K192" s="9">
        <f t="shared" si="33"/>
        <v>105404.19466666668</v>
      </c>
      <c r="L192" s="9">
        <f t="shared" si="32"/>
        <v>109797.26066666668</v>
      </c>
      <c r="M192" s="9">
        <f t="shared" si="31"/>
        <v>8.4984783519320116E-3</v>
      </c>
      <c r="N192" s="9">
        <f t="shared" si="34"/>
        <v>6.4694311986545367E-3</v>
      </c>
    </row>
    <row r="193" spans="1:14" x14ac:dyDescent="0.35">
      <c r="A193" s="1">
        <v>42650</v>
      </c>
      <c r="B193" s="2" t="s">
        <v>193</v>
      </c>
      <c r="C193">
        <f t="shared" si="23"/>
        <v>102006.75</v>
      </c>
      <c r="D193">
        <f t="shared" si="24"/>
        <v>2016</v>
      </c>
      <c r="E193">
        <f t="shared" si="25"/>
        <v>10</v>
      </c>
      <c r="F193" t="str">
        <f t="shared" si="27"/>
        <v>October</v>
      </c>
      <c r="G193">
        <f t="shared" si="26"/>
        <v>7</v>
      </c>
      <c r="H193" s="7">
        <f t="shared" si="28"/>
        <v>0.14515177367908533</v>
      </c>
      <c r="I193" s="9">
        <f t="shared" si="29"/>
        <v>1.4504653032149971E-3</v>
      </c>
      <c r="J193" s="9">
        <f t="shared" si="30"/>
        <v>101530.74857142857</v>
      </c>
      <c r="K193" s="9">
        <f t="shared" si="33"/>
        <v>105129.64433333334</v>
      </c>
      <c r="L193" s="9">
        <f t="shared" si="32"/>
        <v>109620.41844444444</v>
      </c>
      <c r="M193" s="9">
        <f t="shared" si="31"/>
        <v>7.0295282506667557E-3</v>
      </c>
      <c r="N193" s="9">
        <f t="shared" si="34"/>
        <v>6.4567568050165978E-3</v>
      </c>
    </row>
    <row r="194" spans="1:14" x14ac:dyDescent="0.35">
      <c r="A194" s="1">
        <v>42653</v>
      </c>
      <c r="B194" s="2" t="s">
        <v>194</v>
      </c>
      <c r="C194">
        <f t="shared" si="23"/>
        <v>102433.16</v>
      </c>
      <c r="D194">
        <f t="shared" si="24"/>
        <v>2016</v>
      </c>
      <c r="E194">
        <f t="shared" si="25"/>
        <v>10</v>
      </c>
      <c r="F194" t="str">
        <f t="shared" si="27"/>
        <v>October</v>
      </c>
      <c r="G194">
        <f t="shared" si="26"/>
        <v>10</v>
      </c>
      <c r="H194" s="7">
        <f t="shared" si="28"/>
        <v>0.41802135642984756</v>
      </c>
      <c r="I194" s="9">
        <f t="shared" si="29"/>
        <v>4.1715007441035807E-3</v>
      </c>
      <c r="J194" s="9">
        <f t="shared" si="30"/>
        <v>101816.49285714286</v>
      </c>
      <c r="K194" s="9">
        <f t="shared" si="33"/>
        <v>104845.05899999999</v>
      </c>
      <c r="L194" s="9">
        <f t="shared" si="32"/>
        <v>109439.42211111111</v>
      </c>
      <c r="M194" s="9">
        <f t="shared" si="31"/>
        <v>4.8806215352202214E-3</v>
      </c>
      <c r="N194" s="9">
        <f t="shared" si="34"/>
        <v>6.3531163889441284E-3</v>
      </c>
    </row>
    <row r="195" spans="1:14" x14ac:dyDescent="0.35">
      <c r="A195" s="1">
        <v>42654</v>
      </c>
      <c r="B195" s="2" t="s">
        <v>195</v>
      </c>
      <c r="C195">
        <f t="shared" ref="C195:C258" si="35">_xlfn.NUMBERVALUE(B195,".",",")</f>
        <v>102978.47</v>
      </c>
      <c r="D195">
        <f t="shared" ref="D195:D258" si="36">YEAR(A195)</f>
        <v>2016</v>
      </c>
      <c r="E195">
        <f t="shared" ref="E195:E258" si="37">MONTH(A195)</f>
        <v>10</v>
      </c>
      <c r="F195" t="str">
        <f t="shared" si="27"/>
        <v>October</v>
      </c>
      <c r="G195">
        <f t="shared" ref="G195:G258" si="38">DAY(A195)</f>
        <v>11</v>
      </c>
      <c r="H195" s="7">
        <f t="shared" si="28"/>
        <v>0.53235690473670605</v>
      </c>
      <c r="I195" s="9">
        <f t="shared" si="29"/>
        <v>5.3094489443926392E-3</v>
      </c>
      <c r="J195" s="9">
        <f t="shared" si="30"/>
        <v>102025.57857142857</v>
      </c>
      <c r="K195" s="9">
        <f t="shared" si="33"/>
        <v>104629.37833333334</v>
      </c>
      <c r="L195" s="9">
        <f t="shared" si="32"/>
        <v>109288.26444444446</v>
      </c>
      <c r="M195" s="9">
        <f t="shared" si="31"/>
        <v>3.7100103617359694E-3</v>
      </c>
      <c r="N195" s="9">
        <f t="shared" si="34"/>
        <v>6.1528290013216141E-3</v>
      </c>
    </row>
    <row r="196" spans="1:14" x14ac:dyDescent="0.35">
      <c r="A196" s="1">
        <v>42655</v>
      </c>
      <c r="B196" s="2" t="s">
        <v>196</v>
      </c>
      <c r="C196">
        <f t="shared" si="35"/>
        <v>102723.5</v>
      </c>
      <c r="D196">
        <f t="shared" si="36"/>
        <v>2016</v>
      </c>
      <c r="E196">
        <f t="shared" si="37"/>
        <v>10</v>
      </c>
      <c r="F196" t="str">
        <f t="shared" ref="F196:F259" si="39">TEXT(A196,"mmmm")</f>
        <v>October</v>
      </c>
      <c r="G196">
        <f t="shared" si="38"/>
        <v>12</v>
      </c>
      <c r="H196" s="7">
        <f t="shared" ref="H196:H259" si="40">((C196-C195)/C195)*100</f>
        <v>-0.24759544397969904</v>
      </c>
      <c r="I196" s="9">
        <f t="shared" ref="I196:I259" si="41">LN(C196/C195)</f>
        <v>-2.4790246838943216E-3</v>
      </c>
      <c r="J196" s="9">
        <f t="shared" si="30"/>
        <v>102247.91</v>
      </c>
      <c r="K196" s="9">
        <f t="shared" si="33"/>
        <v>104389.29700000002</v>
      </c>
      <c r="L196" s="9">
        <f t="shared" si="32"/>
        <v>109139.72577777778</v>
      </c>
      <c r="M196" s="9">
        <f t="shared" si="31"/>
        <v>3.4865719112756295E-3</v>
      </c>
      <c r="N196" s="9">
        <f t="shared" si="34"/>
        <v>6.0338074599922999E-3</v>
      </c>
    </row>
    <row r="197" spans="1:14" x14ac:dyDescent="0.35">
      <c r="A197" s="1">
        <v>42656</v>
      </c>
      <c r="B197" s="2" t="s">
        <v>197</v>
      </c>
      <c r="C197">
        <f t="shared" si="35"/>
        <v>101750.49</v>
      </c>
      <c r="D197">
        <f t="shared" si="36"/>
        <v>2016</v>
      </c>
      <c r="E197">
        <f t="shared" si="37"/>
        <v>10</v>
      </c>
      <c r="F197" t="str">
        <f t="shared" si="39"/>
        <v>October</v>
      </c>
      <c r="G197">
        <f t="shared" si="38"/>
        <v>13</v>
      </c>
      <c r="H197" s="7">
        <f t="shared" si="40"/>
        <v>-0.94721266311992358</v>
      </c>
      <c r="I197" s="9">
        <f t="shared" si="41"/>
        <v>-9.5172725339706075E-3</v>
      </c>
      <c r="J197" s="9">
        <f t="shared" si="30"/>
        <v>102226.69428571429</v>
      </c>
      <c r="K197" s="9">
        <f t="shared" si="33"/>
        <v>104121.70933333336</v>
      </c>
      <c r="L197" s="9">
        <f t="shared" si="32"/>
        <v>108983.26144444443</v>
      </c>
      <c r="M197" s="9">
        <f t="shared" si="31"/>
        <v>4.9084201842160089E-3</v>
      </c>
      <c r="N197" s="9">
        <f t="shared" si="34"/>
        <v>6.1739797693346581E-3</v>
      </c>
    </row>
    <row r="198" spans="1:14" x14ac:dyDescent="0.35">
      <c r="A198" s="1">
        <v>42657</v>
      </c>
      <c r="B198" s="2" t="s">
        <v>198</v>
      </c>
      <c r="C198">
        <f t="shared" si="35"/>
        <v>101055.87</v>
      </c>
      <c r="D198">
        <f t="shared" si="36"/>
        <v>2016</v>
      </c>
      <c r="E198">
        <f t="shared" si="37"/>
        <v>10</v>
      </c>
      <c r="F198" t="str">
        <f t="shared" si="39"/>
        <v>October</v>
      </c>
      <c r="G198">
        <f t="shared" si="38"/>
        <v>14</v>
      </c>
      <c r="H198" s="7">
        <f t="shared" si="40"/>
        <v>-0.68266993112270014</v>
      </c>
      <c r="I198" s="9">
        <f t="shared" si="41"/>
        <v>-6.8501078190280175E-3</v>
      </c>
      <c r="J198" s="9">
        <f t="shared" si="30"/>
        <v>102115.30571428571</v>
      </c>
      <c r="K198" s="9">
        <f t="shared" si="33"/>
        <v>103887.24300000002</v>
      </c>
      <c r="L198" s="9">
        <f t="shared" si="32"/>
        <v>108811.64688888889</v>
      </c>
      <c r="M198" s="9">
        <f t="shared" si="31"/>
        <v>5.5220230104289806E-3</v>
      </c>
      <c r="N198" s="9">
        <f t="shared" si="34"/>
        <v>5.7338601140605825E-3</v>
      </c>
    </row>
    <row r="199" spans="1:14" x14ac:dyDescent="0.35">
      <c r="A199" s="1">
        <v>42660</v>
      </c>
      <c r="B199" s="2" t="s">
        <v>199</v>
      </c>
      <c r="C199">
        <f t="shared" si="35"/>
        <v>101196.15</v>
      </c>
      <c r="D199">
        <f t="shared" si="36"/>
        <v>2016</v>
      </c>
      <c r="E199">
        <f t="shared" si="37"/>
        <v>10</v>
      </c>
      <c r="F199" t="str">
        <f t="shared" si="39"/>
        <v>October</v>
      </c>
      <c r="G199">
        <f t="shared" si="38"/>
        <v>17</v>
      </c>
      <c r="H199" s="7">
        <f t="shared" si="40"/>
        <v>0.13881430143543252</v>
      </c>
      <c r="I199" s="9">
        <f t="shared" si="41"/>
        <v>1.3871804345361503E-3</v>
      </c>
      <c r="J199" s="9">
        <f t="shared" si="30"/>
        <v>102020.62714285715</v>
      </c>
      <c r="K199" s="9">
        <f t="shared" si="33"/>
        <v>103638.78766666669</v>
      </c>
      <c r="L199" s="9">
        <f t="shared" si="32"/>
        <v>108646.62711111113</v>
      </c>
      <c r="M199" s="9">
        <f t="shared" si="31"/>
        <v>5.5854025745531331E-3</v>
      </c>
      <c r="N199" s="9">
        <f t="shared" si="34"/>
        <v>5.6055109379692129E-3</v>
      </c>
    </row>
    <row r="200" spans="1:14" x14ac:dyDescent="0.35">
      <c r="A200" s="1">
        <v>42661</v>
      </c>
      <c r="B200" s="2" t="s">
        <v>200</v>
      </c>
      <c r="C200">
        <f t="shared" si="35"/>
        <v>101142.62</v>
      </c>
      <c r="D200">
        <f t="shared" si="36"/>
        <v>2016</v>
      </c>
      <c r="E200">
        <f t="shared" si="37"/>
        <v>10</v>
      </c>
      <c r="F200" t="str">
        <f t="shared" si="39"/>
        <v>October</v>
      </c>
      <c r="G200">
        <f t="shared" si="38"/>
        <v>18</v>
      </c>
      <c r="H200" s="7">
        <f t="shared" si="40"/>
        <v>-5.2897269313110076E-2</v>
      </c>
      <c r="I200" s="9">
        <f t="shared" si="41"/>
        <v>-5.2911264854340083E-4</v>
      </c>
      <c r="J200" s="9">
        <f t="shared" si="30"/>
        <v>101897.18000000001</v>
      </c>
      <c r="K200" s="9">
        <f t="shared" si="33"/>
        <v>103412.19233333335</v>
      </c>
      <c r="L200" s="9">
        <f t="shared" si="32"/>
        <v>108469.48455555557</v>
      </c>
      <c r="M200" s="9">
        <f t="shared" si="31"/>
        <v>5.4940048494476002E-3</v>
      </c>
      <c r="N200" s="9">
        <f t="shared" si="34"/>
        <v>5.5582391132602531E-3</v>
      </c>
    </row>
    <row r="201" spans="1:14" x14ac:dyDescent="0.35">
      <c r="A201" s="1">
        <v>42662</v>
      </c>
      <c r="B201" s="2" t="s">
        <v>201</v>
      </c>
      <c r="C201">
        <f t="shared" si="35"/>
        <v>101950.32</v>
      </c>
      <c r="D201">
        <f t="shared" si="36"/>
        <v>2016</v>
      </c>
      <c r="E201">
        <f t="shared" si="37"/>
        <v>10</v>
      </c>
      <c r="F201" t="str">
        <f t="shared" si="39"/>
        <v>October</v>
      </c>
      <c r="G201">
        <f t="shared" si="38"/>
        <v>19</v>
      </c>
      <c r="H201" s="7">
        <f t="shared" si="40"/>
        <v>0.79857531869355536</v>
      </c>
      <c r="I201" s="9">
        <f t="shared" si="41"/>
        <v>7.9540358061751578E-3</v>
      </c>
      <c r="J201" s="9">
        <f t="shared" ref="J201:J264" si="42">AVERAGE(C195:C201)</f>
        <v>101828.20285714285</v>
      </c>
      <c r="K201" s="9">
        <f t="shared" si="33"/>
        <v>103235.75033333334</v>
      </c>
      <c r="L201" s="9">
        <f t="shared" si="32"/>
        <v>108306.6826666667</v>
      </c>
      <c r="M201" s="9">
        <f t="shared" si="31"/>
        <v>6.2465991357273463E-3</v>
      </c>
      <c r="N201" s="9">
        <f t="shared" si="34"/>
        <v>5.7920231052443205E-3</v>
      </c>
    </row>
    <row r="202" spans="1:14" x14ac:dyDescent="0.35">
      <c r="A202" s="1">
        <v>42663</v>
      </c>
      <c r="B202" s="2" t="s">
        <v>202</v>
      </c>
      <c r="C202">
        <f t="shared" si="35"/>
        <v>101993.04</v>
      </c>
      <c r="D202">
        <f t="shared" si="36"/>
        <v>2016</v>
      </c>
      <c r="E202">
        <f t="shared" si="37"/>
        <v>10</v>
      </c>
      <c r="F202" t="str">
        <f t="shared" si="39"/>
        <v>October</v>
      </c>
      <c r="G202">
        <f t="shared" si="38"/>
        <v>20</v>
      </c>
      <c r="H202" s="7">
        <f t="shared" si="40"/>
        <v>4.1902762051150608E-2</v>
      </c>
      <c r="I202" s="9">
        <f t="shared" si="41"/>
        <v>4.1893985295539122E-4</v>
      </c>
      <c r="J202" s="9">
        <f t="shared" si="42"/>
        <v>101687.42714285714</v>
      </c>
      <c r="K202" s="9">
        <f t="shared" si="33"/>
        <v>103078.84700000002</v>
      </c>
      <c r="L202" s="9">
        <f t="shared" si="32"/>
        <v>108152.05366666669</v>
      </c>
      <c r="M202" s="9">
        <f t="shared" ref="M202:M265" si="43">STDEV(I196:I202)</f>
        <v>5.7167380021596352E-3</v>
      </c>
      <c r="N202" s="9">
        <f t="shared" si="34"/>
        <v>5.7679075940554386E-3</v>
      </c>
    </row>
    <row r="203" spans="1:14" x14ac:dyDescent="0.35">
      <c r="A203" s="1">
        <v>42664</v>
      </c>
      <c r="B203" s="2" t="s">
        <v>203</v>
      </c>
      <c r="C203">
        <f t="shared" si="35"/>
        <v>102278.42</v>
      </c>
      <c r="D203">
        <f t="shared" si="36"/>
        <v>2016</v>
      </c>
      <c r="E203">
        <f t="shared" si="37"/>
        <v>10</v>
      </c>
      <c r="F203" t="str">
        <f t="shared" si="39"/>
        <v>October</v>
      </c>
      <c r="G203">
        <f t="shared" si="38"/>
        <v>21</v>
      </c>
      <c r="H203" s="7">
        <f t="shared" si="40"/>
        <v>0.27980340619321148</v>
      </c>
      <c r="I203" s="9">
        <f t="shared" si="41"/>
        <v>2.7941268512682834E-3</v>
      </c>
      <c r="J203" s="9">
        <f t="shared" si="42"/>
        <v>101623.84428571429</v>
      </c>
      <c r="K203" s="9">
        <f t="shared" si="33"/>
        <v>102961.35500000001</v>
      </c>
      <c r="L203" s="9">
        <f t="shared" si="32"/>
        <v>108012.37066666668</v>
      </c>
      <c r="M203" s="9">
        <f t="shared" si="43"/>
        <v>5.8915544534856659E-3</v>
      </c>
      <c r="N203" s="9">
        <f t="shared" si="34"/>
        <v>5.6657581411095215E-3</v>
      </c>
    </row>
    <row r="204" spans="1:14" x14ac:dyDescent="0.35">
      <c r="A204" s="1">
        <v>42667</v>
      </c>
      <c r="B204" s="2" t="s">
        <v>204</v>
      </c>
      <c r="C204">
        <f t="shared" si="35"/>
        <v>101271.16</v>
      </c>
      <c r="D204">
        <f t="shared" si="36"/>
        <v>2016</v>
      </c>
      <c r="E204">
        <f t="shared" si="37"/>
        <v>10</v>
      </c>
      <c r="F204" t="str">
        <f t="shared" si="39"/>
        <v>October</v>
      </c>
      <c r="G204">
        <f t="shared" si="38"/>
        <v>24</v>
      </c>
      <c r="H204" s="7">
        <f t="shared" si="40"/>
        <v>-0.9848216270841833</v>
      </c>
      <c r="I204" s="9">
        <f t="shared" si="41"/>
        <v>-9.8970307071963894E-3</v>
      </c>
      <c r="J204" s="9">
        <f t="shared" si="42"/>
        <v>101555.36857142858</v>
      </c>
      <c r="K204" s="9">
        <f t="shared" si="33"/>
        <v>102780.61900000001</v>
      </c>
      <c r="L204" s="9">
        <f t="shared" si="32"/>
        <v>107865.20766666668</v>
      </c>
      <c r="M204" s="9">
        <f t="shared" si="43"/>
        <v>5.9880920910897594E-3</v>
      </c>
      <c r="N204" s="9">
        <f t="shared" si="34"/>
        <v>5.5902859265150881E-3</v>
      </c>
    </row>
    <row r="205" spans="1:14" x14ac:dyDescent="0.35">
      <c r="A205" s="1">
        <v>42668</v>
      </c>
      <c r="B205" s="2" t="s">
        <v>205</v>
      </c>
      <c r="C205">
        <f t="shared" si="35"/>
        <v>100630.37</v>
      </c>
      <c r="D205">
        <f t="shared" si="36"/>
        <v>2016</v>
      </c>
      <c r="E205">
        <f t="shared" si="37"/>
        <v>10</v>
      </c>
      <c r="F205" t="str">
        <f t="shared" si="39"/>
        <v>October</v>
      </c>
      <c r="G205">
        <f t="shared" si="38"/>
        <v>25</v>
      </c>
      <c r="H205" s="7">
        <f t="shared" si="40"/>
        <v>-0.63274677608117469</v>
      </c>
      <c r="I205" s="9">
        <f t="shared" si="41"/>
        <v>-6.3475710316759047E-3</v>
      </c>
      <c r="J205" s="9">
        <f t="shared" si="42"/>
        <v>101494.58285714286</v>
      </c>
      <c r="K205" s="9">
        <f t="shared" si="33"/>
        <v>102602.86233333334</v>
      </c>
      <c r="L205" s="9">
        <f t="shared" si="32"/>
        <v>107716.16566666667</v>
      </c>
      <c r="M205" s="9">
        <f t="shared" si="43"/>
        <v>5.9041380117442989E-3</v>
      </c>
      <c r="N205" s="9">
        <f t="shared" si="34"/>
        <v>5.5746315404869981E-3</v>
      </c>
    </row>
    <row r="206" spans="1:14" x14ac:dyDescent="0.35">
      <c r="A206" s="1">
        <v>42669</v>
      </c>
      <c r="B206" s="2" t="s">
        <v>206</v>
      </c>
      <c r="C206">
        <f t="shared" si="35"/>
        <v>100855.21</v>
      </c>
      <c r="D206">
        <f t="shared" si="36"/>
        <v>2016</v>
      </c>
      <c r="E206">
        <f t="shared" si="37"/>
        <v>10</v>
      </c>
      <c r="F206" t="str">
        <f t="shared" si="39"/>
        <v>October</v>
      </c>
      <c r="G206">
        <f t="shared" si="38"/>
        <v>26</v>
      </c>
      <c r="H206" s="7">
        <f t="shared" si="40"/>
        <v>0.22343155450984734</v>
      </c>
      <c r="I206" s="9">
        <f t="shared" si="41"/>
        <v>2.2318231739263811E-3</v>
      </c>
      <c r="J206" s="9">
        <f t="shared" si="42"/>
        <v>101445.87714285713</v>
      </c>
      <c r="K206" s="9">
        <f t="shared" si="33"/>
        <v>102427.67500000002</v>
      </c>
      <c r="L206" s="9">
        <f t="shared" si="32"/>
        <v>107582.74566666668</v>
      </c>
      <c r="M206" s="9">
        <f t="shared" si="43"/>
        <v>5.9599522140775614E-3</v>
      </c>
      <c r="N206" s="9">
        <f t="shared" si="34"/>
        <v>5.5928549585420222E-3</v>
      </c>
    </row>
    <row r="207" spans="1:14" x14ac:dyDescent="0.35">
      <c r="A207" s="1">
        <v>42670</v>
      </c>
      <c r="B207" s="2" t="s">
        <v>207</v>
      </c>
      <c r="C207">
        <f t="shared" si="35"/>
        <v>100643.36</v>
      </c>
      <c r="D207">
        <f t="shared" si="36"/>
        <v>2016</v>
      </c>
      <c r="E207">
        <f t="shared" si="37"/>
        <v>10</v>
      </c>
      <c r="F207" t="str">
        <f t="shared" si="39"/>
        <v>October</v>
      </c>
      <c r="G207">
        <f t="shared" si="38"/>
        <v>27</v>
      </c>
      <c r="H207" s="7">
        <f t="shared" si="40"/>
        <v>-0.21005360060229492</v>
      </c>
      <c r="I207" s="9">
        <f t="shared" si="41"/>
        <v>-2.1027452260188751E-3</v>
      </c>
      <c r="J207" s="9">
        <f t="shared" si="42"/>
        <v>101374.55428571427</v>
      </c>
      <c r="K207" s="9">
        <f t="shared" si="33"/>
        <v>102268.35933333333</v>
      </c>
      <c r="L207" s="9">
        <f t="shared" si="32"/>
        <v>107442.09666666666</v>
      </c>
      <c r="M207" s="9">
        <f t="shared" si="43"/>
        <v>5.9916144640558989E-3</v>
      </c>
      <c r="N207" s="9">
        <f t="shared" si="34"/>
        <v>5.5195287774306556E-3</v>
      </c>
    </row>
    <row r="208" spans="1:14" x14ac:dyDescent="0.35">
      <c r="A208" s="1">
        <v>42671</v>
      </c>
      <c r="B208" s="2" t="s">
        <v>208</v>
      </c>
      <c r="C208">
        <f t="shared" si="35"/>
        <v>100152.77</v>
      </c>
      <c r="D208">
        <f t="shared" si="36"/>
        <v>2016</v>
      </c>
      <c r="E208">
        <f t="shared" si="37"/>
        <v>10</v>
      </c>
      <c r="F208" t="str">
        <f t="shared" si="39"/>
        <v>October</v>
      </c>
      <c r="G208">
        <f t="shared" si="38"/>
        <v>28</v>
      </c>
      <c r="H208" s="7">
        <f t="shared" si="40"/>
        <v>-0.48745391648291209</v>
      </c>
      <c r="I208" s="9">
        <f t="shared" si="41"/>
        <v>-4.8864584807540318E-3</v>
      </c>
      <c r="J208" s="9">
        <f t="shared" si="42"/>
        <v>101117.76142857144</v>
      </c>
      <c r="K208" s="9">
        <f t="shared" si="33"/>
        <v>102094.52233333333</v>
      </c>
      <c r="L208" s="9">
        <f t="shared" si="32"/>
        <v>107309.08744444443</v>
      </c>
      <c r="M208" s="9">
        <f t="shared" si="43"/>
        <v>4.7310864942046683E-3</v>
      </c>
      <c r="N208" s="9">
        <f t="shared" si="34"/>
        <v>5.5490282976382302E-3</v>
      </c>
    </row>
    <row r="209" spans="1:14" x14ac:dyDescent="0.35">
      <c r="A209" s="1">
        <v>42674</v>
      </c>
      <c r="B209" s="2" t="s">
        <v>209</v>
      </c>
      <c r="C209">
        <f t="shared" si="35"/>
        <v>99674.14</v>
      </c>
      <c r="D209">
        <f t="shared" si="36"/>
        <v>2016</v>
      </c>
      <c r="E209">
        <f t="shared" si="37"/>
        <v>10</v>
      </c>
      <c r="F209" t="str">
        <f t="shared" si="39"/>
        <v>October</v>
      </c>
      <c r="G209">
        <f t="shared" si="38"/>
        <v>31</v>
      </c>
      <c r="H209" s="7">
        <f t="shared" si="40"/>
        <v>-0.47789991230397788</v>
      </c>
      <c r="I209" s="9">
        <f t="shared" si="41"/>
        <v>-4.7904550525061183E-3</v>
      </c>
      <c r="J209" s="9">
        <f t="shared" si="42"/>
        <v>100786.49</v>
      </c>
      <c r="K209" s="9">
        <f t="shared" si="33"/>
        <v>101920.82766666666</v>
      </c>
      <c r="L209" s="9">
        <f t="shared" si="32"/>
        <v>107182.76844444443</v>
      </c>
      <c r="M209" s="9">
        <f t="shared" si="43"/>
        <v>4.5956175060021861E-3</v>
      </c>
      <c r="N209" s="9">
        <f t="shared" si="34"/>
        <v>5.5526943047790028E-3</v>
      </c>
    </row>
    <row r="210" spans="1:14" x14ac:dyDescent="0.35">
      <c r="A210" s="1">
        <v>42675</v>
      </c>
      <c r="B210" s="2" t="s">
        <v>210</v>
      </c>
      <c r="C210">
        <f t="shared" si="35"/>
        <v>99312.06</v>
      </c>
      <c r="D210">
        <f t="shared" si="36"/>
        <v>2016</v>
      </c>
      <c r="E210">
        <f t="shared" si="37"/>
        <v>11</v>
      </c>
      <c r="F210" t="str">
        <f t="shared" si="39"/>
        <v>November</v>
      </c>
      <c r="G210">
        <f t="shared" si="38"/>
        <v>1</v>
      </c>
      <c r="H210" s="7">
        <f t="shared" si="40"/>
        <v>-0.36326373119447208</v>
      </c>
      <c r="I210" s="9">
        <f t="shared" si="41"/>
        <v>-3.6392513613515164E-3</v>
      </c>
      <c r="J210" s="9">
        <f t="shared" si="42"/>
        <v>100362.7242857143</v>
      </c>
      <c r="K210" s="9">
        <f t="shared" si="33"/>
        <v>101742.05033333333</v>
      </c>
      <c r="L210" s="9">
        <f t="shared" si="32"/>
        <v>107055.89622222222</v>
      </c>
      <c r="M210" s="9">
        <f t="shared" si="43"/>
        <v>3.7409714678541769E-3</v>
      </c>
      <c r="N210" s="9">
        <f t="shared" si="34"/>
        <v>5.563816378679612E-3</v>
      </c>
    </row>
    <row r="211" spans="1:14" x14ac:dyDescent="0.35">
      <c r="A211" s="1">
        <v>42676</v>
      </c>
      <c r="B211" s="2" t="s">
        <v>211</v>
      </c>
      <c r="C211">
        <f t="shared" si="35"/>
        <v>97744.15</v>
      </c>
      <c r="D211">
        <f t="shared" si="36"/>
        <v>2016</v>
      </c>
      <c r="E211">
        <f t="shared" si="37"/>
        <v>11</v>
      </c>
      <c r="F211" t="str">
        <f t="shared" si="39"/>
        <v>November</v>
      </c>
      <c r="G211">
        <f t="shared" si="38"/>
        <v>2</v>
      </c>
      <c r="H211" s="7">
        <f t="shared" si="40"/>
        <v>-1.5787709971981285</v>
      </c>
      <c r="I211" s="9">
        <f t="shared" si="41"/>
        <v>-1.5913663300427351E-2</v>
      </c>
      <c r="J211" s="9">
        <f t="shared" si="42"/>
        <v>99858.865714285726</v>
      </c>
      <c r="K211" s="9">
        <f t="shared" si="33"/>
        <v>101518.24333333333</v>
      </c>
      <c r="L211" s="9">
        <f t="shared" si="32"/>
        <v>106910.52688888891</v>
      </c>
      <c r="M211" s="9">
        <f t="shared" si="43"/>
        <v>5.5301758628691832E-3</v>
      </c>
      <c r="N211" s="9">
        <f t="shared" si="34"/>
        <v>6.135696385828635E-3</v>
      </c>
    </row>
    <row r="212" spans="1:14" x14ac:dyDescent="0.35">
      <c r="A212" s="1">
        <v>42677</v>
      </c>
      <c r="B212" s="2" t="s">
        <v>212</v>
      </c>
      <c r="C212">
        <f t="shared" si="35"/>
        <v>98519.51</v>
      </c>
      <c r="D212">
        <f t="shared" si="36"/>
        <v>2016</v>
      </c>
      <c r="E212">
        <f t="shared" si="37"/>
        <v>11</v>
      </c>
      <c r="F212" t="str">
        <f t="shared" si="39"/>
        <v>November</v>
      </c>
      <c r="G212">
        <f t="shared" si="38"/>
        <v>3</v>
      </c>
      <c r="H212" s="7">
        <f t="shared" si="40"/>
        <v>0.79325463467634705</v>
      </c>
      <c r="I212" s="9">
        <f t="shared" si="41"/>
        <v>7.901249103264783E-3</v>
      </c>
      <c r="J212" s="9">
        <f t="shared" si="42"/>
        <v>99557.314285714296</v>
      </c>
      <c r="K212" s="9">
        <f t="shared" si="33"/>
        <v>101337.98166666667</v>
      </c>
      <c r="L212" s="9">
        <f t="shared" si="32"/>
        <v>106755.41122222225</v>
      </c>
      <c r="M212" s="9">
        <f t="shared" si="43"/>
        <v>7.3137357426892678E-3</v>
      </c>
      <c r="N212" s="9">
        <f t="shared" si="34"/>
        <v>6.3792462181192083E-3</v>
      </c>
    </row>
    <row r="213" spans="1:14" x14ac:dyDescent="0.35">
      <c r="A213" s="1">
        <v>42678</v>
      </c>
      <c r="B213" s="2" t="s">
        <v>213</v>
      </c>
      <c r="C213">
        <f t="shared" si="35"/>
        <v>99314.7</v>
      </c>
      <c r="D213">
        <f t="shared" si="36"/>
        <v>2016</v>
      </c>
      <c r="E213">
        <f t="shared" si="37"/>
        <v>11</v>
      </c>
      <c r="F213" t="str">
        <f t="shared" si="39"/>
        <v>November</v>
      </c>
      <c r="G213">
        <f t="shared" si="38"/>
        <v>4</v>
      </c>
      <c r="H213" s="7">
        <f t="shared" si="40"/>
        <v>0.80713962138057971</v>
      </c>
      <c r="I213" s="9">
        <f t="shared" si="41"/>
        <v>8.0389967180690101E-3</v>
      </c>
      <c r="J213" s="9">
        <f t="shared" si="42"/>
        <v>99337.241428571419</v>
      </c>
      <c r="K213" s="9">
        <f t="shared" si="33"/>
        <v>101195.54699999999</v>
      </c>
      <c r="L213" s="9">
        <f t="shared" si="32"/>
        <v>106626.41077777778</v>
      </c>
      <c r="M213" s="9">
        <f t="shared" si="43"/>
        <v>8.2759214941803532E-3</v>
      </c>
      <c r="N213" s="9">
        <f t="shared" si="34"/>
        <v>6.6178820523251844E-3</v>
      </c>
    </row>
    <row r="214" spans="1:14" x14ac:dyDescent="0.35">
      <c r="A214" s="1">
        <v>42681</v>
      </c>
      <c r="B214" s="2" t="s">
        <v>214</v>
      </c>
      <c r="C214">
        <f t="shared" si="35"/>
        <v>99165.06</v>
      </c>
      <c r="D214">
        <f t="shared" si="36"/>
        <v>2016</v>
      </c>
      <c r="E214">
        <f t="shared" si="37"/>
        <v>11</v>
      </c>
      <c r="F214" t="str">
        <f t="shared" si="39"/>
        <v>November</v>
      </c>
      <c r="G214">
        <f t="shared" si="38"/>
        <v>7</v>
      </c>
      <c r="H214" s="7">
        <f t="shared" si="40"/>
        <v>-0.15067255904714955</v>
      </c>
      <c r="I214" s="9">
        <f t="shared" si="41"/>
        <v>-1.5078618429645448E-3</v>
      </c>
      <c r="J214" s="9">
        <f t="shared" si="42"/>
        <v>99126.0557142857</v>
      </c>
      <c r="K214" s="9">
        <f t="shared" si="33"/>
        <v>101060.12700000001</v>
      </c>
      <c r="L214" s="9">
        <f t="shared" si="32"/>
        <v>106491.21433333337</v>
      </c>
      <c r="M214" s="9">
        <f t="shared" si="43"/>
        <v>8.2801267801778378E-3</v>
      </c>
      <c r="N214" s="9">
        <f t="shared" si="34"/>
        <v>6.6063120706876272E-3</v>
      </c>
    </row>
    <row r="215" spans="1:14" x14ac:dyDescent="0.35">
      <c r="A215" s="1">
        <v>42682</v>
      </c>
      <c r="B215" s="2" t="s">
        <v>215</v>
      </c>
      <c r="C215">
        <f t="shared" si="35"/>
        <v>98696.39</v>
      </c>
      <c r="D215">
        <f t="shared" si="36"/>
        <v>2016</v>
      </c>
      <c r="E215">
        <f t="shared" si="37"/>
        <v>11</v>
      </c>
      <c r="F215" t="str">
        <f t="shared" si="39"/>
        <v>November</v>
      </c>
      <c r="G215">
        <f t="shared" si="38"/>
        <v>8</v>
      </c>
      <c r="H215" s="7">
        <f t="shared" si="40"/>
        <v>-0.47261606053583616</v>
      </c>
      <c r="I215" s="9">
        <f t="shared" si="41"/>
        <v>-4.7373642163734764E-3</v>
      </c>
      <c r="J215" s="9">
        <f t="shared" si="42"/>
        <v>98918.001428571428</v>
      </c>
      <c r="K215" s="9">
        <f t="shared" si="33"/>
        <v>100924.28133333333</v>
      </c>
      <c r="L215" s="9">
        <f t="shared" si="32"/>
        <v>106356.31988888892</v>
      </c>
      <c r="M215" s="9">
        <f t="shared" si="43"/>
        <v>8.2719940310466318E-3</v>
      </c>
      <c r="N215" s="9">
        <f t="shared" si="34"/>
        <v>6.6115688869387724E-3</v>
      </c>
    </row>
    <row r="216" spans="1:14" x14ac:dyDescent="0.35">
      <c r="A216" s="1">
        <v>42683</v>
      </c>
      <c r="B216" s="2" t="s">
        <v>216</v>
      </c>
      <c r="C216">
        <f t="shared" si="35"/>
        <v>98918.87</v>
      </c>
      <c r="D216">
        <f t="shared" si="36"/>
        <v>2016</v>
      </c>
      <c r="E216">
        <f t="shared" si="37"/>
        <v>11</v>
      </c>
      <c r="F216" t="str">
        <f t="shared" si="39"/>
        <v>November</v>
      </c>
      <c r="G216">
        <f t="shared" si="38"/>
        <v>9</v>
      </c>
      <c r="H216" s="7">
        <f t="shared" si="40"/>
        <v>0.22541857913951657</v>
      </c>
      <c r="I216" s="9">
        <f t="shared" si="41"/>
        <v>2.2516489262656677E-3</v>
      </c>
      <c r="J216" s="9">
        <f t="shared" si="42"/>
        <v>98810.105714285717</v>
      </c>
      <c r="K216" s="9">
        <f t="shared" si="33"/>
        <v>100837.16766666668</v>
      </c>
      <c r="L216" s="9">
        <f t="shared" si="32"/>
        <v>106211.55300000004</v>
      </c>
      <c r="M216" s="9">
        <f t="shared" si="43"/>
        <v>8.3173035378929713E-3</v>
      </c>
      <c r="N216" s="9">
        <f t="shared" si="34"/>
        <v>6.3175155039977395E-3</v>
      </c>
    </row>
    <row r="217" spans="1:14" x14ac:dyDescent="0.35">
      <c r="A217" s="1">
        <v>42684</v>
      </c>
      <c r="B217" s="2" t="s">
        <v>217</v>
      </c>
      <c r="C217">
        <f t="shared" si="35"/>
        <v>99971.12</v>
      </c>
      <c r="D217">
        <f t="shared" si="36"/>
        <v>2016</v>
      </c>
      <c r="E217">
        <f t="shared" si="37"/>
        <v>11</v>
      </c>
      <c r="F217" t="str">
        <f t="shared" si="39"/>
        <v>November</v>
      </c>
      <c r="G217">
        <f t="shared" si="38"/>
        <v>10</v>
      </c>
      <c r="H217" s="7">
        <f t="shared" si="40"/>
        <v>1.0637505260624187</v>
      </c>
      <c r="I217" s="9">
        <f t="shared" si="41"/>
        <v>1.0581325061794433E-2</v>
      </c>
      <c r="J217" s="9">
        <f t="shared" si="42"/>
        <v>98904.257142857139</v>
      </c>
      <c r="K217" s="9">
        <f t="shared" si="33"/>
        <v>100821.77333333335</v>
      </c>
      <c r="L217" s="9">
        <f t="shared" si="32"/>
        <v>106089.47088888891</v>
      </c>
      <c r="M217" s="9">
        <f t="shared" si="43"/>
        <v>9.271826551953426E-3</v>
      </c>
      <c r="N217" s="9">
        <f t="shared" si="34"/>
        <v>6.3594281846596785E-3</v>
      </c>
    </row>
    <row r="218" spans="1:14" x14ac:dyDescent="0.35">
      <c r="A218" s="1">
        <v>42685</v>
      </c>
      <c r="B218" s="2" t="s">
        <v>218</v>
      </c>
      <c r="C218">
        <f t="shared" si="35"/>
        <v>100179.84</v>
      </c>
      <c r="D218">
        <f t="shared" si="36"/>
        <v>2016</v>
      </c>
      <c r="E218">
        <f t="shared" si="37"/>
        <v>11</v>
      </c>
      <c r="F218" t="str">
        <f t="shared" si="39"/>
        <v>November</v>
      </c>
      <c r="G218">
        <f t="shared" si="38"/>
        <v>11</v>
      </c>
      <c r="H218" s="7">
        <f t="shared" si="40"/>
        <v>0.20878029574941362</v>
      </c>
      <c r="I218" s="9">
        <f t="shared" si="41"/>
        <v>2.0856265256802833E-3</v>
      </c>
      <c r="J218" s="9">
        <f t="shared" si="42"/>
        <v>99252.212857142862</v>
      </c>
      <c r="K218" s="9">
        <f t="shared" si="33"/>
        <v>100777.27233333334</v>
      </c>
      <c r="L218" s="9">
        <f t="shared" si="32"/>
        <v>105974.04855555559</v>
      </c>
      <c r="M218" s="9">
        <f t="shared" si="43"/>
        <v>5.5768642246655379E-3</v>
      </c>
      <c r="N218" s="9">
        <f t="shared" si="34"/>
        <v>6.037907542709265E-3</v>
      </c>
    </row>
    <row r="219" spans="1:14" x14ac:dyDescent="0.35">
      <c r="A219" s="1">
        <v>42688</v>
      </c>
      <c r="B219" s="2" t="s">
        <v>219</v>
      </c>
      <c r="C219">
        <f t="shared" si="35"/>
        <v>99324.53</v>
      </c>
      <c r="D219">
        <f t="shared" si="36"/>
        <v>2016</v>
      </c>
      <c r="E219">
        <f t="shared" si="37"/>
        <v>11</v>
      </c>
      <c r="F219" t="str">
        <f t="shared" si="39"/>
        <v>November</v>
      </c>
      <c r="G219">
        <f t="shared" si="38"/>
        <v>14</v>
      </c>
      <c r="H219" s="7">
        <f t="shared" si="40"/>
        <v>-0.85377457181005456</v>
      </c>
      <c r="I219" s="9">
        <f t="shared" si="41"/>
        <v>-8.5744010541526604E-3</v>
      </c>
      <c r="J219" s="9">
        <f t="shared" si="42"/>
        <v>99367.215714285718</v>
      </c>
      <c r="K219" s="9">
        <f t="shared" si="33"/>
        <v>100715.85066666667</v>
      </c>
      <c r="L219" s="9">
        <f t="shared" si="32"/>
        <v>105834.74711111114</v>
      </c>
      <c r="M219" s="9">
        <f t="shared" si="43"/>
        <v>6.767389364630603E-3</v>
      </c>
      <c r="N219" s="9">
        <f t="shared" si="34"/>
        <v>6.1966663290598124E-3</v>
      </c>
    </row>
    <row r="220" spans="1:14" x14ac:dyDescent="0.35">
      <c r="A220" s="1">
        <v>42689</v>
      </c>
      <c r="B220" s="2" t="s">
        <v>220</v>
      </c>
      <c r="C220">
        <f t="shared" si="35"/>
        <v>99653.78</v>
      </c>
      <c r="D220">
        <f t="shared" si="36"/>
        <v>2016</v>
      </c>
      <c r="E220">
        <f t="shared" si="37"/>
        <v>11</v>
      </c>
      <c r="F220" t="str">
        <f t="shared" si="39"/>
        <v>November</v>
      </c>
      <c r="G220">
        <f t="shared" si="38"/>
        <v>15</v>
      </c>
      <c r="H220" s="7">
        <f t="shared" si="40"/>
        <v>0.33148910948785765</v>
      </c>
      <c r="I220" s="9">
        <f t="shared" si="41"/>
        <v>3.3094089551830531E-3</v>
      </c>
      <c r="J220" s="9">
        <f t="shared" si="42"/>
        <v>99415.65571428572</v>
      </c>
      <c r="K220" s="9">
        <f t="shared" si="33"/>
        <v>100641.01</v>
      </c>
      <c r="L220" s="9">
        <f t="shared" ref="L220:L283" si="44">AVERAGE(C131:C220)</f>
        <v>105716.50900000001</v>
      </c>
      <c r="M220" s="9">
        <f t="shared" si="43"/>
        <v>6.1767497873421607E-3</v>
      </c>
      <c r="N220" s="9">
        <f t="shared" si="34"/>
        <v>6.0665236262382191E-3</v>
      </c>
    </row>
    <row r="221" spans="1:14" x14ac:dyDescent="0.35">
      <c r="A221" s="1">
        <v>42690</v>
      </c>
      <c r="B221" s="2" t="s">
        <v>221</v>
      </c>
      <c r="C221">
        <f t="shared" si="35"/>
        <v>98687.07</v>
      </c>
      <c r="D221">
        <f t="shared" si="36"/>
        <v>2016</v>
      </c>
      <c r="E221">
        <f t="shared" si="37"/>
        <v>11</v>
      </c>
      <c r="F221" t="str">
        <f t="shared" si="39"/>
        <v>November</v>
      </c>
      <c r="G221">
        <f t="shared" si="38"/>
        <v>16</v>
      </c>
      <c r="H221" s="7">
        <f t="shared" si="40"/>
        <v>-0.97006857140792047</v>
      </c>
      <c r="I221" s="9">
        <f t="shared" si="41"/>
        <v>-9.7480438857763582E-3</v>
      </c>
      <c r="J221" s="9">
        <f t="shared" si="42"/>
        <v>99347.371428571438</v>
      </c>
      <c r="K221" s="9">
        <f t="shared" si="33"/>
        <v>100536.05933333331</v>
      </c>
      <c r="L221" s="9">
        <f t="shared" si="44"/>
        <v>105590.63833333335</v>
      </c>
      <c r="M221" s="9">
        <f t="shared" si="43"/>
        <v>7.3028366327926733E-3</v>
      </c>
      <c r="N221" s="9">
        <f t="shared" si="34"/>
        <v>6.2851356541564598E-3</v>
      </c>
    </row>
    <row r="222" spans="1:14" x14ac:dyDescent="0.35">
      <c r="A222" s="1">
        <v>42691</v>
      </c>
      <c r="B222" s="2" t="s">
        <v>222</v>
      </c>
      <c r="C222">
        <f t="shared" si="35"/>
        <v>97353.34</v>
      </c>
      <c r="D222">
        <f t="shared" si="36"/>
        <v>2016</v>
      </c>
      <c r="E222">
        <f t="shared" si="37"/>
        <v>11</v>
      </c>
      <c r="F222" t="str">
        <f t="shared" si="39"/>
        <v>November</v>
      </c>
      <c r="G222">
        <f t="shared" si="38"/>
        <v>17</v>
      </c>
      <c r="H222" s="7">
        <f t="shared" si="40"/>
        <v>-1.3514739063587666</v>
      </c>
      <c r="I222" s="9">
        <f t="shared" si="41"/>
        <v>-1.3606894394981682E-2</v>
      </c>
      <c r="J222" s="9">
        <f t="shared" si="42"/>
        <v>99155.507142857139</v>
      </c>
      <c r="K222" s="9">
        <f t="shared" si="33"/>
        <v>100385.87399999998</v>
      </c>
      <c r="L222" s="9">
        <f t="shared" si="44"/>
        <v>105454.1051111111</v>
      </c>
      <c r="M222" s="9">
        <f t="shared" si="43"/>
        <v>8.7484342773387867E-3</v>
      </c>
      <c r="N222" s="9">
        <f t="shared" si="34"/>
        <v>6.6833067317329303E-3</v>
      </c>
    </row>
    <row r="223" spans="1:14" x14ac:dyDescent="0.35">
      <c r="A223" s="1">
        <v>42692</v>
      </c>
      <c r="B223" s="2" t="s">
        <v>223</v>
      </c>
      <c r="C223">
        <f t="shared" si="35"/>
        <v>97064.25</v>
      </c>
      <c r="D223">
        <f t="shared" si="36"/>
        <v>2016</v>
      </c>
      <c r="E223">
        <f t="shared" si="37"/>
        <v>11</v>
      </c>
      <c r="F223" t="str">
        <f t="shared" si="39"/>
        <v>November</v>
      </c>
      <c r="G223">
        <f t="shared" si="38"/>
        <v>18</v>
      </c>
      <c r="H223" s="7">
        <f t="shared" si="40"/>
        <v>-0.29694923666717188</v>
      </c>
      <c r="I223" s="9">
        <f t="shared" si="41"/>
        <v>-2.9739100568286769E-3</v>
      </c>
      <c r="J223" s="9">
        <f t="shared" si="42"/>
        <v>98890.56142857144</v>
      </c>
      <c r="K223" s="9">
        <f t="shared" si="33"/>
        <v>100221.124</v>
      </c>
      <c r="L223" s="9">
        <f t="shared" si="44"/>
        <v>105289.29955555557</v>
      </c>
      <c r="M223" s="9">
        <f t="shared" si="43"/>
        <v>8.5501227258948341E-3</v>
      </c>
      <c r="N223" s="9">
        <f t="shared" si="34"/>
        <v>6.6645601874232045E-3</v>
      </c>
    </row>
    <row r="224" spans="1:14" x14ac:dyDescent="0.35">
      <c r="A224" s="1">
        <v>42695</v>
      </c>
      <c r="B224" s="2" t="s">
        <v>224</v>
      </c>
      <c r="C224">
        <f t="shared" si="35"/>
        <v>97019.36</v>
      </c>
      <c r="D224">
        <f t="shared" si="36"/>
        <v>2016</v>
      </c>
      <c r="E224">
        <f t="shared" si="37"/>
        <v>11</v>
      </c>
      <c r="F224" t="str">
        <f t="shared" si="39"/>
        <v>November</v>
      </c>
      <c r="G224">
        <f t="shared" si="38"/>
        <v>21</v>
      </c>
      <c r="H224" s="7">
        <f t="shared" si="40"/>
        <v>-4.6247717362468077E-2</v>
      </c>
      <c r="I224" s="9">
        <f t="shared" si="41"/>
        <v>-4.6258414917652084E-4</v>
      </c>
      <c r="J224" s="9">
        <f t="shared" si="42"/>
        <v>98468.881428571432</v>
      </c>
      <c r="K224" s="9">
        <f t="shared" ref="K224:K287" si="45">AVERAGE(C195:C224)</f>
        <v>100040.66399999998</v>
      </c>
      <c r="L224" s="9">
        <f t="shared" si="44"/>
        <v>105122.63311111112</v>
      </c>
      <c r="M224" s="9">
        <f t="shared" si="43"/>
        <v>6.4515009987364137E-3</v>
      </c>
      <c r="N224" s="9">
        <f t="shared" si="34"/>
        <v>6.5779871495116925E-3</v>
      </c>
    </row>
    <row r="225" spans="1:14" x14ac:dyDescent="0.35">
      <c r="A225" s="1">
        <v>42696</v>
      </c>
      <c r="B225" s="2" t="s">
        <v>225</v>
      </c>
      <c r="C225">
        <f t="shared" si="35"/>
        <v>96799.66</v>
      </c>
      <c r="D225">
        <f t="shared" si="36"/>
        <v>2016</v>
      </c>
      <c r="E225">
        <f t="shared" si="37"/>
        <v>11</v>
      </c>
      <c r="F225" t="str">
        <f t="shared" si="39"/>
        <v>November</v>
      </c>
      <c r="G225">
        <f t="shared" si="38"/>
        <v>22</v>
      </c>
      <c r="H225" s="7">
        <f t="shared" si="40"/>
        <v>-0.22644964881235774</v>
      </c>
      <c r="I225" s="9">
        <f t="shared" si="41"/>
        <v>-2.2670643376191133E-3</v>
      </c>
      <c r="J225" s="9">
        <f t="shared" si="42"/>
        <v>97985.998571428572</v>
      </c>
      <c r="K225" s="9">
        <f t="shared" si="45"/>
        <v>99834.703666666654</v>
      </c>
      <c r="L225" s="9">
        <f t="shared" si="44"/>
        <v>104971.6081111111</v>
      </c>
      <c r="M225" s="9">
        <f t="shared" si="43"/>
        <v>5.9237081757689894E-3</v>
      </c>
      <c r="N225" s="9">
        <f t="shared" ref="N225:N288" si="46">STDEV(I196:I225)</f>
        <v>6.4392023098752364E-3</v>
      </c>
    </row>
    <row r="226" spans="1:14" x14ac:dyDescent="0.35">
      <c r="A226" s="1">
        <v>42697</v>
      </c>
      <c r="B226" s="2" t="s">
        <v>226</v>
      </c>
      <c r="C226">
        <f t="shared" si="35"/>
        <v>97221.58</v>
      </c>
      <c r="D226">
        <f t="shared" si="36"/>
        <v>2016</v>
      </c>
      <c r="E226">
        <f t="shared" si="37"/>
        <v>11</v>
      </c>
      <c r="F226" t="str">
        <f t="shared" si="39"/>
        <v>November</v>
      </c>
      <c r="G226">
        <f t="shared" si="38"/>
        <v>23</v>
      </c>
      <c r="H226" s="7">
        <f t="shared" si="40"/>
        <v>0.43586929954092629</v>
      </c>
      <c r="I226" s="9">
        <f t="shared" si="41"/>
        <v>4.3492214056229488E-3</v>
      </c>
      <c r="J226" s="9">
        <f t="shared" si="42"/>
        <v>97685.577142857132</v>
      </c>
      <c r="K226" s="9">
        <f t="shared" si="45"/>
        <v>99651.306333333298</v>
      </c>
      <c r="L226" s="9">
        <f t="shared" si="44"/>
        <v>104803.91255555555</v>
      </c>
      <c r="M226" s="9">
        <f t="shared" si="43"/>
        <v>6.5677940780435526E-3</v>
      </c>
      <c r="N226" s="9">
        <f t="shared" si="46"/>
        <v>6.5438037064207543E-3</v>
      </c>
    </row>
    <row r="227" spans="1:14" x14ac:dyDescent="0.35">
      <c r="A227" s="1">
        <v>42698</v>
      </c>
      <c r="B227" s="2" t="s">
        <v>227</v>
      </c>
      <c r="C227">
        <f t="shared" si="35"/>
        <v>97364.46</v>
      </c>
      <c r="D227">
        <f t="shared" si="36"/>
        <v>2016</v>
      </c>
      <c r="E227">
        <f t="shared" si="37"/>
        <v>11</v>
      </c>
      <c r="F227" t="str">
        <f t="shared" si="39"/>
        <v>November</v>
      </c>
      <c r="G227">
        <f t="shared" si="38"/>
        <v>24</v>
      </c>
      <c r="H227" s="7">
        <f t="shared" si="40"/>
        <v>0.14696325651157352</v>
      </c>
      <c r="I227" s="9">
        <f t="shared" si="41"/>
        <v>1.4685537120599341E-3</v>
      </c>
      <c r="J227" s="9">
        <f t="shared" si="42"/>
        <v>97358.531428571427</v>
      </c>
      <c r="K227" s="9">
        <f t="shared" si="45"/>
        <v>99505.105333333311</v>
      </c>
      <c r="L227" s="9">
        <f t="shared" si="44"/>
        <v>104641.59311111111</v>
      </c>
      <c r="M227" s="9">
        <f t="shared" si="43"/>
        <v>6.3018572016605677E-3</v>
      </c>
      <c r="N227" s="9">
        <f t="shared" si="46"/>
        <v>6.4049860423984976E-3</v>
      </c>
    </row>
    <row r="228" spans="1:14" x14ac:dyDescent="0.35">
      <c r="A228" s="1">
        <v>42699</v>
      </c>
      <c r="B228" s="2" t="s">
        <v>228</v>
      </c>
      <c r="C228">
        <f t="shared" si="35"/>
        <v>97230.02</v>
      </c>
      <c r="D228">
        <f t="shared" si="36"/>
        <v>2016</v>
      </c>
      <c r="E228">
        <f t="shared" si="37"/>
        <v>11</v>
      </c>
      <c r="F228" t="str">
        <f t="shared" si="39"/>
        <v>November</v>
      </c>
      <c r="G228">
        <f t="shared" si="38"/>
        <v>25</v>
      </c>
      <c r="H228" s="7">
        <f t="shared" si="40"/>
        <v>-0.1380791307218284</v>
      </c>
      <c r="I228" s="9">
        <f t="shared" si="41"/>
        <v>-1.3817454779768889E-3</v>
      </c>
      <c r="J228" s="9">
        <f t="shared" si="42"/>
        <v>97150.381428571432</v>
      </c>
      <c r="K228" s="9">
        <f t="shared" si="45"/>
        <v>99377.57699999999</v>
      </c>
      <c r="L228" s="9">
        <f t="shared" si="44"/>
        <v>104454.75388888891</v>
      </c>
      <c r="M228" s="9">
        <f t="shared" si="43"/>
        <v>5.6379658602293617E-3</v>
      </c>
      <c r="N228" s="9">
        <f t="shared" si="46"/>
        <v>6.323855460965852E-3</v>
      </c>
    </row>
    <row r="229" spans="1:14" x14ac:dyDescent="0.35">
      <c r="A229" s="1">
        <v>42702</v>
      </c>
      <c r="B229" s="2" t="s">
        <v>229</v>
      </c>
      <c r="C229">
        <f t="shared" si="35"/>
        <v>97255.74</v>
      </c>
      <c r="D229">
        <f t="shared" si="36"/>
        <v>2016</v>
      </c>
      <c r="E229">
        <f t="shared" si="37"/>
        <v>11</v>
      </c>
      <c r="F229" t="str">
        <f t="shared" si="39"/>
        <v>November</v>
      </c>
      <c r="G229">
        <f t="shared" si="38"/>
        <v>28</v>
      </c>
      <c r="H229" s="7">
        <f t="shared" si="40"/>
        <v>2.6452735482314169E-2</v>
      </c>
      <c r="I229" s="9">
        <f t="shared" si="41"/>
        <v>2.6449237363131248E-4</v>
      </c>
      <c r="J229" s="9">
        <f t="shared" si="42"/>
        <v>97136.438571428575</v>
      </c>
      <c r="K229" s="9">
        <f t="shared" si="45"/>
        <v>99246.23</v>
      </c>
      <c r="L229" s="9">
        <f t="shared" si="44"/>
        <v>104280.83466666671</v>
      </c>
      <c r="M229" s="9">
        <f t="shared" si="43"/>
        <v>2.4868163520814232E-3</v>
      </c>
      <c r="N229" s="9">
        <f t="shared" si="46"/>
        <v>6.3107963269728659E-3</v>
      </c>
    </row>
    <row r="230" spans="1:14" x14ac:dyDescent="0.35">
      <c r="A230" s="1">
        <v>42703</v>
      </c>
      <c r="B230" s="2" t="s">
        <v>230</v>
      </c>
      <c r="C230">
        <f t="shared" si="35"/>
        <v>97363.36</v>
      </c>
      <c r="D230">
        <f t="shared" si="36"/>
        <v>2016</v>
      </c>
      <c r="E230">
        <f t="shared" si="37"/>
        <v>11</v>
      </c>
      <c r="F230" t="str">
        <f t="shared" si="39"/>
        <v>November</v>
      </c>
      <c r="G230">
        <f t="shared" si="38"/>
        <v>29</v>
      </c>
      <c r="H230" s="7">
        <f t="shared" si="40"/>
        <v>0.11065670776860609</v>
      </c>
      <c r="I230" s="9">
        <f t="shared" si="41"/>
        <v>1.1059552836231138E-3</v>
      </c>
      <c r="J230" s="9">
        <f t="shared" si="42"/>
        <v>97179.168571428585</v>
      </c>
      <c r="K230" s="9">
        <f t="shared" si="45"/>
        <v>99120.254666666675</v>
      </c>
      <c r="L230" s="9">
        <f t="shared" si="44"/>
        <v>104127.23600000002</v>
      </c>
      <c r="M230" s="9">
        <f t="shared" si="43"/>
        <v>2.1708617615945444E-3</v>
      </c>
      <c r="N230" s="9">
        <f t="shared" si="46"/>
        <v>6.3249416550379654E-3</v>
      </c>
    </row>
    <row r="231" spans="1:14" x14ac:dyDescent="0.35">
      <c r="A231" s="1">
        <v>42704</v>
      </c>
      <c r="B231" s="2" t="s">
        <v>231</v>
      </c>
      <c r="C231">
        <f t="shared" si="35"/>
        <v>97182.71</v>
      </c>
      <c r="D231">
        <f t="shared" si="36"/>
        <v>2016</v>
      </c>
      <c r="E231">
        <f t="shared" si="37"/>
        <v>11</v>
      </c>
      <c r="F231" t="str">
        <f t="shared" si="39"/>
        <v>November</v>
      </c>
      <c r="G231">
        <f t="shared" si="38"/>
        <v>30</v>
      </c>
      <c r="H231" s="7">
        <f t="shared" si="40"/>
        <v>-0.18554207660868954</v>
      </c>
      <c r="I231" s="9">
        <f t="shared" si="41"/>
        <v>-1.857144191312434E-3</v>
      </c>
      <c r="J231" s="9">
        <f t="shared" si="42"/>
        <v>97202.504285714283</v>
      </c>
      <c r="K231" s="9">
        <f t="shared" si="45"/>
        <v>98961.334333333361</v>
      </c>
      <c r="L231" s="9">
        <f t="shared" si="44"/>
        <v>103975.4705555556</v>
      </c>
      <c r="M231" s="9">
        <f t="shared" si="43"/>
        <v>2.3259036317659688E-3</v>
      </c>
      <c r="N231" s="9">
        <f t="shared" si="46"/>
        <v>6.0805143543104737E-3</v>
      </c>
    </row>
    <row r="232" spans="1:14" x14ac:dyDescent="0.35">
      <c r="A232" s="1">
        <v>42705</v>
      </c>
      <c r="B232" s="2" t="s">
        <v>232</v>
      </c>
      <c r="C232">
        <f t="shared" si="35"/>
        <v>96937.03</v>
      </c>
      <c r="D232">
        <f t="shared" si="36"/>
        <v>2016</v>
      </c>
      <c r="E232">
        <f t="shared" si="37"/>
        <v>12</v>
      </c>
      <c r="F232" t="str">
        <f t="shared" si="39"/>
        <v>December</v>
      </c>
      <c r="G232">
        <f t="shared" si="38"/>
        <v>1</v>
      </c>
      <c r="H232" s="7">
        <f t="shared" si="40"/>
        <v>-0.25280217026259871</v>
      </c>
      <c r="I232" s="9">
        <f t="shared" si="41"/>
        <v>-2.5312225451614018E-3</v>
      </c>
      <c r="J232" s="9">
        <f t="shared" si="42"/>
        <v>97222.128571428577</v>
      </c>
      <c r="K232" s="9">
        <f t="shared" si="45"/>
        <v>98792.800666666677</v>
      </c>
      <c r="L232" s="9">
        <f t="shared" si="44"/>
        <v>103843.14377777782</v>
      </c>
      <c r="M232" s="9">
        <f t="shared" si="43"/>
        <v>2.3749902368758419E-3</v>
      </c>
      <c r="N232" s="9">
        <f t="shared" si="46"/>
        <v>6.0706444903953685E-3</v>
      </c>
    </row>
    <row r="233" spans="1:14" x14ac:dyDescent="0.35">
      <c r="A233" s="1">
        <v>42706</v>
      </c>
      <c r="B233" s="2" t="s">
        <v>233</v>
      </c>
      <c r="C233">
        <f t="shared" si="35"/>
        <v>96609.37</v>
      </c>
      <c r="D233">
        <f t="shared" si="36"/>
        <v>2016</v>
      </c>
      <c r="E233">
        <f t="shared" si="37"/>
        <v>12</v>
      </c>
      <c r="F233" t="str">
        <f t="shared" si="39"/>
        <v>December</v>
      </c>
      <c r="G233">
        <f t="shared" si="38"/>
        <v>2</v>
      </c>
      <c r="H233" s="7">
        <f t="shared" si="40"/>
        <v>-0.33801324426795776</v>
      </c>
      <c r="I233" s="9">
        <f t="shared" si="41"/>
        <v>-3.3858579960712107E-3</v>
      </c>
      <c r="J233" s="9">
        <f t="shared" si="42"/>
        <v>97134.670000000013</v>
      </c>
      <c r="K233" s="9">
        <f t="shared" si="45"/>
        <v>98603.832333333354</v>
      </c>
      <c r="L233" s="9">
        <f t="shared" si="44"/>
        <v>103693.24200000001</v>
      </c>
      <c r="M233" s="9">
        <f t="shared" si="43"/>
        <v>1.8698701076782455E-3</v>
      </c>
      <c r="N233" s="9">
        <f t="shared" si="46"/>
        <v>6.0176910721602373E-3</v>
      </c>
    </row>
    <row r="234" spans="1:14" x14ac:dyDescent="0.35">
      <c r="A234" s="1">
        <v>42709</v>
      </c>
      <c r="B234" s="2" t="s">
        <v>234</v>
      </c>
      <c r="C234">
        <f t="shared" si="35"/>
        <v>96911.35</v>
      </c>
      <c r="D234">
        <f t="shared" si="36"/>
        <v>2016</v>
      </c>
      <c r="E234">
        <f t="shared" si="37"/>
        <v>12</v>
      </c>
      <c r="F234" t="str">
        <f t="shared" si="39"/>
        <v>December</v>
      </c>
      <c r="G234">
        <f t="shared" si="38"/>
        <v>5</v>
      </c>
      <c r="H234" s="7">
        <f t="shared" si="40"/>
        <v>0.31257837619685386</v>
      </c>
      <c r="I234" s="9">
        <f t="shared" si="41"/>
        <v>3.1209086562808143E-3</v>
      </c>
      <c r="J234" s="9">
        <f t="shared" si="42"/>
        <v>97069.939999999988</v>
      </c>
      <c r="K234" s="9">
        <f t="shared" si="45"/>
        <v>98458.505333333334</v>
      </c>
      <c r="L234" s="9">
        <f t="shared" si="44"/>
        <v>103561.19122222223</v>
      </c>
      <c r="M234" s="9">
        <f t="shared" si="43"/>
        <v>2.2786734633337192E-3</v>
      </c>
      <c r="N234" s="9">
        <f t="shared" si="46"/>
        <v>5.8891883246757031E-3</v>
      </c>
    </row>
    <row r="235" spans="1:14" x14ac:dyDescent="0.35">
      <c r="A235" s="1">
        <v>42710</v>
      </c>
      <c r="B235" s="2" t="s">
        <v>235</v>
      </c>
      <c r="C235">
        <f t="shared" si="35"/>
        <v>96429.74</v>
      </c>
      <c r="D235">
        <f t="shared" si="36"/>
        <v>2016</v>
      </c>
      <c r="E235">
        <f t="shared" si="37"/>
        <v>12</v>
      </c>
      <c r="F235" t="str">
        <f t="shared" si="39"/>
        <v>December</v>
      </c>
      <c r="G235">
        <f t="shared" si="38"/>
        <v>6</v>
      </c>
      <c r="H235" s="7">
        <f t="shared" si="40"/>
        <v>-0.49695933448455787</v>
      </c>
      <c r="I235" s="9">
        <f t="shared" si="41"/>
        <v>-4.9819828380583435E-3</v>
      </c>
      <c r="J235" s="9">
        <f t="shared" si="42"/>
        <v>96955.614285714269</v>
      </c>
      <c r="K235" s="9">
        <f t="shared" si="45"/>
        <v>98318.484333333356</v>
      </c>
      <c r="L235" s="9">
        <f t="shared" si="44"/>
        <v>103439.50044444445</v>
      </c>
      <c r="M235" s="9">
        <f t="shared" si="43"/>
        <v>2.8111436375574234E-3</v>
      </c>
      <c r="N235" s="9">
        <f t="shared" si="46"/>
        <v>5.8553428349174159E-3</v>
      </c>
    </row>
    <row r="236" spans="1:14" x14ac:dyDescent="0.35">
      <c r="A236" s="1">
        <v>42711</v>
      </c>
      <c r="B236" s="2" t="s">
        <v>236</v>
      </c>
      <c r="C236">
        <f t="shared" si="35"/>
        <v>95862.28</v>
      </c>
      <c r="D236">
        <f t="shared" si="36"/>
        <v>2016</v>
      </c>
      <c r="E236">
        <f t="shared" si="37"/>
        <v>12</v>
      </c>
      <c r="F236" t="str">
        <f t="shared" si="39"/>
        <v>December</v>
      </c>
      <c r="G236">
        <f t="shared" si="38"/>
        <v>7</v>
      </c>
      <c r="H236" s="7">
        <f t="shared" si="40"/>
        <v>-0.58846990565359436</v>
      </c>
      <c r="I236" s="9">
        <f t="shared" si="41"/>
        <v>-5.9020821276720174E-3</v>
      </c>
      <c r="J236" s="9">
        <f t="shared" si="42"/>
        <v>96756.548571428561</v>
      </c>
      <c r="K236" s="9">
        <f t="shared" si="45"/>
        <v>98152.05333333333</v>
      </c>
      <c r="L236" s="9">
        <f t="shared" si="44"/>
        <v>103292.62655555556</v>
      </c>
      <c r="M236" s="9">
        <f t="shared" si="43"/>
        <v>3.2193619473050786E-3</v>
      </c>
      <c r="N236" s="9">
        <f t="shared" si="46"/>
        <v>5.8686562675584293E-3</v>
      </c>
    </row>
    <row r="237" spans="1:14" x14ac:dyDescent="0.35">
      <c r="A237" s="1">
        <v>42712</v>
      </c>
      <c r="B237" s="2" t="s">
        <v>237</v>
      </c>
      <c r="C237">
        <f t="shared" si="35"/>
        <v>95968.26</v>
      </c>
      <c r="D237">
        <f t="shared" si="36"/>
        <v>2016</v>
      </c>
      <c r="E237">
        <f t="shared" si="37"/>
        <v>12</v>
      </c>
      <c r="F237" t="str">
        <f t="shared" si="39"/>
        <v>December</v>
      </c>
      <c r="G237">
        <f t="shared" si="38"/>
        <v>8</v>
      </c>
      <c r="H237" s="7">
        <f t="shared" si="40"/>
        <v>0.1105544328801651</v>
      </c>
      <c r="I237" s="9">
        <f t="shared" si="41"/>
        <v>1.1049336647062935E-3</v>
      </c>
      <c r="J237" s="9">
        <f t="shared" si="42"/>
        <v>96557.248571428572</v>
      </c>
      <c r="K237" s="9">
        <f t="shared" si="45"/>
        <v>97996.21666666666</v>
      </c>
      <c r="L237" s="9">
        <f t="shared" si="44"/>
        <v>103145.12322222222</v>
      </c>
      <c r="M237" s="9">
        <f t="shared" si="43"/>
        <v>3.2191944345971515E-3</v>
      </c>
      <c r="N237" s="9">
        <f t="shared" si="46"/>
        <v>5.8901047118398329E-3</v>
      </c>
    </row>
    <row r="238" spans="1:14" x14ac:dyDescent="0.35">
      <c r="A238" s="1">
        <v>42713</v>
      </c>
      <c r="B238" s="2" t="s">
        <v>238</v>
      </c>
      <c r="C238">
        <f t="shared" si="35"/>
        <v>95311.22</v>
      </c>
      <c r="D238">
        <f t="shared" si="36"/>
        <v>2016</v>
      </c>
      <c r="E238">
        <f t="shared" si="37"/>
        <v>12</v>
      </c>
      <c r="F238" t="str">
        <f t="shared" si="39"/>
        <v>December</v>
      </c>
      <c r="G238">
        <f t="shared" si="38"/>
        <v>9</v>
      </c>
      <c r="H238" s="7">
        <f t="shared" si="40"/>
        <v>-0.68464302676738498</v>
      </c>
      <c r="I238" s="9">
        <f t="shared" si="41"/>
        <v>-6.8699745959832853E-3</v>
      </c>
      <c r="J238" s="9">
        <f t="shared" si="42"/>
        <v>96289.892857142855</v>
      </c>
      <c r="K238" s="9">
        <f t="shared" si="45"/>
        <v>97834.83166666668</v>
      </c>
      <c r="L238" s="9">
        <f t="shared" si="44"/>
        <v>102985.58366666666</v>
      </c>
      <c r="M238" s="9">
        <f t="shared" si="43"/>
        <v>3.6893173068968644E-3</v>
      </c>
      <c r="N238" s="9">
        <f t="shared" si="46"/>
        <v>5.9393625111046622E-3</v>
      </c>
    </row>
    <row r="239" spans="1:14" x14ac:dyDescent="0.35">
      <c r="A239" s="1">
        <v>42716</v>
      </c>
      <c r="B239" s="2" t="s">
        <v>239</v>
      </c>
      <c r="C239">
        <f t="shared" si="35"/>
        <v>95887.03</v>
      </c>
      <c r="D239">
        <f t="shared" si="36"/>
        <v>2016</v>
      </c>
      <c r="E239">
        <f t="shared" si="37"/>
        <v>12</v>
      </c>
      <c r="F239" t="str">
        <f t="shared" si="39"/>
        <v>December</v>
      </c>
      <c r="G239">
        <f t="shared" si="38"/>
        <v>12</v>
      </c>
      <c r="H239" s="7">
        <f t="shared" si="40"/>
        <v>0.60413663784809146</v>
      </c>
      <c r="I239" s="9">
        <f t="shared" si="41"/>
        <v>6.0231904926751414E-3</v>
      </c>
      <c r="J239" s="9">
        <f t="shared" si="42"/>
        <v>96139.892857142855</v>
      </c>
      <c r="K239" s="9">
        <f t="shared" si="45"/>
        <v>97708.594666666671</v>
      </c>
      <c r="L239" s="9">
        <f t="shared" si="44"/>
        <v>102824.64788888887</v>
      </c>
      <c r="M239" s="9">
        <f t="shared" si="43"/>
        <v>4.9767905562886896E-3</v>
      </c>
      <c r="N239" s="9">
        <f t="shared" si="46"/>
        <v>6.0690219743849694E-3</v>
      </c>
    </row>
    <row r="240" spans="1:14" x14ac:dyDescent="0.35">
      <c r="A240" s="1">
        <v>42717</v>
      </c>
      <c r="B240" s="2" t="s">
        <v>240</v>
      </c>
      <c r="C240">
        <f t="shared" si="35"/>
        <v>95128.2</v>
      </c>
      <c r="D240">
        <f t="shared" si="36"/>
        <v>2016</v>
      </c>
      <c r="E240">
        <f t="shared" si="37"/>
        <v>12</v>
      </c>
      <c r="F240" t="str">
        <f t="shared" si="39"/>
        <v>December</v>
      </c>
      <c r="G240">
        <f t="shared" si="38"/>
        <v>13</v>
      </c>
      <c r="H240" s="7">
        <f t="shared" si="40"/>
        <v>-0.7913791886139363</v>
      </c>
      <c r="I240" s="9">
        <f t="shared" si="41"/>
        <v>-7.9452721325555115E-3</v>
      </c>
      <c r="J240" s="9">
        <f t="shared" si="42"/>
        <v>95928.297142857133</v>
      </c>
      <c r="K240" s="9">
        <f t="shared" si="45"/>
        <v>97569.132666666686</v>
      </c>
      <c r="L240" s="9">
        <f t="shared" si="44"/>
        <v>102661.42255555555</v>
      </c>
      <c r="M240" s="9">
        <f t="shared" si="43"/>
        <v>5.5244428285117194E-3</v>
      </c>
      <c r="N240" s="9">
        <f t="shared" si="46"/>
        <v>6.1764380066956313E-3</v>
      </c>
    </row>
    <row r="241" spans="1:14" x14ac:dyDescent="0.35">
      <c r="A241" s="1">
        <v>42718</v>
      </c>
      <c r="B241" s="2" t="s">
        <v>241</v>
      </c>
      <c r="C241">
        <f t="shared" si="35"/>
        <v>94710.48</v>
      </c>
      <c r="D241">
        <f t="shared" si="36"/>
        <v>2016</v>
      </c>
      <c r="E241">
        <f t="shared" si="37"/>
        <v>12</v>
      </c>
      <c r="F241" t="str">
        <f t="shared" si="39"/>
        <v>December</v>
      </c>
      <c r="G241">
        <f t="shared" si="38"/>
        <v>14</v>
      </c>
      <c r="H241" s="7">
        <f t="shared" si="40"/>
        <v>-0.43911269213545634</v>
      </c>
      <c r="I241" s="9">
        <f t="shared" si="41"/>
        <v>-4.4007962356809021E-3</v>
      </c>
      <c r="J241" s="9">
        <f t="shared" si="42"/>
        <v>95613.887142857144</v>
      </c>
      <c r="K241" s="9">
        <f t="shared" si="45"/>
        <v>97468.010333333354</v>
      </c>
      <c r="L241" s="9">
        <f t="shared" si="44"/>
        <v>102505.902</v>
      </c>
      <c r="M241" s="9">
        <f t="shared" si="43"/>
        <v>5.0242396142578874E-3</v>
      </c>
      <c r="N241" s="9">
        <f t="shared" si="46"/>
        <v>5.5740865358650535E-3</v>
      </c>
    </row>
    <row r="242" spans="1:14" x14ac:dyDescent="0.35">
      <c r="A242" s="1">
        <v>42719</v>
      </c>
      <c r="B242" s="2" t="s">
        <v>242</v>
      </c>
      <c r="C242">
        <f t="shared" si="35"/>
        <v>94914.7</v>
      </c>
      <c r="D242">
        <f t="shared" si="36"/>
        <v>2016</v>
      </c>
      <c r="E242">
        <f t="shared" si="37"/>
        <v>12</v>
      </c>
      <c r="F242" t="str">
        <f t="shared" si="39"/>
        <v>December</v>
      </c>
      <c r="G242">
        <f t="shared" si="38"/>
        <v>15</v>
      </c>
      <c r="H242" s="7">
        <f t="shared" si="40"/>
        <v>0.21562555696054034</v>
      </c>
      <c r="I242" s="9">
        <f t="shared" si="41"/>
        <v>2.1539341869618164E-3</v>
      </c>
      <c r="J242" s="9">
        <f t="shared" si="42"/>
        <v>95397.452857142867</v>
      </c>
      <c r="K242" s="9">
        <f t="shared" si="45"/>
        <v>97347.85000000002</v>
      </c>
      <c r="L242" s="9">
        <f t="shared" si="44"/>
        <v>102333.35722222223</v>
      </c>
      <c r="M242" s="9">
        <f t="shared" si="43"/>
        <v>5.3360215701039561E-3</v>
      </c>
      <c r="N242" s="9">
        <f t="shared" si="46"/>
        <v>5.3500598349438717E-3</v>
      </c>
    </row>
    <row r="243" spans="1:14" x14ac:dyDescent="0.35">
      <c r="A243" s="1">
        <v>42723</v>
      </c>
      <c r="B243" s="2" t="s">
        <v>243</v>
      </c>
      <c r="C243">
        <f t="shared" si="35"/>
        <v>94992.81</v>
      </c>
      <c r="D243">
        <f t="shared" si="36"/>
        <v>2016</v>
      </c>
      <c r="E243">
        <f t="shared" si="37"/>
        <v>12</v>
      </c>
      <c r="F243" t="str">
        <f t="shared" si="39"/>
        <v>December</v>
      </c>
      <c r="G243">
        <f t="shared" si="38"/>
        <v>19</v>
      </c>
      <c r="H243" s="7">
        <f t="shared" si="40"/>
        <v>8.2294944829410605E-2</v>
      </c>
      <c r="I243" s="9">
        <f t="shared" si="41"/>
        <v>8.2261101106195626E-4</v>
      </c>
      <c r="J243" s="9">
        <f t="shared" si="42"/>
        <v>95273.242857142846</v>
      </c>
      <c r="K243" s="9">
        <f t="shared" si="45"/>
        <v>97203.787000000011</v>
      </c>
      <c r="L243" s="9">
        <f t="shared" si="44"/>
        <v>102158.35855555555</v>
      </c>
      <c r="M243" s="9">
        <f t="shared" si="43"/>
        <v>5.1744104547727177E-3</v>
      </c>
      <c r="N243" s="9">
        <f t="shared" si="46"/>
        <v>5.0734372858960083E-3</v>
      </c>
    </row>
    <row r="244" spans="1:14" x14ac:dyDescent="0.35">
      <c r="A244" s="1">
        <v>42724</v>
      </c>
      <c r="B244" s="2" t="s">
        <v>244</v>
      </c>
      <c r="C244">
        <f t="shared" si="35"/>
        <v>94657.07</v>
      </c>
      <c r="D244">
        <f t="shared" si="36"/>
        <v>2016</v>
      </c>
      <c r="E244">
        <f t="shared" si="37"/>
        <v>12</v>
      </c>
      <c r="F244" t="str">
        <f t="shared" si="39"/>
        <v>December</v>
      </c>
      <c r="G244">
        <f t="shared" si="38"/>
        <v>20</v>
      </c>
      <c r="H244" s="7">
        <f t="shared" si="40"/>
        <v>-0.35343727593697954</v>
      </c>
      <c r="I244" s="9">
        <f t="shared" si="41"/>
        <v>-3.5406334107743772E-3</v>
      </c>
      <c r="J244" s="9">
        <f t="shared" si="42"/>
        <v>95085.930000000008</v>
      </c>
      <c r="K244" s="9">
        <f t="shared" si="45"/>
        <v>97053.520666666664</v>
      </c>
      <c r="L244" s="9">
        <f t="shared" si="44"/>
        <v>102000.80222222222</v>
      </c>
      <c r="M244" s="9">
        <f t="shared" si="43"/>
        <v>5.1118446655506666E-3</v>
      </c>
      <c r="N244" s="9">
        <f t="shared" si="46"/>
        <v>5.0873351375656283E-3</v>
      </c>
    </row>
    <row r="245" spans="1:14" x14ac:dyDescent="0.35">
      <c r="A245" s="1">
        <v>42725</v>
      </c>
      <c r="B245" s="2" t="s">
        <v>245</v>
      </c>
      <c r="C245">
        <f t="shared" si="35"/>
        <v>95324.34</v>
      </c>
      <c r="D245">
        <f t="shared" si="36"/>
        <v>2016</v>
      </c>
      <c r="E245">
        <f t="shared" si="37"/>
        <v>12</v>
      </c>
      <c r="F245" t="str">
        <f t="shared" si="39"/>
        <v>December</v>
      </c>
      <c r="G245">
        <f t="shared" si="38"/>
        <v>21</v>
      </c>
      <c r="H245" s="7">
        <f t="shared" si="40"/>
        <v>0.70493413751343603</v>
      </c>
      <c r="I245" s="9">
        <f t="shared" si="41"/>
        <v>7.0246109224729762E-3</v>
      </c>
      <c r="J245" s="9">
        <f t="shared" si="42"/>
        <v>95087.804285714286</v>
      </c>
      <c r="K245" s="9">
        <f t="shared" si="45"/>
        <v>96941.118999999992</v>
      </c>
      <c r="L245" s="9">
        <f t="shared" si="44"/>
        <v>101849.93933333334</v>
      </c>
      <c r="M245" s="9">
        <f t="shared" si="43"/>
        <v>5.5672829820379013E-3</v>
      </c>
      <c r="N245" s="9">
        <f t="shared" si="46"/>
        <v>5.2827673973222496E-3</v>
      </c>
    </row>
    <row r="246" spans="1:14" x14ac:dyDescent="0.35">
      <c r="A246" s="1">
        <v>42726</v>
      </c>
      <c r="B246" s="2" t="s">
        <v>246</v>
      </c>
      <c r="C246">
        <f t="shared" si="35"/>
        <v>97029.34</v>
      </c>
      <c r="D246">
        <f t="shared" si="36"/>
        <v>2016</v>
      </c>
      <c r="E246">
        <f t="shared" si="37"/>
        <v>12</v>
      </c>
      <c r="F246" t="str">
        <f t="shared" si="39"/>
        <v>December</v>
      </c>
      <c r="G246">
        <f t="shared" si="38"/>
        <v>22</v>
      </c>
      <c r="H246" s="7">
        <f t="shared" si="40"/>
        <v>1.7886302700863179</v>
      </c>
      <c r="I246" s="9">
        <f t="shared" si="41"/>
        <v>1.7728224956561775E-2</v>
      </c>
      <c r="J246" s="9">
        <f t="shared" si="42"/>
        <v>95250.991428571419</v>
      </c>
      <c r="K246" s="9">
        <f t="shared" si="45"/>
        <v>96878.134666666665</v>
      </c>
      <c r="L246" s="9">
        <f t="shared" si="44"/>
        <v>101691.09088888891</v>
      </c>
      <c r="M246" s="9">
        <f t="shared" si="43"/>
        <v>8.6018031327152102E-3</v>
      </c>
      <c r="N246" s="9">
        <f t="shared" si="46"/>
        <v>6.2874392443497658E-3</v>
      </c>
    </row>
    <row r="247" spans="1:14" x14ac:dyDescent="0.35">
      <c r="A247" s="1">
        <v>42727</v>
      </c>
      <c r="B247" s="2" t="s">
        <v>247</v>
      </c>
      <c r="C247">
        <f t="shared" si="35"/>
        <v>96404.14</v>
      </c>
      <c r="D247">
        <f t="shared" si="36"/>
        <v>2016</v>
      </c>
      <c r="E247">
        <f t="shared" si="37"/>
        <v>12</v>
      </c>
      <c r="F247" t="str">
        <f t="shared" si="39"/>
        <v>December</v>
      </c>
      <c r="G247">
        <f t="shared" si="38"/>
        <v>23</v>
      </c>
      <c r="H247" s="7">
        <f t="shared" si="40"/>
        <v>-0.64434118587222911</v>
      </c>
      <c r="I247" s="9">
        <f t="shared" si="41"/>
        <v>-6.4642602416447748E-3</v>
      </c>
      <c r="J247" s="9">
        <f t="shared" si="42"/>
        <v>95433.268571428576</v>
      </c>
      <c r="K247" s="9">
        <f t="shared" si="45"/>
        <v>96759.23533333333</v>
      </c>
      <c r="L247" s="9">
        <f t="shared" si="44"/>
        <v>101531.84677777781</v>
      </c>
      <c r="M247" s="9">
        <f t="shared" si="43"/>
        <v>8.3394732678312832E-3</v>
      </c>
      <c r="N247" s="9">
        <f t="shared" si="46"/>
        <v>6.00185389988601E-3</v>
      </c>
    </row>
    <row r="248" spans="1:14" x14ac:dyDescent="0.35">
      <c r="A248" s="1">
        <v>42732</v>
      </c>
      <c r="B248" s="2" t="s">
        <v>248</v>
      </c>
      <c r="C248">
        <f t="shared" si="35"/>
        <v>96657</v>
      </c>
      <c r="D248">
        <f t="shared" si="36"/>
        <v>2016</v>
      </c>
      <c r="E248">
        <f t="shared" si="37"/>
        <v>12</v>
      </c>
      <c r="F248" t="str">
        <f t="shared" si="39"/>
        <v>December</v>
      </c>
      <c r="G248">
        <f t="shared" si="38"/>
        <v>28</v>
      </c>
      <c r="H248" s="7">
        <f t="shared" si="40"/>
        <v>0.26229164017230022</v>
      </c>
      <c r="I248" s="9">
        <f t="shared" si="41"/>
        <v>2.6194825596410733E-3</v>
      </c>
      <c r="J248" s="9">
        <f t="shared" si="42"/>
        <v>95711.342857142867</v>
      </c>
      <c r="K248" s="9">
        <f t="shared" si="45"/>
        <v>96641.807333333345</v>
      </c>
      <c r="L248" s="9">
        <f t="shared" si="44"/>
        <v>101349.99022222226</v>
      </c>
      <c r="M248" s="9">
        <f t="shared" si="43"/>
        <v>7.8635273285200622E-3</v>
      </c>
      <c r="N248" s="9">
        <f t="shared" si="46"/>
        <v>6.0127470489266879E-3</v>
      </c>
    </row>
    <row r="249" spans="1:14" x14ac:dyDescent="0.35">
      <c r="A249" s="1">
        <v>42733</v>
      </c>
      <c r="B249" s="2" t="s">
        <v>249</v>
      </c>
      <c r="C249">
        <f t="shared" si="35"/>
        <v>96413.48</v>
      </c>
      <c r="D249">
        <f t="shared" si="36"/>
        <v>2016</v>
      </c>
      <c r="E249">
        <f t="shared" si="37"/>
        <v>12</v>
      </c>
      <c r="F249" t="str">
        <f t="shared" si="39"/>
        <v>December</v>
      </c>
      <c r="G249">
        <f t="shared" si="38"/>
        <v>29</v>
      </c>
      <c r="H249" s="7">
        <f t="shared" si="40"/>
        <v>-0.25194243562287683</v>
      </c>
      <c r="I249" s="9">
        <f t="shared" si="41"/>
        <v>-2.5226034465464378E-3</v>
      </c>
      <c r="J249" s="9">
        <f t="shared" si="42"/>
        <v>95925.454285714281</v>
      </c>
      <c r="K249" s="9">
        <f t="shared" si="45"/>
        <v>96544.772333333327</v>
      </c>
      <c r="L249" s="9">
        <f t="shared" si="44"/>
        <v>101180.86666666671</v>
      </c>
      <c r="M249" s="9">
        <f t="shared" si="43"/>
        <v>8.1321671010146854E-3</v>
      </c>
      <c r="N249" s="9">
        <f t="shared" si="46"/>
        <v>5.8560490561252732E-3</v>
      </c>
    </row>
    <row r="250" spans="1:14" x14ac:dyDescent="0.35">
      <c r="A250" s="1">
        <v>42734</v>
      </c>
      <c r="B250" s="2" t="s">
        <v>250</v>
      </c>
      <c r="C250">
        <f t="shared" si="35"/>
        <v>96366.080000000002</v>
      </c>
      <c r="D250">
        <f t="shared" si="36"/>
        <v>2016</v>
      </c>
      <c r="E250">
        <f t="shared" si="37"/>
        <v>12</v>
      </c>
      <c r="F250" t="str">
        <f t="shared" si="39"/>
        <v>December</v>
      </c>
      <c r="G250">
        <f t="shared" si="38"/>
        <v>30</v>
      </c>
      <c r="H250" s="7">
        <f t="shared" si="40"/>
        <v>-4.916324978622718E-2</v>
      </c>
      <c r="I250" s="9">
        <f t="shared" si="41"/>
        <v>-4.9175338874301786E-4</v>
      </c>
      <c r="J250" s="9">
        <f t="shared" si="42"/>
        <v>96121.635714285701</v>
      </c>
      <c r="K250" s="9">
        <f t="shared" si="45"/>
        <v>96435.182333333345</v>
      </c>
      <c r="L250" s="9">
        <f t="shared" si="44"/>
        <v>101019.65211111115</v>
      </c>
      <c r="M250" s="9">
        <f t="shared" si="43"/>
        <v>8.1853000619437309E-3</v>
      </c>
      <c r="N250" s="9">
        <f t="shared" si="46"/>
        <v>5.8006418064749906E-3</v>
      </c>
    </row>
    <row r="251" spans="1:14" x14ac:dyDescent="0.35">
      <c r="A251" s="1">
        <v>42738</v>
      </c>
      <c r="B251" s="2" t="s">
        <v>251</v>
      </c>
      <c r="C251">
        <f t="shared" si="35"/>
        <v>96411.77</v>
      </c>
      <c r="D251">
        <f t="shared" si="36"/>
        <v>2017</v>
      </c>
      <c r="E251">
        <f t="shared" si="37"/>
        <v>1</v>
      </c>
      <c r="F251" t="str">
        <f t="shared" si="39"/>
        <v>January</v>
      </c>
      <c r="G251">
        <f t="shared" si="38"/>
        <v>3</v>
      </c>
      <c r="H251" s="7">
        <f t="shared" si="40"/>
        <v>4.7412948622588283E-2</v>
      </c>
      <c r="I251" s="9">
        <f t="shared" si="41"/>
        <v>4.7401712235625238E-4</v>
      </c>
      <c r="J251" s="9">
        <f t="shared" si="42"/>
        <v>96372.307142857142</v>
      </c>
      <c r="K251" s="9">
        <f t="shared" si="45"/>
        <v>96359.338999999978</v>
      </c>
      <c r="L251" s="9">
        <f t="shared" si="44"/>
        <v>100857.24044444445</v>
      </c>
      <c r="M251" s="9">
        <f t="shared" si="43"/>
        <v>7.8625415233121616E-3</v>
      </c>
      <c r="N251" s="9">
        <f t="shared" si="46"/>
        <v>5.5719587670549969E-3</v>
      </c>
    </row>
    <row r="252" spans="1:14" x14ac:dyDescent="0.35">
      <c r="A252" s="1">
        <v>42739</v>
      </c>
      <c r="B252" s="2" t="s">
        <v>252</v>
      </c>
      <c r="C252">
        <f t="shared" si="35"/>
        <v>95650.16</v>
      </c>
      <c r="D252">
        <f t="shared" si="36"/>
        <v>2017</v>
      </c>
      <c r="E252">
        <f t="shared" si="37"/>
        <v>1</v>
      </c>
      <c r="F252" t="str">
        <f t="shared" si="39"/>
        <v>January</v>
      </c>
      <c r="G252">
        <f t="shared" si="38"/>
        <v>4</v>
      </c>
      <c r="H252" s="7">
        <f t="shared" si="40"/>
        <v>-0.7899554172690747</v>
      </c>
      <c r="I252" s="9">
        <f t="shared" si="41"/>
        <v>-7.9309209489905712E-3</v>
      </c>
      <c r="J252" s="9">
        <f t="shared" si="42"/>
        <v>96418.852857142847</v>
      </c>
      <c r="K252" s="9">
        <f t="shared" si="45"/>
        <v>96302.566333333336</v>
      </c>
      <c r="L252" s="9">
        <f t="shared" si="44"/>
        <v>100697.54500000003</v>
      </c>
      <c r="M252" s="9">
        <f t="shared" si="43"/>
        <v>8.4754996915263232E-3</v>
      </c>
      <c r="N252" s="9">
        <f t="shared" si="46"/>
        <v>5.20563168607287E-3</v>
      </c>
    </row>
    <row r="253" spans="1:14" x14ac:dyDescent="0.35">
      <c r="A253" s="1">
        <v>42740</v>
      </c>
      <c r="B253" s="2" t="s">
        <v>253</v>
      </c>
      <c r="C253">
        <f t="shared" si="35"/>
        <v>94882.3</v>
      </c>
      <c r="D253">
        <f t="shared" si="36"/>
        <v>2017</v>
      </c>
      <c r="E253">
        <f t="shared" si="37"/>
        <v>1</v>
      </c>
      <c r="F253" t="str">
        <f t="shared" si="39"/>
        <v>January</v>
      </c>
      <c r="G253">
        <f t="shared" si="38"/>
        <v>5</v>
      </c>
      <c r="H253" s="7">
        <f t="shared" si="40"/>
        <v>-0.80277962943292569</v>
      </c>
      <c r="I253" s="9">
        <f t="shared" si="41"/>
        <v>-8.0601925478378297E-3</v>
      </c>
      <c r="J253" s="9">
        <f t="shared" si="42"/>
        <v>96112.13285714286</v>
      </c>
      <c r="K253" s="9">
        <f t="shared" si="45"/>
        <v>96229.834666666662</v>
      </c>
      <c r="L253" s="9">
        <f t="shared" si="44"/>
        <v>100526.8676666667</v>
      </c>
      <c r="M253" s="9">
        <f t="shared" si="43"/>
        <v>4.316955789251572E-3</v>
      </c>
      <c r="N253" s="9">
        <f t="shared" si="46"/>
        <v>5.3663540216211452E-3</v>
      </c>
    </row>
    <row r="254" spans="1:14" x14ac:dyDescent="0.35">
      <c r="A254" s="1">
        <v>42741</v>
      </c>
      <c r="B254" s="2" t="s">
        <v>254</v>
      </c>
      <c r="C254">
        <f t="shared" si="35"/>
        <v>95162.33</v>
      </c>
      <c r="D254">
        <f t="shared" si="36"/>
        <v>2017</v>
      </c>
      <c r="E254">
        <f t="shared" si="37"/>
        <v>1</v>
      </c>
      <c r="F254" t="str">
        <f t="shared" si="39"/>
        <v>January</v>
      </c>
      <c r="G254">
        <f t="shared" si="38"/>
        <v>6</v>
      </c>
      <c r="H254" s="7">
        <f t="shared" si="40"/>
        <v>0.29513407664021513</v>
      </c>
      <c r="I254" s="9">
        <f t="shared" si="41"/>
        <v>2.9469941104509302E-3</v>
      </c>
      <c r="J254" s="9">
        <f t="shared" si="42"/>
        <v>95934.731428571424</v>
      </c>
      <c r="K254" s="9">
        <f t="shared" si="45"/>
        <v>96167.933666666679</v>
      </c>
      <c r="L254" s="9">
        <f t="shared" si="44"/>
        <v>100351.21888888892</v>
      </c>
      <c r="M254" s="9">
        <f t="shared" si="43"/>
        <v>4.5867521318038017E-3</v>
      </c>
      <c r="N254" s="9">
        <f t="shared" si="46"/>
        <v>5.4087610692690954E-3</v>
      </c>
    </row>
    <row r="255" spans="1:14" x14ac:dyDescent="0.35">
      <c r="A255" s="1">
        <v>42744</v>
      </c>
      <c r="B255" s="2" t="s">
        <v>255</v>
      </c>
      <c r="C255">
        <f t="shared" si="35"/>
        <v>94330.84</v>
      </c>
      <c r="D255">
        <f t="shared" si="36"/>
        <v>2017</v>
      </c>
      <c r="E255">
        <f t="shared" si="37"/>
        <v>1</v>
      </c>
      <c r="F255" t="str">
        <f t="shared" si="39"/>
        <v>January</v>
      </c>
      <c r="G255">
        <f t="shared" si="38"/>
        <v>9</v>
      </c>
      <c r="H255" s="7">
        <f t="shared" si="40"/>
        <v>-0.87375960634844196</v>
      </c>
      <c r="I255" s="9">
        <f t="shared" si="41"/>
        <v>-8.7759926823521451E-3</v>
      </c>
      <c r="J255" s="9">
        <f t="shared" si="42"/>
        <v>95602.422857142854</v>
      </c>
      <c r="K255" s="9">
        <f t="shared" si="45"/>
        <v>96085.63966666667</v>
      </c>
      <c r="L255" s="9">
        <f t="shared" si="44"/>
        <v>100183.24055555557</v>
      </c>
      <c r="M255" s="9">
        <f t="shared" si="43"/>
        <v>4.7543511685211879E-3</v>
      </c>
      <c r="N255" s="9">
        <f t="shared" si="46"/>
        <v>5.6031585559803958E-3</v>
      </c>
    </row>
    <row r="256" spans="1:14" x14ac:dyDescent="0.35">
      <c r="A256" s="1">
        <v>42745</v>
      </c>
      <c r="B256" s="2" t="s">
        <v>256</v>
      </c>
      <c r="C256">
        <f t="shared" si="35"/>
        <v>94726.12</v>
      </c>
      <c r="D256">
        <f t="shared" si="36"/>
        <v>2017</v>
      </c>
      <c r="E256">
        <f t="shared" si="37"/>
        <v>1</v>
      </c>
      <c r="F256" t="str">
        <f t="shared" si="39"/>
        <v>January</v>
      </c>
      <c r="G256">
        <f t="shared" si="38"/>
        <v>10</v>
      </c>
      <c r="H256" s="7">
        <f t="shared" si="40"/>
        <v>0.41903581055781852</v>
      </c>
      <c r="I256" s="9">
        <f t="shared" si="41"/>
        <v>4.1816030045358559E-3</v>
      </c>
      <c r="J256" s="9">
        <f t="shared" si="42"/>
        <v>95361.371428571423</v>
      </c>
      <c r="K256" s="9">
        <f t="shared" si="45"/>
        <v>96002.457666666684</v>
      </c>
      <c r="L256" s="9">
        <f t="shared" si="44"/>
        <v>100014.35366666666</v>
      </c>
      <c r="M256" s="9">
        <f t="shared" si="43"/>
        <v>5.5825119197155252E-3</v>
      </c>
      <c r="N256" s="9">
        <f t="shared" si="46"/>
        <v>5.5978648345204529E-3</v>
      </c>
    </row>
    <row r="257" spans="1:14" x14ac:dyDescent="0.35">
      <c r="A257" s="1">
        <v>42746</v>
      </c>
      <c r="B257" s="2" t="s">
        <v>257</v>
      </c>
      <c r="C257">
        <f t="shared" si="35"/>
        <v>93868.87</v>
      </c>
      <c r="D257">
        <f t="shared" si="36"/>
        <v>2017</v>
      </c>
      <c r="E257">
        <f t="shared" si="37"/>
        <v>1</v>
      </c>
      <c r="F257" t="str">
        <f t="shared" si="39"/>
        <v>January</v>
      </c>
      <c r="G257">
        <f t="shared" si="38"/>
        <v>11</v>
      </c>
      <c r="H257" s="7">
        <f t="shared" si="40"/>
        <v>-0.90497742333371201</v>
      </c>
      <c r="I257" s="9">
        <f t="shared" si="41"/>
        <v>-9.0909721832953521E-3</v>
      </c>
      <c r="J257" s="9">
        <f t="shared" si="42"/>
        <v>95004.627142857149</v>
      </c>
      <c r="K257" s="9">
        <f t="shared" si="45"/>
        <v>95885.938000000024</v>
      </c>
      <c r="L257" s="9">
        <f t="shared" si="44"/>
        <v>99837.584222222227</v>
      </c>
      <c r="M257" s="9">
        <f t="shared" si="43"/>
        <v>5.9923120024555189E-3</v>
      </c>
      <c r="N257" s="9">
        <f t="shared" si="46"/>
        <v>5.7751361641305435E-3</v>
      </c>
    </row>
    <row r="258" spans="1:14" x14ac:dyDescent="0.35">
      <c r="A258" s="1">
        <v>42747</v>
      </c>
      <c r="B258" s="2" t="s">
        <v>258</v>
      </c>
      <c r="C258">
        <f t="shared" si="35"/>
        <v>93764.15</v>
      </c>
      <c r="D258">
        <f t="shared" si="36"/>
        <v>2017</v>
      </c>
      <c r="E258">
        <f t="shared" si="37"/>
        <v>1</v>
      </c>
      <c r="F258" t="str">
        <f t="shared" si="39"/>
        <v>January</v>
      </c>
      <c r="G258">
        <f t="shared" si="38"/>
        <v>12</v>
      </c>
      <c r="H258" s="7">
        <f t="shared" si="40"/>
        <v>-0.11155988135363852</v>
      </c>
      <c r="I258" s="9">
        <f t="shared" si="41"/>
        <v>-1.1162215570905125E-3</v>
      </c>
      <c r="J258" s="9">
        <f t="shared" si="42"/>
        <v>94626.395714285711</v>
      </c>
      <c r="K258" s="9">
        <f t="shared" si="45"/>
        <v>95770.409</v>
      </c>
      <c r="L258" s="9">
        <f t="shared" si="44"/>
        <v>99678.409666666674</v>
      </c>
      <c r="M258" s="9">
        <f t="shared" si="43"/>
        <v>5.833488647723907E-3</v>
      </c>
      <c r="N258" s="9">
        <f t="shared" si="46"/>
        <v>5.7750812123308851E-3</v>
      </c>
    </row>
    <row r="259" spans="1:14" x14ac:dyDescent="0.35">
      <c r="A259" s="1">
        <v>42748</v>
      </c>
      <c r="B259" s="2" t="s">
        <v>259</v>
      </c>
      <c r="C259">
        <f t="shared" ref="C259:C322" si="47">_xlfn.NUMBERVALUE(B259,".",",")</f>
        <v>93724.31</v>
      </c>
      <c r="D259">
        <f t="shared" ref="D259:D322" si="48">YEAR(A259)</f>
        <v>2017</v>
      </c>
      <c r="E259">
        <f t="shared" ref="E259:E322" si="49">MONTH(A259)</f>
        <v>1</v>
      </c>
      <c r="F259" t="str">
        <f t="shared" si="39"/>
        <v>January</v>
      </c>
      <c r="G259">
        <f t="shared" ref="G259:G322" si="50">DAY(A259)</f>
        <v>13</v>
      </c>
      <c r="H259" s="7">
        <f t="shared" si="40"/>
        <v>-4.2489586905012748E-2</v>
      </c>
      <c r="I259" s="9">
        <f t="shared" si="41"/>
        <v>-4.2498616287780258E-4</v>
      </c>
      <c r="J259" s="9">
        <f t="shared" si="42"/>
        <v>94351.274285714273</v>
      </c>
      <c r="K259" s="9">
        <f t="shared" si="45"/>
        <v>95652.694666666677</v>
      </c>
      <c r="L259" s="9">
        <f t="shared" si="44"/>
        <v>99512.570777777786</v>
      </c>
      <c r="M259" s="9">
        <f t="shared" si="43"/>
        <v>5.6734291225132528E-3</v>
      </c>
      <c r="N259" s="9">
        <f t="shared" si="46"/>
        <v>5.7703813940766686E-3</v>
      </c>
    </row>
    <row r="260" spans="1:14" x14ac:dyDescent="0.35">
      <c r="A260" s="1">
        <v>42751</v>
      </c>
      <c r="B260" s="2" t="s">
        <v>260</v>
      </c>
      <c r="C260">
        <f t="shared" si="47"/>
        <v>93528.74</v>
      </c>
      <c r="D260">
        <f t="shared" si="48"/>
        <v>2017</v>
      </c>
      <c r="E260">
        <f t="shared" si="49"/>
        <v>1</v>
      </c>
      <c r="F260" t="str">
        <f t="shared" ref="F260:F323" si="51">TEXT(A260,"mmmm")</f>
        <v>January</v>
      </c>
      <c r="G260">
        <f t="shared" si="50"/>
        <v>16</v>
      </c>
      <c r="H260" s="7">
        <f t="shared" ref="H260:H323" si="52">((C260-C259)/C259)*100</f>
        <v>-0.20866517982366845</v>
      </c>
      <c r="I260" s="9">
        <f t="shared" ref="I260:I323" si="53">LN(C260/C259)</f>
        <v>-2.0888318893554909E-3</v>
      </c>
      <c r="J260" s="9">
        <f t="shared" si="42"/>
        <v>94157.908571428547</v>
      </c>
      <c r="K260" s="9">
        <f t="shared" si="45"/>
        <v>95524.874000000011</v>
      </c>
      <c r="L260" s="9">
        <f t="shared" si="44"/>
        <v>99352.440333333347</v>
      </c>
      <c r="M260" s="9">
        <f t="shared" si="43"/>
        <v>5.1982555512644912E-3</v>
      </c>
      <c r="N260" s="9">
        <f t="shared" si="46"/>
        <v>5.7551896276289904E-3</v>
      </c>
    </row>
    <row r="261" spans="1:14" x14ac:dyDescent="0.35">
      <c r="A261" s="1">
        <v>42752</v>
      </c>
      <c r="B261" s="2" t="s">
        <v>261</v>
      </c>
      <c r="C261">
        <f t="shared" si="47"/>
        <v>93135.11</v>
      </c>
      <c r="D261">
        <f t="shared" si="48"/>
        <v>2017</v>
      </c>
      <c r="E261">
        <f t="shared" si="49"/>
        <v>1</v>
      </c>
      <c r="F261" t="str">
        <f t="shared" si="51"/>
        <v>January</v>
      </c>
      <c r="G261">
        <f t="shared" si="50"/>
        <v>17</v>
      </c>
      <c r="H261" s="7">
        <f t="shared" si="52"/>
        <v>-0.42086528696955033</v>
      </c>
      <c r="I261" s="9">
        <f t="shared" si="53"/>
        <v>-4.2175341768360894E-3</v>
      </c>
      <c r="J261" s="9">
        <f t="shared" si="42"/>
        <v>93868.305714285714</v>
      </c>
      <c r="K261" s="9">
        <f t="shared" si="45"/>
        <v>95389.953999999998</v>
      </c>
      <c r="L261" s="9">
        <f t="shared" si="44"/>
        <v>99195.679555555558</v>
      </c>
      <c r="M261" s="9">
        <f t="shared" si="43"/>
        <v>4.73442737221259E-3</v>
      </c>
      <c r="N261" s="9">
        <f t="shared" si="46"/>
        <v>5.7785991377158731E-3</v>
      </c>
    </row>
    <row r="262" spans="1:14" x14ac:dyDescent="0.35">
      <c r="A262" s="1">
        <v>42753</v>
      </c>
      <c r="B262" s="2" t="s">
        <v>262</v>
      </c>
      <c r="C262">
        <f t="shared" si="47"/>
        <v>93397.440000000002</v>
      </c>
      <c r="D262">
        <f t="shared" si="48"/>
        <v>2017</v>
      </c>
      <c r="E262">
        <f t="shared" si="49"/>
        <v>1</v>
      </c>
      <c r="F262" t="str">
        <f t="shared" si="51"/>
        <v>January</v>
      </c>
      <c r="G262">
        <f t="shared" si="50"/>
        <v>18</v>
      </c>
      <c r="H262" s="7">
        <f t="shared" si="52"/>
        <v>0.28166606556861501</v>
      </c>
      <c r="I262" s="9">
        <f t="shared" si="53"/>
        <v>2.8127013000930367E-3</v>
      </c>
      <c r="J262" s="9">
        <f t="shared" si="42"/>
        <v>93734.962857142862</v>
      </c>
      <c r="K262" s="9">
        <f t="shared" si="45"/>
        <v>95271.967666666678</v>
      </c>
      <c r="L262" s="9">
        <f t="shared" si="44"/>
        <v>99047.871777777793</v>
      </c>
      <c r="M262" s="9">
        <f t="shared" si="43"/>
        <v>4.42518164651851E-3</v>
      </c>
      <c r="N262" s="9">
        <f t="shared" si="46"/>
        <v>5.8252785830503586E-3</v>
      </c>
    </row>
    <row r="263" spans="1:14" x14ac:dyDescent="0.35">
      <c r="A263" s="1">
        <v>42754</v>
      </c>
      <c r="B263" s="2" t="s">
        <v>263</v>
      </c>
      <c r="C263">
        <f t="shared" si="47"/>
        <v>92763.22</v>
      </c>
      <c r="D263">
        <f t="shared" si="48"/>
        <v>2017</v>
      </c>
      <c r="E263">
        <f t="shared" si="49"/>
        <v>1</v>
      </c>
      <c r="F263" t="str">
        <f t="shared" si="51"/>
        <v>January</v>
      </c>
      <c r="G263">
        <f t="shared" si="50"/>
        <v>19</v>
      </c>
      <c r="H263" s="7">
        <f t="shared" si="52"/>
        <v>-0.67905501478413233</v>
      </c>
      <c r="I263" s="9">
        <f t="shared" si="53"/>
        <v>-6.8137108422823972E-3</v>
      </c>
      <c r="J263" s="9">
        <f t="shared" si="42"/>
        <v>93454.548571428546</v>
      </c>
      <c r="K263" s="9">
        <f t="shared" si="45"/>
        <v>95143.762666666677</v>
      </c>
      <c r="L263" s="9">
        <f t="shared" si="44"/>
        <v>98902.983333333352</v>
      </c>
      <c r="M263" s="9">
        <f t="shared" si="43"/>
        <v>4.0398688361039867E-3</v>
      </c>
      <c r="N263" s="9">
        <f t="shared" si="46"/>
        <v>5.9019361392787465E-3</v>
      </c>
    </row>
    <row r="264" spans="1:14" x14ac:dyDescent="0.35">
      <c r="A264" s="1">
        <v>42755</v>
      </c>
      <c r="B264" s="2" t="s">
        <v>264</v>
      </c>
      <c r="C264">
        <f t="shared" si="47"/>
        <v>92492.11</v>
      </c>
      <c r="D264">
        <f t="shared" si="48"/>
        <v>2017</v>
      </c>
      <c r="E264">
        <f t="shared" si="49"/>
        <v>1</v>
      </c>
      <c r="F264" t="str">
        <f t="shared" si="51"/>
        <v>January</v>
      </c>
      <c r="G264">
        <f t="shared" si="50"/>
        <v>20</v>
      </c>
      <c r="H264" s="7">
        <f t="shared" si="52"/>
        <v>-0.29226022986265526</v>
      </c>
      <c r="I264" s="9">
        <f t="shared" si="53"/>
        <v>-2.9268814402443302E-3</v>
      </c>
      <c r="J264" s="9">
        <f t="shared" si="42"/>
        <v>93257.868571428568</v>
      </c>
      <c r="K264" s="9">
        <f t="shared" si="45"/>
        <v>94996.454666666687</v>
      </c>
      <c r="L264" s="9">
        <f t="shared" si="44"/>
        <v>98745.193000000014</v>
      </c>
      <c r="M264" s="9">
        <f t="shared" si="43"/>
        <v>3.0357368797718437E-3</v>
      </c>
      <c r="N264" s="9">
        <f t="shared" si="46"/>
        <v>5.8468393779205546E-3</v>
      </c>
    </row>
    <row r="265" spans="1:14" x14ac:dyDescent="0.35">
      <c r="A265" s="1">
        <v>42758</v>
      </c>
      <c r="B265" s="2" t="s">
        <v>265</v>
      </c>
      <c r="C265">
        <f t="shared" si="47"/>
        <v>92618.55</v>
      </c>
      <c r="D265">
        <f t="shared" si="48"/>
        <v>2017</v>
      </c>
      <c r="E265">
        <f t="shared" si="49"/>
        <v>1</v>
      </c>
      <c r="F265" t="str">
        <f t="shared" si="51"/>
        <v>January</v>
      </c>
      <c r="G265">
        <f t="shared" si="50"/>
        <v>23</v>
      </c>
      <c r="H265" s="7">
        <f t="shared" si="52"/>
        <v>0.13670355233543957</v>
      </c>
      <c r="I265" s="9">
        <f t="shared" si="53"/>
        <v>1.3661019809868547E-3</v>
      </c>
      <c r="J265" s="9">
        <f t="shared" ref="J265:J328" si="54">AVERAGE(C259:C265)</f>
        <v>93094.21142857142</v>
      </c>
      <c r="K265" s="9">
        <f t="shared" si="45"/>
        <v>94869.415000000008</v>
      </c>
      <c r="L265" s="9">
        <f t="shared" si="44"/>
        <v>98596.920555555567</v>
      </c>
      <c r="M265" s="9">
        <f t="shared" si="43"/>
        <v>3.3043779010897062E-3</v>
      </c>
      <c r="N265" s="9">
        <f t="shared" si="46"/>
        <v>5.8334221452841714E-3</v>
      </c>
    </row>
    <row r="266" spans="1:14" x14ac:dyDescent="0.35">
      <c r="A266" s="1">
        <v>42759</v>
      </c>
      <c r="B266" s="2" t="s">
        <v>266</v>
      </c>
      <c r="C266">
        <f t="shared" si="47"/>
        <v>92338.44</v>
      </c>
      <c r="D266">
        <f t="shared" si="48"/>
        <v>2017</v>
      </c>
      <c r="E266">
        <f t="shared" si="49"/>
        <v>1</v>
      </c>
      <c r="F266" t="str">
        <f t="shared" si="51"/>
        <v>January</v>
      </c>
      <c r="G266">
        <f t="shared" si="50"/>
        <v>24</v>
      </c>
      <c r="H266" s="7">
        <f t="shared" si="52"/>
        <v>-0.30243401564805383</v>
      </c>
      <c r="I266" s="9">
        <f t="shared" si="53"/>
        <v>-3.0289227149811171E-3</v>
      </c>
      <c r="J266" s="9">
        <f t="shared" si="54"/>
        <v>92896.23000000001</v>
      </c>
      <c r="K266" s="9">
        <f t="shared" si="45"/>
        <v>94751.953666666668</v>
      </c>
      <c r="L266" s="9">
        <f t="shared" si="44"/>
        <v>98443.894000000029</v>
      </c>
      <c r="M266" s="9">
        <f t="shared" ref="M266:M329" si="55">STDEV(I260:I266)</f>
        <v>3.2759915657402713E-3</v>
      </c>
      <c r="N266" s="9">
        <f t="shared" si="46"/>
        <v>5.7793457641234329E-3</v>
      </c>
    </row>
    <row r="267" spans="1:14" x14ac:dyDescent="0.35">
      <c r="A267" s="1">
        <v>42760</v>
      </c>
      <c r="B267" s="2" t="s">
        <v>267</v>
      </c>
      <c r="C267">
        <f t="shared" si="47"/>
        <v>92473.98</v>
      </c>
      <c r="D267">
        <f t="shared" si="48"/>
        <v>2017</v>
      </c>
      <c r="E267">
        <f t="shared" si="49"/>
        <v>1</v>
      </c>
      <c r="F267" t="str">
        <f t="shared" si="51"/>
        <v>January</v>
      </c>
      <c r="G267">
        <f t="shared" si="50"/>
        <v>25</v>
      </c>
      <c r="H267" s="7">
        <f t="shared" si="52"/>
        <v>0.14678610554823493</v>
      </c>
      <c r="I267" s="9">
        <f t="shared" si="53"/>
        <v>1.4667848005097003E-3</v>
      </c>
      <c r="J267" s="9">
        <f t="shared" si="54"/>
        <v>92745.55</v>
      </c>
      <c r="K267" s="9">
        <f t="shared" si="45"/>
        <v>94635.477666666673</v>
      </c>
      <c r="L267" s="9">
        <f t="shared" si="44"/>
        <v>98300.01788888892</v>
      </c>
      <c r="M267" s="9">
        <f t="shared" si="55"/>
        <v>3.5475039202493177E-3</v>
      </c>
      <c r="N267" s="9">
        <f t="shared" si="46"/>
        <v>5.7848016457310433E-3</v>
      </c>
    </row>
    <row r="268" spans="1:14" x14ac:dyDescent="0.35">
      <c r="A268" s="1">
        <v>42761</v>
      </c>
      <c r="B268" s="2" t="s">
        <v>268</v>
      </c>
      <c r="C268">
        <f t="shared" si="47"/>
        <v>92638.8</v>
      </c>
      <c r="D268">
        <f t="shared" si="48"/>
        <v>2017</v>
      </c>
      <c r="E268">
        <f t="shared" si="49"/>
        <v>1</v>
      </c>
      <c r="F268" t="str">
        <f t="shared" si="51"/>
        <v>January</v>
      </c>
      <c r="G268">
        <f t="shared" si="50"/>
        <v>26</v>
      </c>
      <c r="H268" s="7">
        <f t="shared" si="52"/>
        <v>0.17823392050391579</v>
      </c>
      <c r="I268" s="9">
        <f t="shared" si="53"/>
        <v>1.7807527233375073E-3</v>
      </c>
      <c r="J268" s="9">
        <f t="shared" si="54"/>
        <v>92674.648571428581</v>
      </c>
      <c r="K268" s="9">
        <f t="shared" si="45"/>
        <v>94546.397000000012</v>
      </c>
      <c r="L268" s="9">
        <f t="shared" si="44"/>
        <v>98158.583666666702</v>
      </c>
      <c r="M268" s="9">
        <f t="shared" si="55"/>
        <v>3.5399911220772239E-3</v>
      </c>
      <c r="N268" s="9">
        <f t="shared" si="46"/>
        <v>5.7094129225786633E-3</v>
      </c>
    </row>
    <row r="269" spans="1:14" x14ac:dyDescent="0.35">
      <c r="A269" s="1">
        <v>42762</v>
      </c>
      <c r="B269" s="2" t="s">
        <v>269</v>
      </c>
      <c r="C269">
        <f t="shared" si="47"/>
        <v>92170.83</v>
      </c>
      <c r="D269">
        <f t="shared" si="48"/>
        <v>2017</v>
      </c>
      <c r="E269">
        <f t="shared" si="49"/>
        <v>1</v>
      </c>
      <c r="F269" t="str">
        <f t="shared" si="51"/>
        <v>January</v>
      </c>
      <c r="G269">
        <f t="shared" si="50"/>
        <v>27</v>
      </c>
      <c r="H269" s="7">
        <f t="shared" si="52"/>
        <v>-0.50515550719569036</v>
      </c>
      <c r="I269" s="9">
        <f t="shared" si="53"/>
        <v>-5.0643573086135638E-3</v>
      </c>
      <c r="J269" s="9">
        <f t="shared" si="54"/>
        <v>92499.418571428556</v>
      </c>
      <c r="K269" s="9">
        <f t="shared" si="45"/>
        <v>94422.523666666661</v>
      </c>
      <c r="L269" s="9">
        <f t="shared" si="44"/>
        <v>98017.315333333361</v>
      </c>
      <c r="M269" s="9">
        <f t="shared" si="55"/>
        <v>3.4649761203621541E-3</v>
      </c>
      <c r="N269" s="9">
        <f t="shared" si="46"/>
        <v>5.6004124801026208E-3</v>
      </c>
    </row>
    <row r="270" spans="1:14" x14ac:dyDescent="0.35">
      <c r="A270" s="1">
        <v>42765</v>
      </c>
      <c r="B270" s="2" t="s">
        <v>270</v>
      </c>
      <c r="C270">
        <f t="shared" si="47"/>
        <v>91861.21</v>
      </c>
      <c r="D270">
        <f t="shared" si="48"/>
        <v>2017</v>
      </c>
      <c r="E270">
        <f t="shared" si="49"/>
        <v>1</v>
      </c>
      <c r="F270" t="str">
        <f t="shared" si="51"/>
        <v>January</v>
      </c>
      <c r="G270">
        <f t="shared" si="50"/>
        <v>30</v>
      </c>
      <c r="H270" s="7">
        <f t="shared" si="52"/>
        <v>-0.33591972644707152</v>
      </c>
      <c r="I270" s="9">
        <f t="shared" si="53"/>
        <v>-3.3648520348122904E-3</v>
      </c>
      <c r="J270" s="9">
        <f t="shared" si="54"/>
        <v>92370.559999999983</v>
      </c>
      <c r="K270" s="9">
        <f t="shared" si="45"/>
        <v>94313.623999999996</v>
      </c>
      <c r="L270" s="9">
        <f t="shared" si="44"/>
        <v>97874.935666666701</v>
      </c>
      <c r="M270" s="9">
        <f t="shared" si="55"/>
        <v>2.8360700576818927E-3</v>
      </c>
      <c r="N270" s="9">
        <f t="shared" si="46"/>
        <v>5.4745163288797373E-3</v>
      </c>
    </row>
    <row r="271" spans="1:14" x14ac:dyDescent="0.35">
      <c r="A271" s="1">
        <v>42766</v>
      </c>
      <c r="B271" s="2" t="s">
        <v>271</v>
      </c>
      <c r="C271">
        <f t="shared" si="47"/>
        <v>90890.08</v>
      </c>
      <c r="D271">
        <f t="shared" si="48"/>
        <v>2017</v>
      </c>
      <c r="E271">
        <f t="shared" si="49"/>
        <v>1</v>
      </c>
      <c r="F271" t="str">
        <f t="shared" si="51"/>
        <v>January</v>
      </c>
      <c r="G271">
        <f t="shared" si="50"/>
        <v>31</v>
      </c>
      <c r="H271" s="7">
        <f t="shared" si="52"/>
        <v>-1.0571709212190921</v>
      </c>
      <c r="I271" s="9">
        <f t="shared" si="53"/>
        <v>-1.0627986714357617E-2</v>
      </c>
      <c r="J271" s="9">
        <f t="shared" si="54"/>
        <v>92141.698571428555</v>
      </c>
      <c r="K271" s="9">
        <f t="shared" si="45"/>
        <v>94186.277333333332</v>
      </c>
      <c r="L271" s="9">
        <f t="shared" si="44"/>
        <v>97724.17700000004</v>
      </c>
      <c r="M271" s="9">
        <f t="shared" si="55"/>
        <v>4.5217011285612393E-3</v>
      </c>
      <c r="N271" s="9">
        <f t="shared" si="46"/>
        <v>5.7142474546096342E-3</v>
      </c>
    </row>
    <row r="272" spans="1:14" x14ac:dyDescent="0.35">
      <c r="A272" s="1">
        <v>42767</v>
      </c>
      <c r="B272" s="2" t="s">
        <v>272</v>
      </c>
      <c r="C272">
        <f t="shared" si="47"/>
        <v>91496.59</v>
      </c>
      <c r="D272">
        <f t="shared" si="48"/>
        <v>2017</v>
      </c>
      <c r="E272">
        <f t="shared" si="49"/>
        <v>2</v>
      </c>
      <c r="F272" t="str">
        <f t="shared" si="51"/>
        <v>February</v>
      </c>
      <c r="G272">
        <f t="shared" si="50"/>
        <v>1</v>
      </c>
      <c r="H272" s="7">
        <f t="shared" si="52"/>
        <v>0.66730054589015075</v>
      </c>
      <c r="I272" s="9">
        <f t="shared" si="53"/>
        <v>6.6508395123220255E-3</v>
      </c>
      <c r="J272" s="9">
        <f t="shared" si="54"/>
        <v>91981.418571428556</v>
      </c>
      <c r="K272" s="9">
        <f t="shared" si="45"/>
        <v>94072.340333333326</v>
      </c>
      <c r="L272" s="9">
        <f t="shared" si="44"/>
        <v>97586.057333333374</v>
      </c>
      <c r="M272" s="9">
        <f t="shared" si="55"/>
        <v>5.5891930381362078E-3</v>
      </c>
      <c r="N272" s="9">
        <f t="shared" si="46"/>
        <v>5.8668851539908926E-3</v>
      </c>
    </row>
    <row r="273" spans="1:14" x14ac:dyDescent="0.35">
      <c r="A273" s="1">
        <v>42768</v>
      </c>
      <c r="B273" s="2" t="s">
        <v>273</v>
      </c>
      <c r="C273">
        <f t="shared" si="47"/>
        <v>92027.51</v>
      </c>
      <c r="D273">
        <f t="shared" si="48"/>
        <v>2017</v>
      </c>
      <c r="E273">
        <f t="shared" si="49"/>
        <v>2</v>
      </c>
      <c r="F273" t="str">
        <f t="shared" si="51"/>
        <v>February</v>
      </c>
      <c r="G273">
        <f t="shared" si="50"/>
        <v>2</v>
      </c>
      <c r="H273" s="7">
        <f t="shared" si="52"/>
        <v>0.58026206222548649</v>
      </c>
      <c r="I273" s="9">
        <f t="shared" si="53"/>
        <v>5.7858502626280698E-3</v>
      </c>
      <c r="J273" s="9">
        <f t="shared" si="54"/>
        <v>91937</v>
      </c>
      <c r="K273" s="9">
        <f t="shared" si="45"/>
        <v>93973.497000000003</v>
      </c>
      <c r="L273" s="9">
        <f t="shared" si="44"/>
        <v>97457.610333333345</v>
      </c>
      <c r="M273" s="9">
        <f t="shared" si="55"/>
        <v>6.2092812134116647E-3</v>
      </c>
      <c r="N273" s="9">
        <f t="shared" si="46"/>
        <v>5.9951241559679045E-3</v>
      </c>
    </row>
    <row r="274" spans="1:14" x14ac:dyDescent="0.35">
      <c r="A274" s="1">
        <v>42769</v>
      </c>
      <c r="B274" s="2" t="s">
        <v>274</v>
      </c>
      <c r="C274">
        <f t="shared" si="47"/>
        <v>92063.06</v>
      </c>
      <c r="D274">
        <f t="shared" si="48"/>
        <v>2017</v>
      </c>
      <c r="E274">
        <f t="shared" si="49"/>
        <v>2</v>
      </c>
      <c r="F274" t="str">
        <f t="shared" si="51"/>
        <v>February</v>
      </c>
      <c r="G274">
        <f t="shared" si="50"/>
        <v>3</v>
      </c>
      <c r="H274" s="7">
        <f t="shared" si="52"/>
        <v>3.8629753211841665E-2</v>
      </c>
      <c r="I274" s="9">
        <f t="shared" si="53"/>
        <v>3.8622293843645396E-4</v>
      </c>
      <c r="J274" s="9">
        <f t="shared" si="54"/>
        <v>91878.297142857147</v>
      </c>
      <c r="K274" s="9">
        <f t="shared" si="45"/>
        <v>93887.03</v>
      </c>
      <c r="L274" s="9">
        <f t="shared" si="44"/>
        <v>97333.559222222248</v>
      </c>
      <c r="M274" s="9">
        <f t="shared" si="55"/>
        <v>6.1660441719339296E-3</v>
      </c>
      <c r="N274" s="9">
        <f t="shared" si="46"/>
        <v>5.9818844401551751E-3</v>
      </c>
    </row>
    <row r="275" spans="1:14" x14ac:dyDescent="0.35">
      <c r="A275" s="1">
        <v>42772</v>
      </c>
      <c r="B275" s="2" t="s">
        <v>275</v>
      </c>
      <c r="C275">
        <f t="shared" si="47"/>
        <v>92332.59</v>
      </c>
      <c r="D275">
        <f t="shared" si="48"/>
        <v>2017</v>
      </c>
      <c r="E275">
        <f t="shared" si="49"/>
        <v>2</v>
      </c>
      <c r="F275" t="str">
        <f t="shared" si="51"/>
        <v>February</v>
      </c>
      <c r="G275">
        <f t="shared" si="50"/>
        <v>6</v>
      </c>
      <c r="H275" s="7">
        <f t="shared" si="52"/>
        <v>0.29276671881208255</v>
      </c>
      <c r="I275" s="9">
        <f t="shared" si="53"/>
        <v>2.9233899167897199E-3</v>
      </c>
      <c r="J275" s="9">
        <f t="shared" si="54"/>
        <v>91834.552857142859</v>
      </c>
      <c r="K275" s="9">
        <f t="shared" si="45"/>
        <v>93787.304999999993</v>
      </c>
      <c r="L275" s="9">
        <f t="shared" si="44"/>
        <v>97217.568444444463</v>
      </c>
      <c r="M275" s="9">
        <f t="shared" si="55"/>
        <v>6.2551731900602429E-3</v>
      </c>
      <c r="N275" s="9">
        <f t="shared" si="46"/>
        <v>5.8390728071499491E-3</v>
      </c>
    </row>
    <row r="276" spans="1:14" x14ac:dyDescent="0.35">
      <c r="A276" s="1">
        <v>42773</v>
      </c>
      <c r="B276" s="2" t="s">
        <v>276</v>
      </c>
      <c r="C276">
        <f t="shared" si="47"/>
        <v>91583.39</v>
      </c>
      <c r="D276">
        <f t="shared" si="48"/>
        <v>2017</v>
      </c>
      <c r="E276">
        <f t="shared" si="49"/>
        <v>2</v>
      </c>
      <c r="F276" t="str">
        <f t="shared" si="51"/>
        <v>February</v>
      </c>
      <c r="G276">
        <f t="shared" si="50"/>
        <v>7</v>
      </c>
      <c r="H276" s="7">
        <f t="shared" si="52"/>
        <v>-0.81141447456417848</v>
      </c>
      <c r="I276" s="9">
        <f t="shared" si="53"/>
        <v>-8.1472435855640818E-3</v>
      </c>
      <c r="J276" s="9">
        <f t="shared" si="54"/>
        <v>91750.63285714286</v>
      </c>
      <c r="K276" s="9">
        <f t="shared" si="45"/>
        <v>93605.773333333331</v>
      </c>
      <c r="L276" s="9">
        <f t="shared" si="44"/>
        <v>97107.025222222263</v>
      </c>
      <c r="M276" s="9">
        <f t="shared" si="55"/>
        <v>6.7233294735432499E-3</v>
      </c>
      <c r="N276" s="9">
        <f t="shared" si="46"/>
        <v>4.783268851498248E-3</v>
      </c>
    </row>
    <row r="277" spans="1:14" x14ac:dyDescent="0.35">
      <c r="A277" s="1">
        <v>42774</v>
      </c>
      <c r="B277" s="2" t="s">
        <v>277</v>
      </c>
      <c r="C277">
        <f t="shared" si="47"/>
        <v>91311.15</v>
      </c>
      <c r="D277">
        <f t="shared" si="48"/>
        <v>2017</v>
      </c>
      <c r="E277">
        <f t="shared" si="49"/>
        <v>2</v>
      </c>
      <c r="F277" t="str">
        <f t="shared" si="51"/>
        <v>February</v>
      </c>
      <c r="G277">
        <f t="shared" si="50"/>
        <v>8</v>
      </c>
      <c r="H277" s="7">
        <f t="shared" si="52"/>
        <v>-0.29725914273320225</v>
      </c>
      <c r="I277" s="9">
        <f t="shared" si="53"/>
        <v>-2.9770183523651519E-3</v>
      </c>
      <c r="J277" s="9">
        <f t="shared" si="54"/>
        <v>91672.052857142859</v>
      </c>
      <c r="K277" s="9">
        <f t="shared" si="45"/>
        <v>93436.006999999998</v>
      </c>
      <c r="L277" s="9">
        <f t="shared" si="44"/>
        <v>97005.671888888915</v>
      </c>
      <c r="M277" s="9">
        <f t="shared" si="55"/>
        <v>6.7013228642188944E-3</v>
      </c>
      <c r="N277" s="9">
        <f t="shared" si="46"/>
        <v>4.7109915428397101E-3</v>
      </c>
    </row>
    <row r="278" spans="1:14" x14ac:dyDescent="0.35">
      <c r="A278" s="1">
        <v>42775</v>
      </c>
      <c r="B278" s="2" t="s">
        <v>278</v>
      </c>
      <c r="C278">
        <f t="shared" si="47"/>
        <v>90720.33</v>
      </c>
      <c r="D278">
        <f t="shared" si="48"/>
        <v>2017</v>
      </c>
      <c r="E278">
        <f t="shared" si="49"/>
        <v>2</v>
      </c>
      <c r="F278" t="str">
        <f t="shared" si="51"/>
        <v>February</v>
      </c>
      <c r="G278">
        <f t="shared" si="50"/>
        <v>9</v>
      </c>
      <c r="H278" s="7">
        <f t="shared" si="52"/>
        <v>-0.64704036692122757</v>
      </c>
      <c r="I278" s="9">
        <f t="shared" si="53"/>
        <v>-6.4914274684138148E-3</v>
      </c>
      <c r="J278" s="9">
        <f t="shared" si="54"/>
        <v>91647.802857142859</v>
      </c>
      <c r="K278" s="9">
        <f t="shared" si="45"/>
        <v>93238.117999999988</v>
      </c>
      <c r="L278" s="9">
        <f t="shared" si="44"/>
        <v>96885.732555555587</v>
      </c>
      <c r="M278" s="9">
        <f t="shared" si="55"/>
        <v>5.8207205105932688E-3</v>
      </c>
      <c r="N278" s="9">
        <f t="shared" si="46"/>
        <v>4.7093184225738202E-3</v>
      </c>
    </row>
    <row r="279" spans="1:14" x14ac:dyDescent="0.35">
      <c r="A279" s="1">
        <v>42776</v>
      </c>
      <c r="B279" s="2" t="s">
        <v>279</v>
      </c>
      <c r="C279">
        <f t="shared" si="47"/>
        <v>90552.77</v>
      </c>
      <c r="D279">
        <f t="shared" si="48"/>
        <v>2017</v>
      </c>
      <c r="E279">
        <f t="shared" si="49"/>
        <v>2</v>
      </c>
      <c r="F279" t="str">
        <f t="shared" si="51"/>
        <v>February</v>
      </c>
      <c r="G279">
        <f t="shared" si="50"/>
        <v>10</v>
      </c>
      <c r="H279" s="7">
        <f t="shared" si="52"/>
        <v>-0.18469950451017722</v>
      </c>
      <c r="I279" s="9">
        <f t="shared" si="53"/>
        <v>-1.8487028436376955E-3</v>
      </c>
      <c r="J279" s="9">
        <f t="shared" si="54"/>
        <v>91512.971428571429</v>
      </c>
      <c r="K279" s="9">
        <f t="shared" si="45"/>
        <v>93042.760999999999</v>
      </c>
      <c r="L279" s="9">
        <f t="shared" si="44"/>
        <v>96767.794666666683</v>
      </c>
      <c r="M279" s="9">
        <f t="shared" si="55"/>
        <v>4.9599856770440424E-3</v>
      </c>
      <c r="N279" s="9">
        <f t="shared" si="46"/>
        <v>4.7089040094095477E-3</v>
      </c>
    </row>
    <row r="280" spans="1:14" x14ac:dyDescent="0.35">
      <c r="A280" s="1">
        <v>42779</v>
      </c>
      <c r="B280" s="2" t="s">
        <v>280</v>
      </c>
      <c r="C280">
        <f t="shared" si="47"/>
        <v>89846.81</v>
      </c>
      <c r="D280">
        <f t="shared" si="48"/>
        <v>2017</v>
      </c>
      <c r="E280">
        <f t="shared" si="49"/>
        <v>2</v>
      </c>
      <c r="F280" t="str">
        <f t="shared" si="51"/>
        <v>February</v>
      </c>
      <c r="G280">
        <f t="shared" si="50"/>
        <v>13</v>
      </c>
      <c r="H280" s="7">
        <f t="shared" si="52"/>
        <v>-0.77961171149154951</v>
      </c>
      <c r="I280" s="9">
        <f t="shared" si="53"/>
        <v>-7.8266657131658545E-3</v>
      </c>
      <c r="J280" s="9">
        <f t="shared" si="54"/>
        <v>91201.442857142843</v>
      </c>
      <c r="K280" s="9">
        <f t="shared" si="45"/>
        <v>92825.452000000019</v>
      </c>
      <c r="L280" s="9">
        <f t="shared" si="44"/>
        <v>96633.881444444443</v>
      </c>
      <c r="M280" s="9">
        <f t="shared" si="55"/>
        <v>4.2542154020166973E-3</v>
      </c>
      <c r="N280" s="9">
        <f t="shared" si="46"/>
        <v>4.8123212157662647E-3</v>
      </c>
    </row>
    <row r="281" spans="1:14" x14ac:dyDescent="0.35">
      <c r="A281" s="1">
        <v>42780</v>
      </c>
      <c r="B281" s="2" t="s">
        <v>281</v>
      </c>
      <c r="C281">
        <f t="shared" si="47"/>
        <v>89912</v>
      </c>
      <c r="D281">
        <f t="shared" si="48"/>
        <v>2017</v>
      </c>
      <c r="E281">
        <f t="shared" si="49"/>
        <v>2</v>
      </c>
      <c r="F281" t="str">
        <f t="shared" si="51"/>
        <v>February</v>
      </c>
      <c r="G281">
        <f t="shared" si="50"/>
        <v>14</v>
      </c>
      <c r="H281" s="7">
        <f t="shared" si="52"/>
        <v>7.2556833125185335E-2</v>
      </c>
      <c r="I281" s="9">
        <f t="shared" si="53"/>
        <v>7.2530523380602465E-4</v>
      </c>
      <c r="J281" s="9">
        <f t="shared" si="54"/>
        <v>90894.148571428581</v>
      </c>
      <c r="K281" s="9">
        <f t="shared" si="45"/>
        <v>92608.79300000002</v>
      </c>
      <c r="L281" s="9">
        <f t="shared" si="44"/>
        <v>96501.397111111117</v>
      </c>
      <c r="M281" s="9">
        <f t="shared" si="55"/>
        <v>4.3064661559979785E-3</v>
      </c>
      <c r="N281" s="9">
        <f t="shared" si="46"/>
        <v>4.8175948511134953E-3</v>
      </c>
    </row>
    <row r="282" spans="1:14" x14ac:dyDescent="0.35">
      <c r="A282" s="1">
        <v>42781</v>
      </c>
      <c r="B282" s="2" t="s">
        <v>282</v>
      </c>
      <c r="C282">
        <f t="shared" si="47"/>
        <v>89486.79</v>
      </c>
      <c r="D282">
        <f t="shared" si="48"/>
        <v>2017</v>
      </c>
      <c r="E282">
        <f t="shared" si="49"/>
        <v>2</v>
      </c>
      <c r="F282" t="str">
        <f t="shared" si="51"/>
        <v>February</v>
      </c>
      <c r="G282">
        <f t="shared" si="50"/>
        <v>15</v>
      </c>
      <c r="H282" s="7">
        <f t="shared" si="52"/>
        <v>-0.47291796423170035</v>
      </c>
      <c r="I282" s="9">
        <f t="shared" si="53"/>
        <v>-4.7403975941415792E-3</v>
      </c>
      <c r="J282" s="9">
        <f t="shared" si="54"/>
        <v>90487.605714285717</v>
      </c>
      <c r="K282" s="9">
        <f t="shared" si="45"/>
        <v>92403.347333333353</v>
      </c>
      <c r="L282" s="9">
        <f t="shared" si="44"/>
        <v>96363.929222222228</v>
      </c>
      <c r="M282" s="9">
        <f t="shared" si="55"/>
        <v>3.2924145435424984E-3</v>
      </c>
      <c r="N282" s="9">
        <f t="shared" si="46"/>
        <v>4.7239150770879536E-3</v>
      </c>
    </row>
    <row r="283" spans="1:14" x14ac:dyDescent="0.35">
      <c r="A283" s="1">
        <v>42782</v>
      </c>
      <c r="B283" s="2" t="s">
        <v>283</v>
      </c>
      <c r="C283">
        <f t="shared" si="47"/>
        <v>89696.69</v>
      </c>
      <c r="D283">
        <f t="shared" si="48"/>
        <v>2017</v>
      </c>
      <c r="E283">
        <f t="shared" si="49"/>
        <v>2</v>
      </c>
      <c r="F283" t="str">
        <f t="shared" si="51"/>
        <v>February</v>
      </c>
      <c r="G283">
        <f t="shared" si="50"/>
        <v>16</v>
      </c>
      <c r="H283" s="7">
        <f t="shared" si="52"/>
        <v>0.23455976016125815</v>
      </c>
      <c r="I283" s="9">
        <f t="shared" si="53"/>
        <v>2.3428509816965856E-3</v>
      </c>
      <c r="J283" s="9">
        <f t="shared" si="54"/>
        <v>90218.077142857146</v>
      </c>
      <c r="K283" s="9">
        <f t="shared" si="45"/>
        <v>92230.493666666662</v>
      </c>
      <c r="L283" s="9">
        <f t="shared" si="44"/>
        <v>96227.150777777759</v>
      </c>
      <c r="M283" s="9">
        <f t="shared" si="55"/>
        <v>3.7027216749949705E-3</v>
      </c>
      <c r="N283" s="9">
        <f t="shared" si="46"/>
        <v>4.661857546142365E-3</v>
      </c>
    </row>
    <row r="284" spans="1:14" x14ac:dyDescent="0.35">
      <c r="A284" s="1">
        <v>42783</v>
      </c>
      <c r="B284" s="2" t="s">
        <v>284</v>
      </c>
      <c r="C284">
        <f t="shared" si="47"/>
        <v>89521.8</v>
      </c>
      <c r="D284">
        <f t="shared" si="48"/>
        <v>2017</v>
      </c>
      <c r="E284">
        <f t="shared" si="49"/>
        <v>2</v>
      </c>
      <c r="F284" t="str">
        <f t="shared" si="51"/>
        <v>February</v>
      </c>
      <c r="G284">
        <f t="shared" si="50"/>
        <v>17</v>
      </c>
      <c r="H284" s="7">
        <f t="shared" si="52"/>
        <v>-0.19497932420917585</v>
      </c>
      <c r="I284" s="9">
        <f t="shared" si="53"/>
        <v>-1.9516965633929722E-3</v>
      </c>
      <c r="J284" s="9">
        <f t="shared" si="54"/>
        <v>89962.455714285723</v>
      </c>
      <c r="K284" s="9">
        <f t="shared" si="45"/>
        <v>92042.47600000001</v>
      </c>
      <c r="L284" s="9">
        <f t="shared" ref="L284:L347" si="56">AVERAGE(C195:C284)</f>
        <v>96083.691222222216</v>
      </c>
      <c r="M284" s="9">
        <f t="shared" si="55"/>
        <v>3.7227952964982241E-3</v>
      </c>
      <c r="N284" s="9">
        <f t="shared" si="46"/>
        <v>4.5721199926970803E-3</v>
      </c>
    </row>
    <row r="285" spans="1:14" x14ac:dyDescent="0.35">
      <c r="A285" s="1">
        <v>42786</v>
      </c>
      <c r="B285" s="2" t="s">
        <v>285</v>
      </c>
      <c r="C285">
        <f t="shared" si="47"/>
        <v>88717.11</v>
      </c>
      <c r="D285">
        <f t="shared" si="48"/>
        <v>2017</v>
      </c>
      <c r="E285">
        <f t="shared" si="49"/>
        <v>2</v>
      </c>
      <c r="F285" t="str">
        <f t="shared" si="51"/>
        <v>February</v>
      </c>
      <c r="G285">
        <f t="shared" si="50"/>
        <v>20</v>
      </c>
      <c r="H285" s="7">
        <f t="shared" si="52"/>
        <v>-0.8988760279619068</v>
      </c>
      <c r="I285" s="9">
        <f t="shared" si="53"/>
        <v>-9.029402919916836E-3</v>
      </c>
      <c r="J285" s="9">
        <f t="shared" si="54"/>
        <v>89676.281428571427</v>
      </c>
      <c r="K285" s="9">
        <f t="shared" si="45"/>
        <v>91855.351666666655</v>
      </c>
      <c r="L285" s="9">
        <f t="shared" si="56"/>
        <v>95925.231666666659</v>
      </c>
      <c r="M285" s="9">
        <f t="shared" si="55"/>
        <v>4.2283873281482127E-3</v>
      </c>
      <c r="N285" s="9">
        <f t="shared" si="46"/>
        <v>4.5852154705526933E-3</v>
      </c>
    </row>
    <row r="286" spans="1:14" x14ac:dyDescent="0.35">
      <c r="A286" s="1">
        <v>42787</v>
      </c>
      <c r="B286" s="2" t="s">
        <v>286</v>
      </c>
      <c r="C286">
        <f t="shared" si="47"/>
        <v>86406.46</v>
      </c>
      <c r="D286">
        <f t="shared" si="48"/>
        <v>2017</v>
      </c>
      <c r="E286">
        <f t="shared" si="49"/>
        <v>2</v>
      </c>
      <c r="F286" t="str">
        <f t="shared" si="51"/>
        <v>February</v>
      </c>
      <c r="G286">
        <f t="shared" si="50"/>
        <v>21</v>
      </c>
      <c r="H286" s="7">
        <f t="shared" si="52"/>
        <v>-2.6045145068408946</v>
      </c>
      <c r="I286" s="9">
        <f t="shared" si="53"/>
        <v>-2.6390326586708861E-2</v>
      </c>
      <c r="J286" s="9">
        <f t="shared" si="54"/>
        <v>89083.95142857141</v>
      </c>
      <c r="K286" s="9">
        <f t="shared" si="45"/>
        <v>91578.029666666655</v>
      </c>
      <c r="L286" s="9">
        <f t="shared" si="56"/>
        <v>95743.931222222222</v>
      </c>
      <c r="M286" s="9">
        <f t="shared" si="55"/>
        <v>9.6410499753197716E-3</v>
      </c>
      <c r="N286" s="9">
        <f t="shared" si="46"/>
        <v>6.2490285599884022E-3</v>
      </c>
    </row>
    <row r="287" spans="1:14" x14ac:dyDescent="0.35">
      <c r="A287" s="1">
        <v>42788</v>
      </c>
      <c r="B287" s="2" t="s">
        <v>287</v>
      </c>
      <c r="C287">
        <f t="shared" si="47"/>
        <v>86041.54</v>
      </c>
      <c r="D287">
        <f t="shared" si="48"/>
        <v>2017</v>
      </c>
      <c r="E287">
        <f t="shared" si="49"/>
        <v>2</v>
      </c>
      <c r="F287" t="str">
        <f t="shared" si="51"/>
        <v>February</v>
      </c>
      <c r="G287">
        <f t="shared" si="50"/>
        <v>22</v>
      </c>
      <c r="H287" s="7">
        <f t="shared" si="52"/>
        <v>-0.42232953415753027</v>
      </c>
      <c r="I287" s="9">
        <f t="shared" si="53"/>
        <v>-4.2322386423620144E-3</v>
      </c>
      <c r="J287" s="9">
        <f t="shared" si="54"/>
        <v>88540.341428571424</v>
      </c>
      <c r="K287" s="9">
        <f t="shared" si="45"/>
        <v>91317.118666666662</v>
      </c>
      <c r="L287" s="9">
        <f t="shared" si="56"/>
        <v>95569.387333333332</v>
      </c>
      <c r="M287" s="9">
        <f t="shared" si="55"/>
        <v>9.6664658327263071E-3</v>
      </c>
      <c r="N287" s="9">
        <f t="shared" si="46"/>
        <v>6.1496179743594209E-3</v>
      </c>
    </row>
    <row r="288" spans="1:14" x14ac:dyDescent="0.35">
      <c r="A288" s="1">
        <v>42789</v>
      </c>
      <c r="B288" s="2" t="s">
        <v>288</v>
      </c>
      <c r="C288">
        <f t="shared" si="47"/>
        <v>82485.81</v>
      </c>
      <c r="D288">
        <f t="shared" si="48"/>
        <v>2017</v>
      </c>
      <c r="E288">
        <f t="shared" si="49"/>
        <v>2</v>
      </c>
      <c r="F288" t="str">
        <f t="shared" si="51"/>
        <v>February</v>
      </c>
      <c r="G288">
        <f t="shared" si="50"/>
        <v>23</v>
      </c>
      <c r="H288" s="7">
        <f t="shared" si="52"/>
        <v>-4.1325736382682088</v>
      </c>
      <c r="I288" s="9">
        <f t="shared" si="53"/>
        <v>-4.2203924344201255E-2</v>
      </c>
      <c r="J288" s="9">
        <f t="shared" si="54"/>
        <v>87479.457142857136</v>
      </c>
      <c r="K288" s="9">
        <f t="shared" ref="K288:K351" si="57">AVERAGE(C259:C288)</f>
        <v>90941.174000000014</v>
      </c>
      <c r="L288" s="9">
        <f t="shared" si="56"/>
        <v>95363.053333333344</v>
      </c>
      <c r="M288" s="9">
        <f t="shared" si="55"/>
        <v>1.605830030149568E-2</v>
      </c>
      <c r="N288" s="9">
        <f t="shared" si="46"/>
        <v>9.4355739288046452E-3</v>
      </c>
    </row>
    <row r="289" spans="1:14" x14ac:dyDescent="0.35">
      <c r="A289" s="1">
        <v>42790</v>
      </c>
      <c r="B289" s="2" t="s">
        <v>289</v>
      </c>
      <c r="C289">
        <f t="shared" si="47"/>
        <v>84227.34</v>
      </c>
      <c r="D289">
        <f t="shared" si="48"/>
        <v>2017</v>
      </c>
      <c r="E289">
        <f t="shared" si="49"/>
        <v>2</v>
      </c>
      <c r="F289" t="str">
        <f t="shared" si="51"/>
        <v>February</v>
      </c>
      <c r="G289">
        <f t="shared" si="50"/>
        <v>24</v>
      </c>
      <c r="H289" s="7">
        <f t="shared" si="52"/>
        <v>2.1113085996245884</v>
      </c>
      <c r="I289" s="9">
        <f t="shared" si="53"/>
        <v>2.0893293084588992E-2</v>
      </c>
      <c r="J289" s="9">
        <f t="shared" si="54"/>
        <v>86728.107142857145</v>
      </c>
      <c r="K289" s="9">
        <f t="shared" si="57"/>
        <v>90624.608333333323</v>
      </c>
      <c r="L289" s="9">
        <f t="shared" si="56"/>
        <v>95174.510999999999</v>
      </c>
      <c r="M289" s="9">
        <f t="shared" si="55"/>
        <v>2.0407358683027777E-2</v>
      </c>
      <c r="N289" s="9">
        <f t="shared" ref="N289:N352" si="58">STDEV(I260:I289)</f>
        <v>1.0480210993740325E-2</v>
      </c>
    </row>
    <row r="290" spans="1:14" x14ac:dyDescent="0.35">
      <c r="A290" s="1">
        <v>42793</v>
      </c>
      <c r="B290" s="2" t="s">
        <v>290</v>
      </c>
      <c r="C290">
        <f t="shared" si="47"/>
        <v>82161.52</v>
      </c>
      <c r="D290">
        <f t="shared" si="48"/>
        <v>2017</v>
      </c>
      <c r="E290">
        <f t="shared" si="49"/>
        <v>2</v>
      </c>
      <c r="F290" t="str">
        <f t="shared" si="51"/>
        <v>February</v>
      </c>
      <c r="G290">
        <f t="shared" si="50"/>
        <v>27</v>
      </c>
      <c r="H290" s="7">
        <f t="shared" si="52"/>
        <v>-2.4526715434679436</v>
      </c>
      <c r="I290" s="9">
        <f t="shared" si="53"/>
        <v>-2.4832505695502084E-2</v>
      </c>
      <c r="J290" s="9">
        <f t="shared" si="54"/>
        <v>85651.654285714278</v>
      </c>
      <c r="K290" s="9">
        <f t="shared" si="57"/>
        <v>90245.700999999986</v>
      </c>
      <c r="L290" s="9">
        <f t="shared" si="56"/>
        <v>94963.609888888896</v>
      </c>
      <c r="M290" s="9">
        <f t="shared" si="55"/>
        <v>2.0551260868309041E-2</v>
      </c>
      <c r="N290" s="9">
        <f t="shared" si="58"/>
        <v>1.1169948697846582E-2</v>
      </c>
    </row>
    <row r="291" spans="1:14" x14ac:dyDescent="0.35">
      <c r="A291" s="1">
        <v>42794</v>
      </c>
      <c r="B291" s="2" t="s">
        <v>291</v>
      </c>
      <c r="C291">
        <f t="shared" si="47"/>
        <v>81553.66</v>
      </c>
      <c r="D291">
        <f t="shared" si="48"/>
        <v>2017</v>
      </c>
      <c r="E291">
        <f t="shared" si="49"/>
        <v>2</v>
      </c>
      <c r="F291" t="str">
        <f t="shared" si="51"/>
        <v>February</v>
      </c>
      <c r="G291">
        <f t="shared" si="50"/>
        <v>28</v>
      </c>
      <c r="H291" s="7">
        <f t="shared" si="52"/>
        <v>-0.73983538766079371</v>
      </c>
      <c r="I291" s="9">
        <f t="shared" si="53"/>
        <v>-7.4258574346528399E-3</v>
      </c>
      <c r="J291" s="9">
        <f t="shared" si="54"/>
        <v>84513.348571428578</v>
      </c>
      <c r="K291" s="9">
        <f t="shared" si="57"/>
        <v>89859.652666666647</v>
      </c>
      <c r="L291" s="9">
        <f t="shared" si="56"/>
        <v>94736.98033333334</v>
      </c>
      <c r="M291" s="9">
        <f t="shared" si="55"/>
        <v>2.0182249743641759E-2</v>
      </c>
      <c r="N291" s="9">
        <f t="shared" si="58"/>
        <v>1.1184289345737175E-2</v>
      </c>
    </row>
    <row r="292" spans="1:14" x14ac:dyDescent="0.35">
      <c r="A292" s="1">
        <v>42795</v>
      </c>
      <c r="B292" s="2" t="s">
        <v>292</v>
      </c>
      <c r="C292">
        <f t="shared" si="47"/>
        <v>86082.52</v>
      </c>
      <c r="D292">
        <f t="shared" si="48"/>
        <v>2017</v>
      </c>
      <c r="E292">
        <f t="shared" si="49"/>
        <v>3</v>
      </c>
      <c r="F292" t="str">
        <f t="shared" si="51"/>
        <v>March</v>
      </c>
      <c r="G292">
        <f t="shared" si="50"/>
        <v>1</v>
      </c>
      <c r="H292" s="7">
        <f t="shared" si="52"/>
        <v>5.5532271635632302</v>
      </c>
      <c r="I292" s="9">
        <f t="shared" si="53"/>
        <v>5.4045162576531004E-2</v>
      </c>
      <c r="J292" s="9">
        <f t="shared" si="54"/>
        <v>84136.978571428583</v>
      </c>
      <c r="K292" s="9">
        <f t="shared" si="57"/>
        <v>89615.822</v>
      </c>
      <c r="L292" s="9">
        <f t="shared" si="56"/>
        <v>94560.196777777761</v>
      </c>
      <c r="M292" s="9">
        <f t="shared" si="55"/>
        <v>3.2646870908860745E-2</v>
      </c>
      <c r="N292" s="9">
        <f t="shared" si="58"/>
        <v>1.5432368186901376E-2</v>
      </c>
    </row>
    <row r="293" spans="1:14" x14ac:dyDescent="0.35">
      <c r="A293" s="1">
        <v>42796</v>
      </c>
      <c r="B293" s="2" t="s">
        <v>293</v>
      </c>
      <c r="C293">
        <f t="shared" si="47"/>
        <v>89105.74</v>
      </c>
      <c r="D293">
        <f t="shared" si="48"/>
        <v>2017</v>
      </c>
      <c r="E293">
        <f t="shared" si="49"/>
        <v>3</v>
      </c>
      <c r="F293" t="str">
        <f t="shared" si="51"/>
        <v>March</v>
      </c>
      <c r="G293">
        <f t="shared" si="50"/>
        <v>2</v>
      </c>
      <c r="H293" s="7">
        <f t="shared" si="52"/>
        <v>3.5120022043964338</v>
      </c>
      <c r="I293" s="9">
        <f t="shared" si="53"/>
        <v>3.4517383321607184E-2</v>
      </c>
      <c r="J293" s="9">
        <f t="shared" si="54"/>
        <v>84522.59</v>
      </c>
      <c r="K293" s="9">
        <f t="shared" si="57"/>
        <v>89493.906000000003</v>
      </c>
      <c r="L293" s="9">
        <f t="shared" si="56"/>
        <v>94413.833666666673</v>
      </c>
      <c r="M293" s="9">
        <f t="shared" si="55"/>
        <v>3.387368459909184E-2</v>
      </c>
      <c r="N293" s="9">
        <f t="shared" si="58"/>
        <v>1.6835294403165783E-2</v>
      </c>
    </row>
    <row r="294" spans="1:14" x14ac:dyDescent="0.35">
      <c r="A294" s="1">
        <v>42797</v>
      </c>
      <c r="B294" s="2" t="s">
        <v>294</v>
      </c>
      <c r="C294">
        <f t="shared" si="47"/>
        <v>89950.79</v>
      </c>
      <c r="D294">
        <f t="shared" si="48"/>
        <v>2017</v>
      </c>
      <c r="E294">
        <f t="shared" si="49"/>
        <v>3</v>
      </c>
      <c r="F294" t="str">
        <f t="shared" si="51"/>
        <v>March</v>
      </c>
      <c r="G294">
        <f t="shared" si="50"/>
        <v>3</v>
      </c>
      <c r="H294" s="7">
        <f t="shared" si="52"/>
        <v>0.94836763602433283</v>
      </c>
      <c r="I294" s="9">
        <f t="shared" si="53"/>
        <v>9.4389886154951311E-3</v>
      </c>
      <c r="J294" s="9">
        <f t="shared" si="54"/>
        <v>85081.054285714286</v>
      </c>
      <c r="K294" s="9">
        <f t="shared" si="57"/>
        <v>89409.195333333351</v>
      </c>
      <c r="L294" s="9">
        <f t="shared" si="56"/>
        <v>94288.051777777757</v>
      </c>
      <c r="M294" s="9">
        <f t="shared" si="55"/>
        <v>3.3687004606083384E-2</v>
      </c>
      <c r="N294" s="9">
        <f t="shared" si="58"/>
        <v>1.6946141925424936E-2</v>
      </c>
    </row>
    <row r="295" spans="1:14" x14ac:dyDescent="0.35">
      <c r="A295" s="1">
        <v>42800</v>
      </c>
      <c r="B295" s="2" t="s">
        <v>295</v>
      </c>
      <c r="C295">
        <f t="shared" si="47"/>
        <v>88637.45</v>
      </c>
      <c r="D295">
        <f t="shared" si="48"/>
        <v>2017</v>
      </c>
      <c r="E295">
        <f t="shared" si="49"/>
        <v>3</v>
      </c>
      <c r="F295" t="str">
        <f t="shared" si="51"/>
        <v>March</v>
      </c>
      <c r="G295">
        <f t="shared" si="50"/>
        <v>6</v>
      </c>
      <c r="H295" s="7">
        <f t="shared" si="52"/>
        <v>-1.4600649977615501</v>
      </c>
      <c r="I295" s="9">
        <f t="shared" si="53"/>
        <v>-1.4708288480382543E-2</v>
      </c>
      <c r="J295" s="9">
        <f t="shared" si="54"/>
        <v>85959.859999999986</v>
      </c>
      <c r="K295" s="9">
        <f t="shared" si="57"/>
        <v>89276.492000000027</v>
      </c>
      <c r="L295" s="9">
        <f t="shared" si="56"/>
        <v>94154.797111111111</v>
      </c>
      <c r="M295" s="9">
        <f t="shared" si="55"/>
        <v>2.8245912259085064E-2</v>
      </c>
      <c r="N295" s="9">
        <f t="shared" si="58"/>
        <v>1.7124270496938904E-2</v>
      </c>
    </row>
    <row r="296" spans="1:14" x14ac:dyDescent="0.35">
      <c r="A296" s="1">
        <v>42801</v>
      </c>
      <c r="B296" s="2" t="s">
        <v>296</v>
      </c>
      <c r="C296">
        <f t="shared" si="47"/>
        <v>89572.58</v>
      </c>
      <c r="D296">
        <f t="shared" si="48"/>
        <v>2017</v>
      </c>
      <c r="E296">
        <f t="shared" si="49"/>
        <v>3</v>
      </c>
      <c r="F296" t="str">
        <f t="shared" si="51"/>
        <v>March</v>
      </c>
      <c r="G296">
        <f t="shared" si="50"/>
        <v>7</v>
      </c>
      <c r="H296" s="7">
        <f t="shared" si="52"/>
        <v>1.0550055309578568</v>
      </c>
      <c r="I296" s="9">
        <f t="shared" si="53"/>
        <v>1.0494791824794299E-2</v>
      </c>
      <c r="J296" s="9">
        <f t="shared" si="54"/>
        <v>86723.465714285718</v>
      </c>
      <c r="K296" s="9">
        <f t="shared" si="57"/>
        <v>89184.296666666691</v>
      </c>
      <c r="L296" s="9">
        <f t="shared" si="56"/>
        <v>94029.434555555548</v>
      </c>
      <c r="M296" s="9">
        <f t="shared" si="55"/>
        <v>2.7865306915204651E-2</v>
      </c>
      <c r="N296" s="9">
        <f t="shared" si="58"/>
        <v>1.7259139941529431E-2</v>
      </c>
    </row>
    <row r="297" spans="1:14" x14ac:dyDescent="0.35">
      <c r="A297" s="1">
        <v>42802</v>
      </c>
      <c r="B297" s="2" t="s">
        <v>297</v>
      </c>
      <c r="C297">
        <f t="shared" si="47"/>
        <v>89897.64</v>
      </c>
      <c r="D297">
        <f t="shared" si="48"/>
        <v>2017</v>
      </c>
      <c r="E297">
        <f t="shared" si="49"/>
        <v>3</v>
      </c>
      <c r="F297" t="str">
        <f t="shared" si="51"/>
        <v>March</v>
      </c>
      <c r="G297">
        <f t="shared" si="50"/>
        <v>8</v>
      </c>
      <c r="H297" s="7">
        <f t="shared" si="52"/>
        <v>0.36290123607023228</v>
      </c>
      <c r="I297" s="9">
        <f t="shared" si="53"/>
        <v>3.6224433831488481E-3</v>
      </c>
      <c r="J297" s="9">
        <f t="shared" si="54"/>
        <v>87828.625714285721</v>
      </c>
      <c r="K297" s="9">
        <f t="shared" si="57"/>
        <v>89098.418666666694</v>
      </c>
      <c r="L297" s="9">
        <f t="shared" si="56"/>
        <v>93910.037666666671</v>
      </c>
      <c r="M297" s="9">
        <f t="shared" si="55"/>
        <v>2.3942348159914341E-2</v>
      </c>
      <c r="N297" s="9">
        <f t="shared" si="58"/>
        <v>1.7274303817511896E-2</v>
      </c>
    </row>
    <row r="298" spans="1:14" x14ac:dyDescent="0.35">
      <c r="A298" s="1">
        <v>42803</v>
      </c>
      <c r="B298" s="2" t="s">
        <v>298</v>
      </c>
      <c r="C298">
        <f t="shared" si="47"/>
        <v>89926.53</v>
      </c>
      <c r="D298">
        <f t="shared" si="48"/>
        <v>2017</v>
      </c>
      <c r="E298">
        <f t="shared" si="49"/>
        <v>3</v>
      </c>
      <c r="F298" t="str">
        <f t="shared" si="51"/>
        <v>March</v>
      </c>
      <c r="G298">
        <f t="shared" si="50"/>
        <v>9</v>
      </c>
      <c r="H298" s="7">
        <f t="shared" si="52"/>
        <v>3.2136549969497996E-2</v>
      </c>
      <c r="I298" s="9">
        <f t="shared" si="53"/>
        <v>3.2131387286319843E-4</v>
      </c>
      <c r="J298" s="9">
        <f t="shared" si="54"/>
        <v>89024.75</v>
      </c>
      <c r="K298" s="9">
        <f t="shared" si="57"/>
        <v>89008.00966666668</v>
      </c>
      <c r="L298" s="9">
        <f t="shared" si="56"/>
        <v>93796.412777777761</v>
      </c>
      <c r="M298" s="9">
        <f t="shared" si="55"/>
        <v>2.3009501878048053E-2</v>
      </c>
      <c r="N298" s="9">
        <f t="shared" si="58"/>
        <v>1.7268426047114198E-2</v>
      </c>
    </row>
    <row r="299" spans="1:14" x14ac:dyDescent="0.35">
      <c r="A299" s="1">
        <v>42804</v>
      </c>
      <c r="B299" s="2" t="s">
        <v>299</v>
      </c>
      <c r="C299">
        <f t="shared" si="47"/>
        <v>89713.04</v>
      </c>
      <c r="D299">
        <f t="shared" si="48"/>
        <v>2017</v>
      </c>
      <c r="E299">
        <f t="shared" si="49"/>
        <v>3</v>
      </c>
      <c r="F299" t="str">
        <f t="shared" si="51"/>
        <v>March</v>
      </c>
      <c r="G299">
        <f t="shared" si="50"/>
        <v>10</v>
      </c>
      <c r="H299" s="7">
        <f t="shared" si="52"/>
        <v>-0.23740491265481414</v>
      </c>
      <c r="I299" s="9">
        <f t="shared" si="53"/>
        <v>-2.3768716492657449E-3</v>
      </c>
      <c r="J299" s="9">
        <f t="shared" si="54"/>
        <v>89543.395714285711</v>
      </c>
      <c r="K299" s="9">
        <f t="shared" si="57"/>
        <v>88926.083333333343</v>
      </c>
      <c r="L299" s="9">
        <f t="shared" si="56"/>
        <v>93685.733888888892</v>
      </c>
      <c r="M299" s="9">
        <f t="shared" si="55"/>
        <v>1.5177331387829975E-2</v>
      </c>
      <c r="N299" s="9">
        <f t="shared" si="58"/>
        <v>1.7253527951781113E-2</v>
      </c>
    </row>
    <row r="300" spans="1:14" x14ac:dyDescent="0.35">
      <c r="A300" s="1">
        <v>42807</v>
      </c>
      <c r="B300" s="2" t="s">
        <v>300</v>
      </c>
      <c r="C300">
        <f t="shared" si="47"/>
        <v>88985.61</v>
      </c>
      <c r="D300">
        <f t="shared" si="48"/>
        <v>2017</v>
      </c>
      <c r="E300">
        <f t="shared" si="49"/>
        <v>3</v>
      </c>
      <c r="F300" t="str">
        <f t="shared" si="51"/>
        <v>March</v>
      </c>
      <c r="G300">
        <f t="shared" si="50"/>
        <v>13</v>
      </c>
      <c r="H300" s="7">
        <f t="shared" si="52"/>
        <v>-0.81084087664401194</v>
      </c>
      <c r="I300" s="9">
        <f t="shared" si="53"/>
        <v>-8.141460699775371E-3</v>
      </c>
      <c r="J300" s="9">
        <f t="shared" si="54"/>
        <v>89526.234285714294</v>
      </c>
      <c r="K300" s="9">
        <f t="shared" si="57"/>
        <v>88830.23000000001</v>
      </c>
      <c r="L300" s="9">
        <f t="shared" si="56"/>
        <v>93570.99555555555</v>
      </c>
      <c r="M300" s="9">
        <f t="shared" si="55"/>
        <v>9.1329727523331329E-3</v>
      </c>
      <c r="N300" s="9">
        <f t="shared" si="58"/>
        <v>1.7299029792855594E-2</v>
      </c>
    </row>
    <row r="301" spans="1:14" x14ac:dyDescent="0.35">
      <c r="A301" s="1">
        <v>42808</v>
      </c>
      <c r="B301" s="2" t="s">
        <v>301</v>
      </c>
      <c r="C301">
        <f t="shared" si="47"/>
        <v>89518.75</v>
      </c>
      <c r="D301">
        <f t="shared" si="48"/>
        <v>2017</v>
      </c>
      <c r="E301">
        <f t="shared" si="49"/>
        <v>3</v>
      </c>
      <c r="F301" t="str">
        <f t="shared" si="51"/>
        <v>March</v>
      </c>
      <c r="G301">
        <f t="shared" si="50"/>
        <v>14</v>
      </c>
      <c r="H301" s="7">
        <f t="shared" si="52"/>
        <v>0.59913057852837037</v>
      </c>
      <c r="I301" s="9">
        <f t="shared" si="53"/>
        <v>5.9734292796489868E-3</v>
      </c>
      <c r="J301" s="9">
        <f t="shared" si="54"/>
        <v>89464.514285714278</v>
      </c>
      <c r="K301" s="9">
        <f t="shared" si="57"/>
        <v>88784.519000000015</v>
      </c>
      <c r="L301" s="9">
        <f t="shared" si="56"/>
        <v>93479.602222222238</v>
      </c>
      <c r="M301" s="9">
        <f t="shared" si="55"/>
        <v>8.6023539642588881E-3</v>
      </c>
      <c r="N301" s="9">
        <f t="shared" si="58"/>
        <v>1.7247865439826305E-2</v>
      </c>
    </row>
    <row r="302" spans="1:14" x14ac:dyDescent="0.35">
      <c r="A302" s="1">
        <v>42809</v>
      </c>
      <c r="B302" s="2" t="s">
        <v>302</v>
      </c>
      <c r="C302">
        <f t="shared" si="47"/>
        <v>90149.69</v>
      </c>
      <c r="D302">
        <f t="shared" si="48"/>
        <v>2017</v>
      </c>
      <c r="E302">
        <f t="shared" si="49"/>
        <v>3</v>
      </c>
      <c r="F302" t="str">
        <f t="shared" si="51"/>
        <v>March</v>
      </c>
      <c r="G302">
        <f t="shared" si="50"/>
        <v>15</v>
      </c>
      <c r="H302" s="7">
        <f t="shared" si="52"/>
        <v>0.70481323745025748</v>
      </c>
      <c r="I302" s="9">
        <f t="shared" si="53"/>
        <v>7.0234103841201037E-3</v>
      </c>
      <c r="J302" s="9">
        <f t="shared" si="54"/>
        <v>89680.548571428546</v>
      </c>
      <c r="K302" s="9">
        <f t="shared" si="57"/>
        <v>88739.622333333333</v>
      </c>
      <c r="L302" s="9">
        <f t="shared" si="56"/>
        <v>93386.604222222231</v>
      </c>
      <c r="M302" s="9">
        <f t="shared" si="55"/>
        <v>6.3169773613772576E-3</v>
      </c>
      <c r="N302" s="9">
        <f t="shared" si="58"/>
        <v>1.7253330125381973E-2</v>
      </c>
    </row>
    <row r="303" spans="1:14" x14ac:dyDescent="0.35">
      <c r="A303" s="1">
        <v>42810</v>
      </c>
      <c r="B303" s="2" t="s">
        <v>303</v>
      </c>
      <c r="C303">
        <f t="shared" si="47"/>
        <v>88893.11</v>
      </c>
      <c r="D303">
        <f t="shared" si="48"/>
        <v>2017</v>
      </c>
      <c r="E303">
        <f t="shared" si="49"/>
        <v>3</v>
      </c>
      <c r="F303" t="str">
        <f t="shared" si="51"/>
        <v>March</v>
      </c>
      <c r="G303">
        <f t="shared" si="50"/>
        <v>16</v>
      </c>
      <c r="H303" s="7">
        <f t="shared" si="52"/>
        <v>-1.39388166503956</v>
      </c>
      <c r="I303" s="9">
        <f t="shared" si="53"/>
        <v>-1.4036874225945991E-2</v>
      </c>
      <c r="J303" s="9">
        <f t="shared" si="54"/>
        <v>89583.481428571424</v>
      </c>
      <c r="K303" s="9">
        <f t="shared" si="57"/>
        <v>88635.142333333322</v>
      </c>
      <c r="L303" s="9">
        <f t="shared" si="56"/>
        <v>93270.808777777784</v>
      </c>
      <c r="M303" s="9">
        <f t="shared" si="55"/>
        <v>7.7343287336821146E-3</v>
      </c>
      <c r="N303" s="9">
        <f t="shared" si="58"/>
        <v>1.7383609056870402E-2</v>
      </c>
    </row>
    <row r="304" spans="1:14" x14ac:dyDescent="0.35">
      <c r="A304" s="1">
        <v>42811</v>
      </c>
      <c r="B304" s="2" t="s">
        <v>304</v>
      </c>
      <c r="C304">
        <f t="shared" si="47"/>
        <v>88525.1</v>
      </c>
      <c r="D304">
        <f t="shared" si="48"/>
        <v>2017</v>
      </c>
      <c r="E304">
        <f t="shared" si="49"/>
        <v>3</v>
      </c>
      <c r="F304" t="str">
        <f t="shared" si="51"/>
        <v>March</v>
      </c>
      <c r="G304">
        <f t="shared" si="50"/>
        <v>17</v>
      </c>
      <c r="H304" s="7">
        <f t="shared" si="52"/>
        <v>-0.41399159057433665</v>
      </c>
      <c r="I304" s="9">
        <f t="shared" si="53"/>
        <v>-4.1485090824829249E-3</v>
      </c>
      <c r="J304" s="9">
        <f t="shared" si="54"/>
        <v>89387.404285714278</v>
      </c>
      <c r="K304" s="9">
        <f t="shared" si="57"/>
        <v>88517.210333333336</v>
      </c>
      <c r="L304" s="9">
        <f t="shared" si="56"/>
        <v>93152.587</v>
      </c>
      <c r="M304" s="9">
        <f t="shared" si="55"/>
        <v>7.4997084063601503E-3</v>
      </c>
      <c r="N304" s="9">
        <f t="shared" si="58"/>
        <v>1.738945919140281E-2</v>
      </c>
    </row>
    <row r="305" spans="1:14" x14ac:dyDescent="0.35">
      <c r="A305" s="1">
        <v>42814</v>
      </c>
      <c r="B305" s="2" t="s">
        <v>305</v>
      </c>
      <c r="C305">
        <f t="shared" si="47"/>
        <v>87916.46</v>
      </c>
      <c r="D305">
        <f t="shared" si="48"/>
        <v>2017</v>
      </c>
      <c r="E305">
        <f t="shared" si="49"/>
        <v>3</v>
      </c>
      <c r="F305" t="str">
        <f t="shared" si="51"/>
        <v>March</v>
      </c>
      <c r="G305">
        <f t="shared" si="50"/>
        <v>20</v>
      </c>
      <c r="H305" s="7">
        <f t="shared" si="52"/>
        <v>-0.68753381809226921</v>
      </c>
      <c r="I305" s="9">
        <f t="shared" si="53"/>
        <v>-6.8990822132261069E-3</v>
      </c>
      <c r="J305" s="9">
        <f t="shared" si="54"/>
        <v>89100.251428571428</v>
      </c>
      <c r="K305" s="9">
        <f t="shared" si="57"/>
        <v>88370.005999999994</v>
      </c>
      <c r="L305" s="9">
        <f t="shared" si="56"/>
        <v>93032.81</v>
      </c>
      <c r="M305" s="9">
        <f t="shared" si="55"/>
        <v>7.5914443138602964E-3</v>
      </c>
      <c r="N305" s="9">
        <f t="shared" si="58"/>
        <v>1.7399543421139665E-2</v>
      </c>
    </row>
    <row r="306" spans="1:14" x14ac:dyDescent="0.35">
      <c r="A306" s="1">
        <v>42816</v>
      </c>
      <c r="B306" s="2" t="s">
        <v>306</v>
      </c>
      <c r="C306">
        <f t="shared" si="47"/>
        <v>87067.75</v>
      </c>
      <c r="D306">
        <f t="shared" si="48"/>
        <v>2017</v>
      </c>
      <c r="E306">
        <f t="shared" si="49"/>
        <v>3</v>
      </c>
      <c r="F306" t="str">
        <f t="shared" si="51"/>
        <v>March</v>
      </c>
      <c r="G306">
        <f t="shared" si="50"/>
        <v>22</v>
      </c>
      <c r="H306" s="7">
        <f t="shared" si="52"/>
        <v>-0.96535961525294167</v>
      </c>
      <c r="I306" s="9">
        <f t="shared" si="53"/>
        <v>-9.7004941790038487E-3</v>
      </c>
      <c r="J306" s="9">
        <f t="shared" si="54"/>
        <v>88722.352857142847</v>
      </c>
      <c r="K306" s="9">
        <f t="shared" si="57"/>
        <v>88219.484666666671</v>
      </c>
      <c r="L306" s="9">
        <f t="shared" si="56"/>
        <v>92901.130888888889</v>
      </c>
      <c r="M306" s="9">
        <f t="shared" si="55"/>
        <v>7.9505332961260274E-3</v>
      </c>
      <c r="N306" s="9">
        <f t="shared" si="58"/>
        <v>1.7421890526823136E-2</v>
      </c>
    </row>
    <row r="307" spans="1:14" x14ac:dyDescent="0.35">
      <c r="A307" s="1">
        <v>42817</v>
      </c>
      <c r="B307" s="2" t="s">
        <v>307</v>
      </c>
      <c r="C307">
        <f t="shared" si="47"/>
        <v>86853.81</v>
      </c>
      <c r="D307">
        <f t="shared" si="48"/>
        <v>2017</v>
      </c>
      <c r="E307">
        <f t="shared" si="49"/>
        <v>3</v>
      </c>
      <c r="F307" t="str">
        <f t="shared" si="51"/>
        <v>March</v>
      </c>
      <c r="G307">
        <f t="shared" si="50"/>
        <v>23</v>
      </c>
      <c r="H307" s="7">
        <f t="shared" si="52"/>
        <v>-0.2457166976291478</v>
      </c>
      <c r="I307" s="9">
        <f t="shared" si="53"/>
        <v>-2.4601907653849162E-3</v>
      </c>
      <c r="J307" s="9">
        <f t="shared" si="54"/>
        <v>88417.810000000027</v>
      </c>
      <c r="K307" s="9">
        <f t="shared" si="57"/>
        <v>88070.906666666677</v>
      </c>
      <c r="L307" s="9">
        <f t="shared" si="56"/>
        <v>92755.383000000002</v>
      </c>
      <c r="M307" s="9">
        <f t="shared" si="55"/>
        <v>7.7782426515363027E-3</v>
      </c>
      <c r="N307" s="9">
        <f t="shared" si="58"/>
        <v>1.7420824817834628E-2</v>
      </c>
    </row>
    <row r="308" spans="1:14" x14ac:dyDescent="0.35">
      <c r="A308" s="1">
        <v>42818</v>
      </c>
      <c r="B308" s="2" t="s">
        <v>308</v>
      </c>
      <c r="C308">
        <f t="shared" si="47"/>
        <v>87091.04</v>
      </c>
      <c r="D308">
        <f t="shared" si="48"/>
        <v>2017</v>
      </c>
      <c r="E308">
        <f t="shared" si="49"/>
        <v>3</v>
      </c>
      <c r="F308" t="str">
        <f t="shared" si="51"/>
        <v>March</v>
      </c>
      <c r="G308">
        <f t="shared" si="50"/>
        <v>24</v>
      </c>
      <c r="H308" s="7">
        <f t="shared" si="52"/>
        <v>0.27313712547555019</v>
      </c>
      <c r="I308" s="9">
        <f t="shared" si="53"/>
        <v>2.7276478387697127E-3</v>
      </c>
      <c r="J308" s="9">
        <f t="shared" si="54"/>
        <v>88070.994285714303</v>
      </c>
      <c r="K308" s="9">
        <f t="shared" si="57"/>
        <v>87949.930333333337</v>
      </c>
      <c r="L308" s="9">
        <f t="shared" si="56"/>
        <v>92609.951888888885</v>
      </c>
      <c r="M308" s="9">
        <f t="shared" si="55"/>
        <v>7.1969030598845731E-3</v>
      </c>
      <c r="N308" s="9">
        <f t="shared" si="58"/>
        <v>1.7414120536152104E-2</v>
      </c>
    </row>
    <row r="309" spans="1:14" x14ac:dyDescent="0.35">
      <c r="A309" s="1">
        <v>42821</v>
      </c>
      <c r="B309" s="2" t="s">
        <v>309</v>
      </c>
      <c r="C309">
        <f t="shared" si="47"/>
        <v>87291.39</v>
      </c>
      <c r="D309">
        <f t="shared" si="48"/>
        <v>2017</v>
      </c>
      <c r="E309">
        <f t="shared" si="49"/>
        <v>3</v>
      </c>
      <c r="F309" t="str">
        <f t="shared" si="51"/>
        <v>March</v>
      </c>
      <c r="G309">
        <f t="shared" si="50"/>
        <v>27</v>
      </c>
      <c r="H309" s="7">
        <f t="shared" si="52"/>
        <v>0.23004662706979481</v>
      </c>
      <c r="I309" s="9">
        <f t="shared" si="53"/>
        <v>2.2978242493116108E-3</v>
      </c>
      <c r="J309" s="9">
        <f t="shared" si="54"/>
        <v>87662.665714285715</v>
      </c>
      <c r="K309" s="9">
        <f t="shared" si="57"/>
        <v>87841.217666666678</v>
      </c>
      <c r="L309" s="9">
        <f t="shared" si="56"/>
        <v>92476.25033333333</v>
      </c>
      <c r="M309" s="9">
        <f t="shared" si="55"/>
        <v>6.1429144760761639E-3</v>
      </c>
      <c r="N309" s="9">
        <f t="shared" si="58"/>
        <v>1.7426566664558971E-2</v>
      </c>
    </row>
    <row r="310" spans="1:14" x14ac:dyDescent="0.35">
      <c r="A310" s="1">
        <v>42822</v>
      </c>
      <c r="B310" s="2" t="s">
        <v>310</v>
      </c>
      <c r="C310">
        <f t="shared" si="47"/>
        <v>88570.16</v>
      </c>
      <c r="D310">
        <f t="shared" si="48"/>
        <v>2017</v>
      </c>
      <c r="E310">
        <f t="shared" si="49"/>
        <v>3</v>
      </c>
      <c r="F310" t="str">
        <f t="shared" si="51"/>
        <v>March</v>
      </c>
      <c r="G310">
        <f t="shared" si="50"/>
        <v>28</v>
      </c>
      <c r="H310" s="7">
        <f t="shared" si="52"/>
        <v>1.4649440225433508</v>
      </c>
      <c r="I310" s="9">
        <f t="shared" si="53"/>
        <v>1.4543173748413969E-2</v>
      </c>
      <c r="J310" s="9">
        <f t="shared" si="54"/>
        <v>87616.53</v>
      </c>
      <c r="K310" s="9">
        <f t="shared" si="57"/>
        <v>87798.662666666685</v>
      </c>
      <c r="L310" s="9">
        <f t="shared" si="56"/>
        <v>92353.098999999987</v>
      </c>
      <c r="M310" s="9">
        <f t="shared" si="55"/>
        <v>8.0342095126780064E-3</v>
      </c>
      <c r="N310" s="9">
        <f t="shared" si="58"/>
        <v>1.7611850974238057E-2</v>
      </c>
    </row>
    <row r="311" spans="1:14" x14ac:dyDescent="0.35">
      <c r="A311" s="1">
        <v>42823</v>
      </c>
      <c r="B311" s="2" t="s">
        <v>311</v>
      </c>
      <c r="C311">
        <f t="shared" si="47"/>
        <v>88260.08</v>
      </c>
      <c r="D311">
        <f t="shared" si="48"/>
        <v>2017</v>
      </c>
      <c r="E311">
        <f t="shared" si="49"/>
        <v>3</v>
      </c>
      <c r="F311" t="str">
        <f t="shared" si="51"/>
        <v>March</v>
      </c>
      <c r="G311">
        <f t="shared" si="50"/>
        <v>29</v>
      </c>
      <c r="H311" s="7">
        <f t="shared" si="52"/>
        <v>-0.35009533684934263</v>
      </c>
      <c r="I311" s="9">
        <f t="shared" si="53"/>
        <v>-3.5070960467482384E-3</v>
      </c>
      <c r="J311" s="9">
        <f t="shared" si="54"/>
        <v>87578.67</v>
      </c>
      <c r="K311" s="9">
        <f t="shared" si="57"/>
        <v>87743.598666666701</v>
      </c>
      <c r="L311" s="9">
        <f t="shared" si="56"/>
        <v>92237.243555555542</v>
      </c>
      <c r="M311" s="9">
        <f t="shared" si="55"/>
        <v>7.9894613805237841E-3</v>
      </c>
      <c r="N311" s="9">
        <f t="shared" si="58"/>
        <v>1.7618837952517997E-2</v>
      </c>
    </row>
    <row r="312" spans="1:14" x14ac:dyDescent="0.35">
      <c r="A312" s="1">
        <v>42824</v>
      </c>
      <c r="B312" s="2" t="s">
        <v>312</v>
      </c>
      <c r="C312">
        <f t="shared" si="47"/>
        <v>87717.58</v>
      </c>
      <c r="D312">
        <f t="shared" si="48"/>
        <v>2017</v>
      </c>
      <c r="E312">
        <f t="shared" si="49"/>
        <v>3</v>
      </c>
      <c r="F312" t="str">
        <f t="shared" si="51"/>
        <v>March</v>
      </c>
      <c r="G312">
        <f t="shared" si="50"/>
        <v>30</v>
      </c>
      <c r="H312" s="7">
        <f t="shared" si="52"/>
        <v>-0.61466067105309674</v>
      </c>
      <c r="I312" s="9">
        <f t="shared" si="53"/>
        <v>-6.1655748640215792E-3</v>
      </c>
      <c r="J312" s="9">
        <f t="shared" si="54"/>
        <v>87550.258571428567</v>
      </c>
      <c r="K312" s="9">
        <f t="shared" si="57"/>
        <v>87684.625000000029</v>
      </c>
      <c r="L312" s="9">
        <f t="shared" si="56"/>
        <v>92130.179555555544</v>
      </c>
      <c r="M312" s="9">
        <f t="shared" si="55"/>
        <v>7.8946967648668535E-3</v>
      </c>
      <c r="N312" s="9">
        <f t="shared" si="58"/>
        <v>1.7632252443593649E-2</v>
      </c>
    </row>
    <row r="313" spans="1:14" x14ac:dyDescent="0.35">
      <c r="A313" s="1">
        <v>42825</v>
      </c>
      <c r="B313" s="2" t="s">
        <v>313</v>
      </c>
      <c r="C313">
        <f t="shared" si="47"/>
        <v>86730.82</v>
      </c>
      <c r="D313">
        <f t="shared" si="48"/>
        <v>2017</v>
      </c>
      <c r="E313">
        <f t="shared" si="49"/>
        <v>3</v>
      </c>
      <c r="F313" t="str">
        <f t="shared" si="51"/>
        <v>March</v>
      </c>
      <c r="G313">
        <f t="shared" si="50"/>
        <v>31</v>
      </c>
      <c r="H313" s="7">
        <f t="shared" si="52"/>
        <v>-1.1249284350981807</v>
      </c>
      <c r="I313" s="9">
        <f t="shared" si="53"/>
        <v>-1.1313036108860846E-2</v>
      </c>
      <c r="J313" s="9">
        <f t="shared" si="54"/>
        <v>87502.125714285736</v>
      </c>
      <c r="K313" s="9">
        <f t="shared" si="57"/>
        <v>87585.762666666677</v>
      </c>
      <c r="L313" s="9">
        <f t="shared" si="56"/>
        <v>92015.363666666657</v>
      </c>
      <c r="M313" s="9">
        <f t="shared" si="55"/>
        <v>8.2303071949368176E-3</v>
      </c>
      <c r="N313" s="9">
        <f t="shared" si="58"/>
        <v>1.7727918611507392E-2</v>
      </c>
    </row>
    <row r="314" spans="1:14" x14ac:dyDescent="0.35">
      <c r="A314" s="1">
        <v>42828</v>
      </c>
      <c r="B314" s="2" t="s">
        <v>314</v>
      </c>
      <c r="C314">
        <f t="shared" si="47"/>
        <v>87564.82</v>
      </c>
      <c r="D314">
        <f t="shared" si="48"/>
        <v>2017</v>
      </c>
      <c r="E314">
        <f t="shared" si="49"/>
        <v>4</v>
      </c>
      <c r="F314" t="str">
        <f t="shared" si="51"/>
        <v>April</v>
      </c>
      <c r="G314">
        <f t="shared" si="50"/>
        <v>3</v>
      </c>
      <c r="H314" s="7">
        <f t="shared" si="52"/>
        <v>0.96159588944276098</v>
      </c>
      <c r="I314" s="9">
        <f t="shared" si="53"/>
        <v>9.570019825707668E-3</v>
      </c>
      <c r="J314" s="9">
        <f t="shared" si="54"/>
        <v>87603.698571428584</v>
      </c>
      <c r="K314" s="9">
        <f t="shared" si="57"/>
        <v>87520.530000000013</v>
      </c>
      <c r="L314" s="9">
        <f t="shared" si="56"/>
        <v>91910.313222222205</v>
      </c>
      <c r="M314" s="9">
        <f t="shared" si="55"/>
        <v>8.9871412214612353E-3</v>
      </c>
      <c r="N314" s="9">
        <f t="shared" si="58"/>
        <v>1.7833784799807084E-2</v>
      </c>
    </row>
    <row r="315" spans="1:14" x14ac:dyDescent="0.35">
      <c r="A315" s="1">
        <v>42829</v>
      </c>
      <c r="B315" s="2" t="s">
        <v>315</v>
      </c>
      <c r="C315">
        <f t="shared" si="47"/>
        <v>85942.71</v>
      </c>
      <c r="D315">
        <f t="shared" si="48"/>
        <v>2017</v>
      </c>
      <c r="E315">
        <f t="shared" si="49"/>
        <v>4</v>
      </c>
      <c r="F315" t="str">
        <f t="shared" si="51"/>
        <v>April</v>
      </c>
      <c r="G315">
        <f t="shared" si="50"/>
        <v>4</v>
      </c>
      <c r="H315" s="7">
        <f t="shared" si="52"/>
        <v>-1.8524676919338159</v>
      </c>
      <c r="I315" s="9">
        <f t="shared" si="53"/>
        <v>-1.8698407628899402E-2</v>
      </c>
      <c r="J315" s="9">
        <f t="shared" si="54"/>
        <v>87439.651428571437</v>
      </c>
      <c r="K315" s="9">
        <f t="shared" si="57"/>
        <v>87428.050000000017</v>
      </c>
      <c r="L315" s="9">
        <f t="shared" si="56"/>
        <v>91789.680444444442</v>
      </c>
      <c r="M315" s="9">
        <f t="shared" si="55"/>
        <v>1.1627055925949441E-2</v>
      </c>
      <c r="N315" s="9">
        <f t="shared" si="58"/>
        <v>1.8074566844645173E-2</v>
      </c>
    </row>
    <row r="316" spans="1:14" x14ac:dyDescent="0.35">
      <c r="A316" s="1">
        <v>42830</v>
      </c>
      <c r="B316" s="2" t="s">
        <v>316</v>
      </c>
      <c r="C316">
        <f t="shared" si="47"/>
        <v>87325.35</v>
      </c>
      <c r="D316">
        <f t="shared" si="48"/>
        <v>2017</v>
      </c>
      <c r="E316">
        <f t="shared" si="49"/>
        <v>4</v>
      </c>
      <c r="F316" t="str">
        <f t="shared" si="51"/>
        <v>April</v>
      </c>
      <c r="G316">
        <f t="shared" si="50"/>
        <v>5</v>
      </c>
      <c r="H316" s="7">
        <f t="shared" si="52"/>
        <v>1.6087926480326247</v>
      </c>
      <c r="I316" s="9">
        <f t="shared" si="53"/>
        <v>1.5959887223108316E-2</v>
      </c>
      <c r="J316" s="9">
        <f t="shared" si="54"/>
        <v>87444.502857142856</v>
      </c>
      <c r="K316" s="9">
        <f t="shared" si="57"/>
        <v>87458.679666666678</v>
      </c>
      <c r="L316" s="9">
        <f t="shared" si="56"/>
        <v>91679.722333333324</v>
      </c>
      <c r="M316" s="9">
        <f t="shared" si="55"/>
        <v>1.3451857608608238E-2</v>
      </c>
      <c r="N316" s="9">
        <f t="shared" si="58"/>
        <v>1.7677373032574425E-2</v>
      </c>
    </row>
    <row r="317" spans="1:14" x14ac:dyDescent="0.35">
      <c r="A317" s="1">
        <v>42831</v>
      </c>
      <c r="B317" s="2" t="s">
        <v>317</v>
      </c>
      <c r="C317">
        <f t="shared" si="47"/>
        <v>88321.76</v>
      </c>
      <c r="D317">
        <f t="shared" si="48"/>
        <v>2017</v>
      </c>
      <c r="E317">
        <f t="shared" si="49"/>
        <v>4</v>
      </c>
      <c r="F317" t="str">
        <f t="shared" si="51"/>
        <v>April</v>
      </c>
      <c r="G317">
        <f t="shared" si="50"/>
        <v>6</v>
      </c>
      <c r="H317" s="7">
        <f t="shared" si="52"/>
        <v>1.1410317851574472</v>
      </c>
      <c r="I317" s="9">
        <f t="shared" si="53"/>
        <v>1.1345711165570632E-2</v>
      </c>
      <c r="J317" s="9">
        <f t="shared" si="54"/>
        <v>87409.017142857148</v>
      </c>
      <c r="K317" s="9">
        <f t="shared" si="57"/>
        <v>87534.686999999976</v>
      </c>
      <c r="L317" s="9">
        <f t="shared" si="56"/>
        <v>91579.247888888873</v>
      </c>
      <c r="M317" s="9">
        <f t="shared" si="55"/>
        <v>1.2921757517027158E-2</v>
      </c>
      <c r="N317" s="9">
        <f t="shared" si="58"/>
        <v>1.7766623391606947E-2</v>
      </c>
    </row>
    <row r="318" spans="1:14" x14ac:dyDescent="0.35">
      <c r="A318" s="1">
        <v>42832</v>
      </c>
      <c r="B318" s="2" t="s">
        <v>318</v>
      </c>
      <c r="C318">
        <f t="shared" si="47"/>
        <v>87753.79</v>
      </c>
      <c r="D318">
        <f t="shared" si="48"/>
        <v>2017</v>
      </c>
      <c r="E318">
        <f t="shared" si="49"/>
        <v>4</v>
      </c>
      <c r="F318" t="str">
        <f t="shared" si="51"/>
        <v>April</v>
      </c>
      <c r="G318">
        <f t="shared" si="50"/>
        <v>7</v>
      </c>
      <c r="H318" s="7">
        <f t="shared" si="52"/>
        <v>-0.64306915985369995</v>
      </c>
      <c r="I318" s="9">
        <f t="shared" si="53"/>
        <v>-6.4514575699996732E-3</v>
      </c>
      <c r="J318" s="9">
        <f t="shared" si="54"/>
        <v>87336.690000000017</v>
      </c>
      <c r="K318" s="9">
        <f t="shared" si="57"/>
        <v>87710.286333333308</v>
      </c>
      <c r="L318" s="9">
        <f t="shared" si="56"/>
        <v>91473.956444444426</v>
      </c>
      <c r="M318" s="9">
        <f t="shared" si="55"/>
        <v>1.3086579530580691E-2</v>
      </c>
      <c r="N318" s="9">
        <f t="shared" si="58"/>
        <v>1.5876064078097284E-2</v>
      </c>
    </row>
    <row r="319" spans="1:14" x14ac:dyDescent="0.35">
      <c r="A319" s="1">
        <v>42835</v>
      </c>
      <c r="B319" s="2" t="s">
        <v>319</v>
      </c>
      <c r="C319">
        <f t="shared" si="47"/>
        <v>87423.27</v>
      </c>
      <c r="D319">
        <f t="shared" si="48"/>
        <v>2017</v>
      </c>
      <c r="E319">
        <f t="shared" si="49"/>
        <v>4</v>
      </c>
      <c r="F319" t="str">
        <f t="shared" si="51"/>
        <v>April</v>
      </c>
      <c r="G319">
        <f t="shared" si="50"/>
        <v>10</v>
      </c>
      <c r="H319" s="7">
        <f t="shared" si="52"/>
        <v>-0.37664470104366948</v>
      </c>
      <c r="I319" s="9">
        <f t="shared" si="53"/>
        <v>-3.7735579328684807E-3</v>
      </c>
      <c r="J319" s="9">
        <f t="shared" si="54"/>
        <v>87294.645714285711</v>
      </c>
      <c r="K319" s="9">
        <f t="shared" si="57"/>
        <v>87816.81733333334</v>
      </c>
      <c r="L319" s="9">
        <f t="shared" si="56"/>
        <v>91364.706777777756</v>
      </c>
      <c r="M319" s="9">
        <f t="shared" si="55"/>
        <v>1.2954350055175694E-2</v>
      </c>
      <c r="N319" s="9">
        <f t="shared" si="58"/>
        <v>1.5501576634582829E-2</v>
      </c>
    </row>
    <row r="320" spans="1:14" x14ac:dyDescent="0.35">
      <c r="A320" s="1">
        <v>42836</v>
      </c>
      <c r="B320" s="2" t="s">
        <v>320</v>
      </c>
      <c r="C320">
        <f t="shared" si="47"/>
        <v>88913.81</v>
      </c>
      <c r="D320">
        <f t="shared" si="48"/>
        <v>2017</v>
      </c>
      <c r="E320">
        <f t="shared" si="49"/>
        <v>4</v>
      </c>
      <c r="F320" t="str">
        <f t="shared" si="51"/>
        <v>April</v>
      </c>
      <c r="G320">
        <f t="shared" si="50"/>
        <v>11</v>
      </c>
      <c r="H320" s="7">
        <f t="shared" si="52"/>
        <v>1.7049693977358584</v>
      </c>
      <c r="I320" s="9">
        <f t="shared" si="53"/>
        <v>1.6905979173888204E-2</v>
      </c>
      <c r="J320" s="9">
        <f t="shared" si="54"/>
        <v>87606.501428571428</v>
      </c>
      <c r="K320" s="9">
        <f t="shared" si="57"/>
        <v>88041.89366666667</v>
      </c>
      <c r="L320" s="9">
        <f t="shared" si="56"/>
        <v>91270.82288888887</v>
      </c>
      <c r="M320" s="9">
        <f t="shared" si="55"/>
        <v>1.3404330883830522E-2</v>
      </c>
      <c r="N320" s="9">
        <f t="shared" si="58"/>
        <v>1.4943719851209136E-2</v>
      </c>
    </row>
    <row r="321" spans="1:14" x14ac:dyDescent="0.35">
      <c r="A321" s="1">
        <v>42837</v>
      </c>
      <c r="B321" s="2" t="s">
        <v>321</v>
      </c>
      <c r="C321">
        <f t="shared" si="47"/>
        <v>88873.33</v>
      </c>
      <c r="D321">
        <f t="shared" si="48"/>
        <v>2017</v>
      </c>
      <c r="E321">
        <f t="shared" si="49"/>
        <v>4</v>
      </c>
      <c r="F321" t="str">
        <f t="shared" si="51"/>
        <v>April</v>
      </c>
      <c r="G321">
        <f t="shared" si="50"/>
        <v>12</v>
      </c>
      <c r="H321" s="7">
        <f t="shared" si="52"/>
        <v>-4.5527235870328725E-2</v>
      </c>
      <c r="I321" s="9">
        <f t="shared" si="53"/>
        <v>-4.5537602662949485E-4</v>
      </c>
      <c r="J321" s="9">
        <f t="shared" si="54"/>
        <v>87793.431428571421</v>
      </c>
      <c r="K321" s="9">
        <f t="shared" si="57"/>
        <v>88285.882666666686</v>
      </c>
      <c r="L321" s="9">
        <f t="shared" si="56"/>
        <v>91178.496444444419</v>
      </c>
      <c r="M321" s="9">
        <f t="shared" si="55"/>
        <v>1.31878982745753E-2</v>
      </c>
      <c r="N321" s="9">
        <f t="shared" si="58"/>
        <v>1.4835733249992222E-2</v>
      </c>
    </row>
    <row r="322" spans="1:14" x14ac:dyDescent="0.35">
      <c r="A322" s="1">
        <v>42838</v>
      </c>
      <c r="B322" s="2" t="s">
        <v>322</v>
      </c>
      <c r="C322">
        <f t="shared" si="47"/>
        <v>88341.89</v>
      </c>
      <c r="D322">
        <f t="shared" si="48"/>
        <v>2017</v>
      </c>
      <c r="E322">
        <f t="shared" si="49"/>
        <v>4</v>
      </c>
      <c r="F322" t="str">
        <f t="shared" si="51"/>
        <v>April</v>
      </c>
      <c r="G322">
        <f t="shared" si="50"/>
        <v>13</v>
      </c>
      <c r="H322" s="7">
        <f t="shared" si="52"/>
        <v>-0.59797466799095111</v>
      </c>
      <c r="I322" s="9">
        <f t="shared" si="53"/>
        <v>-5.9976969596105302E-3</v>
      </c>
      <c r="J322" s="9">
        <f t="shared" si="54"/>
        <v>88136.171428571426</v>
      </c>
      <c r="K322" s="9">
        <f t="shared" si="57"/>
        <v>88361.195000000007</v>
      </c>
      <c r="L322" s="9">
        <f t="shared" si="56"/>
        <v>91082.994888888876</v>
      </c>
      <c r="M322" s="9">
        <f t="shared" si="55"/>
        <v>1.0432298175323157E-2</v>
      </c>
      <c r="N322" s="9">
        <f t="shared" si="58"/>
        <v>1.1328695432887679E-2</v>
      </c>
    </row>
    <row r="323" spans="1:14" x14ac:dyDescent="0.35">
      <c r="A323" s="1">
        <v>42843</v>
      </c>
      <c r="B323" s="2" t="s">
        <v>323</v>
      </c>
      <c r="C323">
        <f t="shared" ref="C323:C386" si="59">_xlfn.NUMBERVALUE(B323,".",",")</f>
        <v>89061.67</v>
      </c>
      <c r="D323">
        <f t="shared" ref="D323:D386" si="60">YEAR(A323)</f>
        <v>2017</v>
      </c>
      <c r="E323">
        <f t="shared" ref="E323:E386" si="61">MONTH(A323)</f>
        <v>4</v>
      </c>
      <c r="F323" t="str">
        <f t="shared" si="51"/>
        <v>April</v>
      </c>
      <c r="G323">
        <f t="shared" ref="G323:G386" si="62">DAY(A323)</f>
        <v>18</v>
      </c>
      <c r="H323" s="7">
        <f t="shared" si="52"/>
        <v>0.81476635829276323</v>
      </c>
      <c r="I323" s="9">
        <f t="shared" si="53"/>
        <v>8.1146505700527161E-3</v>
      </c>
      <c r="J323" s="9">
        <f t="shared" si="54"/>
        <v>88384.217142857146</v>
      </c>
      <c r="K323" s="9">
        <f t="shared" si="57"/>
        <v>88359.72600000001</v>
      </c>
      <c r="L323" s="9">
        <f t="shared" si="56"/>
        <v>90999.131555555519</v>
      </c>
      <c r="M323" s="9">
        <f t="shared" si="55"/>
        <v>9.2830517768860005E-3</v>
      </c>
      <c r="N323" s="9">
        <f t="shared" si="58"/>
        <v>9.5024583218952553E-3</v>
      </c>
    </row>
    <row r="324" spans="1:14" x14ac:dyDescent="0.35">
      <c r="A324" s="1">
        <v>42844</v>
      </c>
      <c r="B324" s="2" t="s">
        <v>324</v>
      </c>
      <c r="C324">
        <f t="shared" si="59"/>
        <v>88399.57</v>
      </c>
      <c r="D324">
        <f t="shared" si="60"/>
        <v>2017</v>
      </c>
      <c r="E324">
        <f t="shared" si="61"/>
        <v>4</v>
      </c>
      <c r="F324" t="str">
        <f t="shared" ref="F324:F387" si="63">TEXT(A324,"mmmm")</f>
        <v>April</v>
      </c>
      <c r="G324">
        <f t="shared" si="62"/>
        <v>19</v>
      </c>
      <c r="H324" s="7">
        <f t="shared" ref="H324:H387" si="64">((C324-C323)/C323)*100</f>
        <v>-0.74341745444475871</v>
      </c>
      <c r="I324" s="9">
        <f t="shared" ref="I324:I387" si="65">LN(C324/C323)</f>
        <v>-7.4619457429254809E-3</v>
      </c>
      <c r="J324" s="9">
        <f t="shared" si="54"/>
        <v>88395.332857142872</v>
      </c>
      <c r="K324" s="9">
        <f t="shared" si="57"/>
        <v>88308.01866666667</v>
      </c>
      <c r="L324" s="9">
        <f t="shared" si="56"/>
        <v>90904.556222222207</v>
      </c>
      <c r="M324" s="9">
        <f t="shared" si="55"/>
        <v>9.1220458415929052E-3</v>
      </c>
      <c r="N324" s="9">
        <f t="shared" si="58"/>
        <v>9.4232142847378454E-3</v>
      </c>
    </row>
    <row r="325" spans="1:14" x14ac:dyDescent="0.35">
      <c r="A325" s="1">
        <v>42845</v>
      </c>
      <c r="B325" s="2" t="s">
        <v>325</v>
      </c>
      <c r="C325">
        <f t="shared" si="59"/>
        <v>88717.13</v>
      </c>
      <c r="D325">
        <f t="shared" si="60"/>
        <v>2017</v>
      </c>
      <c r="E325">
        <f t="shared" si="61"/>
        <v>4</v>
      </c>
      <c r="F325" t="str">
        <f t="shared" si="63"/>
        <v>April</v>
      </c>
      <c r="G325">
        <f t="shared" si="62"/>
        <v>20</v>
      </c>
      <c r="H325" s="7">
        <f t="shared" si="64"/>
        <v>0.35923251662875472</v>
      </c>
      <c r="I325" s="9">
        <f t="shared" si="65"/>
        <v>3.5858881774692005E-3</v>
      </c>
      <c r="J325" s="9">
        <f t="shared" si="54"/>
        <v>88532.952857142867</v>
      </c>
      <c r="K325" s="9">
        <f t="shared" si="57"/>
        <v>88310.674666666659</v>
      </c>
      <c r="L325" s="9">
        <f t="shared" si="56"/>
        <v>90818.86055555554</v>
      </c>
      <c r="M325" s="9">
        <f t="shared" si="55"/>
        <v>8.6947264886692421E-3</v>
      </c>
      <c r="N325" s="9">
        <f t="shared" si="58"/>
        <v>9.0624213254251705E-3</v>
      </c>
    </row>
    <row r="326" spans="1:14" x14ac:dyDescent="0.35">
      <c r="A326" s="1">
        <v>42846</v>
      </c>
      <c r="B326" s="2" t="s">
        <v>326</v>
      </c>
      <c r="C326">
        <f t="shared" si="59"/>
        <v>87841.46</v>
      </c>
      <c r="D326">
        <f t="shared" si="60"/>
        <v>2017</v>
      </c>
      <c r="E326">
        <f t="shared" si="61"/>
        <v>4</v>
      </c>
      <c r="F326" t="str">
        <f t="shared" si="63"/>
        <v>April</v>
      </c>
      <c r="G326">
        <f t="shared" si="62"/>
        <v>21</v>
      </c>
      <c r="H326" s="7">
        <f t="shared" si="64"/>
        <v>-0.9870359873003085</v>
      </c>
      <c r="I326" s="9">
        <f t="shared" si="65"/>
        <v>-9.9193948034257441E-3</v>
      </c>
      <c r="J326" s="9">
        <f t="shared" si="54"/>
        <v>88592.694285714286</v>
      </c>
      <c r="K326" s="9">
        <f t="shared" si="57"/>
        <v>88252.970666666675</v>
      </c>
      <c r="L326" s="9">
        <f t="shared" si="56"/>
        <v>90729.740333333306</v>
      </c>
      <c r="M326" s="9">
        <f t="shared" si="55"/>
        <v>9.58748976970486E-3</v>
      </c>
      <c r="N326" s="9">
        <f t="shared" si="58"/>
        <v>9.0158523767255045E-3</v>
      </c>
    </row>
    <row r="327" spans="1:14" x14ac:dyDescent="0.35">
      <c r="A327" s="1">
        <v>42849</v>
      </c>
      <c r="B327" s="2" t="s">
        <v>327</v>
      </c>
      <c r="C327">
        <f t="shared" si="59"/>
        <v>87942.18</v>
      </c>
      <c r="D327">
        <f t="shared" si="60"/>
        <v>2017</v>
      </c>
      <c r="E327">
        <f t="shared" si="61"/>
        <v>4</v>
      </c>
      <c r="F327" t="str">
        <f t="shared" si="63"/>
        <v>April</v>
      </c>
      <c r="G327">
        <f t="shared" si="62"/>
        <v>24</v>
      </c>
      <c r="H327" s="7">
        <f t="shared" si="64"/>
        <v>0.11466111788213289</v>
      </c>
      <c r="I327" s="9">
        <f t="shared" si="65"/>
        <v>1.1459543222818093E-3</v>
      </c>
      <c r="J327" s="9">
        <f t="shared" si="54"/>
        <v>88453.89</v>
      </c>
      <c r="K327" s="9">
        <f t="shared" si="57"/>
        <v>88187.788666666675</v>
      </c>
      <c r="L327" s="9">
        <f t="shared" si="56"/>
        <v>90640.561666666646</v>
      </c>
      <c r="M327" s="9">
        <f t="shared" si="55"/>
        <v>6.4939247508053665E-3</v>
      </c>
      <c r="N327" s="9">
        <f t="shared" si="58"/>
        <v>8.9866699963514016E-3</v>
      </c>
    </row>
    <row r="328" spans="1:14" x14ac:dyDescent="0.35">
      <c r="A328" s="1">
        <v>42850</v>
      </c>
      <c r="B328" s="2" t="s">
        <v>328</v>
      </c>
      <c r="C328">
        <f t="shared" si="59"/>
        <v>87562.74</v>
      </c>
      <c r="D328">
        <f t="shared" si="60"/>
        <v>2017</v>
      </c>
      <c r="E328">
        <f t="shared" si="61"/>
        <v>4</v>
      </c>
      <c r="F328" t="str">
        <f t="shared" si="63"/>
        <v>April</v>
      </c>
      <c r="G328">
        <f t="shared" si="62"/>
        <v>25</v>
      </c>
      <c r="H328" s="7">
        <f t="shared" si="64"/>
        <v>-0.4314653105028643</v>
      </c>
      <c r="I328" s="9">
        <f t="shared" si="65"/>
        <v>-4.3239880818717411E-3</v>
      </c>
      <c r="J328" s="9">
        <f t="shared" si="54"/>
        <v>88266.662857142859</v>
      </c>
      <c r="K328" s="9">
        <f t="shared" si="57"/>
        <v>88108.995666666684</v>
      </c>
      <c r="L328" s="9">
        <f t="shared" si="56"/>
        <v>90554.467444444424</v>
      </c>
      <c r="M328" s="9">
        <f t="shared" si="55"/>
        <v>6.5476801434993818E-3</v>
      </c>
      <c r="N328" s="9">
        <f t="shared" si="58"/>
        <v>9.0078711800568589E-3</v>
      </c>
    </row>
    <row r="329" spans="1:14" x14ac:dyDescent="0.35">
      <c r="A329" s="1">
        <v>42851</v>
      </c>
      <c r="B329" s="2" t="s">
        <v>329</v>
      </c>
      <c r="C329">
        <f t="shared" si="59"/>
        <v>87765.36</v>
      </c>
      <c r="D329">
        <f t="shared" si="60"/>
        <v>2017</v>
      </c>
      <c r="E329">
        <f t="shared" si="61"/>
        <v>4</v>
      </c>
      <c r="F329" t="str">
        <f t="shared" si="63"/>
        <v>April</v>
      </c>
      <c r="G329">
        <f t="shared" si="62"/>
        <v>26</v>
      </c>
      <c r="H329" s="7">
        <f t="shared" si="64"/>
        <v>0.2313997940219725</v>
      </c>
      <c r="I329" s="9">
        <f t="shared" si="65"/>
        <v>2.311324769998829E-3</v>
      </c>
      <c r="J329" s="9">
        <f t="shared" ref="J329:J392" si="66">AVERAGE(C323:C329)</f>
        <v>88184.301428571431</v>
      </c>
      <c r="K329" s="9">
        <f t="shared" si="57"/>
        <v>88044.073000000019</v>
      </c>
      <c r="L329" s="9">
        <f t="shared" si="56"/>
        <v>90464.226666666655</v>
      </c>
      <c r="M329" s="9">
        <f t="shared" si="55"/>
        <v>6.4808591353098261E-3</v>
      </c>
      <c r="N329" s="9">
        <f t="shared" si="58"/>
        <v>9.0218051042305018E-3</v>
      </c>
    </row>
    <row r="330" spans="1:14" x14ac:dyDescent="0.35">
      <c r="A330" s="1">
        <v>42853</v>
      </c>
      <c r="B330" s="2" t="s">
        <v>330</v>
      </c>
      <c r="C330">
        <f t="shared" si="59"/>
        <v>87474.49</v>
      </c>
      <c r="D330">
        <f t="shared" si="60"/>
        <v>2017</v>
      </c>
      <c r="E330">
        <f t="shared" si="61"/>
        <v>4</v>
      </c>
      <c r="F330" t="str">
        <f t="shared" si="63"/>
        <v>April</v>
      </c>
      <c r="G330">
        <f t="shared" si="62"/>
        <v>28</v>
      </c>
      <c r="H330" s="7">
        <f t="shared" si="64"/>
        <v>-0.33141777120266508</v>
      </c>
      <c r="I330" s="9">
        <f t="shared" si="65"/>
        <v>-3.3196817632807057E-3</v>
      </c>
      <c r="J330" s="9">
        <f t="shared" si="66"/>
        <v>87957.56142857144</v>
      </c>
      <c r="K330" s="9">
        <f t="shared" si="57"/>
        <v>87993.702333333364</v>
      </c>
      <c r="L330" s="9">
        <f t="shared" si="56"/>
        <v>90379.185444444433</v>
      </c>
      <c r="M330" s="9">
        <f t="shared" ref="M330:M393" si="67">STDEV(I324:I330)</f>
        <v>5.1171905027715828E-3</v>
      </c>
      <c r="N330" s="9">
        <f t="shared" si="58"/>
        <v>8.927705035226911E-3</v>
      </c>
    </row>
    <row r="331" spans="1:14" x14ac:dyDescent="0.35">
      <c r="A331" s="1">
        <v>42857</v>
      </c>
      <c r="B331" s="2" t="s">
        <v>331</v>
      </c>
      <c r="C331">
        <f t="shared" si="59"/>
        <v>87191.22</v>
      </c>
      <c r="D331">
        <f t="shared" si="60"/>
        <v>2017</v>
      </c>
      <c r="E331">
        <f t="shared" si="61"/>
        <v>5</v>
      </c>
      <c r="F331" t="str">
        <f t="shared" si="63"/>
        <v>May</v>
      </c>
      <c r="G331">
        <f t="shared" si="62"/>
        <v>2</v>
      </c>
      <c r="H331" s="7">
        <f t="shared" si="64"/>
        <v>-0.32383155363352684</v>
      </c>
      <c r="I331" s="9">
        <f t="shared" si="65"/>
        <v>-3.243570227390117E-3</v>
      </c>
      <c r="J331" s="9">
        <f t="shared" si="66"/>
        <v>87784.939999999988</v>
      </c>
      <c r="K331" s="9">
        <f t="shared" si="57"/>
        <v>87916.118000000031</v>
      </c>
      <c r="L331" s="9">
        <f t="shared" si="56"/>
        <v>90295.638111111082</v>
      </c>
      <c r="M331" s="9">
        <f t="shared" si="67"/>
        <v>4.6741214079047697E-3</v>
      </c>
      <c r="N331" s="9">
        <f t="shared" si="58"/>
        <v>8.8530074085821937E-3</v>
      </c>
    </row>
    <row r="332" spans="1:14" x14ac:dyDescent="0.35">
      <c r="A332" s="1">
        <v>42858</v>
      </c>
      <c r="B332" s="2" t="s">
        <v>332</v>
      </c>
      <c r="C332">
        <f t="shared" si="59"/>
        <v>86610.7</v>
      </c>
      <c r="D332">
        <f t="shared" si="60"/>
        <v>2017</v>
      </c>
      <c r="E332">
        <f t="shared" si="61"/>
        <v>5</v>
      </c>
      <c r="F332" t="str">
        <f t="shared" si="63"/>
        <v>May</v>
      </c>
      <c r="G332">
        <f t="shared" si="62"/>
        <v>3</v>
      </c>
      <c r="H332" s="7">
        <f t="shared" si="64"/>
        <v>-0.66580098317239289</v>
      </c>
      <c r="I332" s="9">
        <f t="shared" si="65"/>
        <v>-6.6802732542653219E-3</v>
      </c>
      <c r="J332" s="9">
        <f t="shared" si="66"/>
        <v>87484.021428571417</v>
      </c>
      <c r="K332" s="9">
        <f t="shared" si="57"/>
        <v>87798.151666666701</v>
      </c>
      <c r="L332" s="9">
        <f t="shared" si="56"/>
        <v>90203.371444444434</v>
      </c>
      <c r="M332" s="9">
        <f t="shared" si="67"/>
        <v>4.2313271172213637E-3</v>
      </c>
      <c r="N332" s="9">
        <f t="shared" si="58"/>
        <v>8.784521612204492E-3</v>
      </c>
    </row>
    <row r="333" spans="1:14" x14ac:dyDescent="0.35">
      <c r="A333" s="1">
        <v>42859</v>
      </c>
      <c r="B333" s="2" t="s">
        <v>333</v>
      </c>
      <c r="C333">
        <f t="shared" si="59"/>
        <v>86452.63</v>
      </c>
      <c r="D333">
        <f t="shared" si="60"/>
        <v>2017</v>
      </c>
      <c r="E333">
        <f t="shared" si="61"/>
        <v>5</v>
      </c>
      <c r="F333" t="str">
        <f t="shared" si="63"/>
        <v>May</v>
      </c>
      <c r="G333">
        <f t="shared" si="62"/>
        <v>4</v>
      </c>
      <c r="H333" s="7">
        <f t="shared" si="64"/>
        <v>-0.18250631850336324</v>
      </c>
      <c r="I333" s="9">
        <f t="shared" si="65"/>
        <v>-1.8267306419666647E-3</v>
      </c>
      <c r="J333" s="9">
        <f t="shared" si="66"/>
        <v>87285.61714285714</v>
      </c>
      <c r="K333" s="9">
        <f t="shared" si="57"/>
        <v>87716.802333333355</v>
      </c>
      <c r="L333" s="9">
        <f t="shared" si="56"/>
        <v>90108.48055555555</v>
      </c>
      <c r="M333" s="9">
        <f t="shared" si="67"/>
        <v>3.124433314312888E-3</v>
      </c>
      <c r="N333" s="9">
        <f t="shared" si="58"/>
        <v>8.4522999790908604E-3</v>
      </c>
    </row>
    <row r="334" spans="1:14" x14ac:dyDescent="0.35">
      <c r="A334" s="1">
        <v>42860</v>
      </c>
      <c r="B334" s="2" t="s">
        <v>334</v>
      </c>
      <c r="C334">
        <f t="shared" si="59"/>
        <v>85490.14</v>
      </c>
      <c r="D334">
        <f t="shared" si="60"/>
        <v>2017</v>
      </c>
      <c r="E334">
        <f t="shared" si="61"/>
        <v>5</v>
      </c>
      <c r="F334" t="str">
        <f t="shared" si="63"/>
        <v>May</v>
      </c>
      <c r="G334">
        <f t="shared" si="62"/>
        <v>5</v>
      </c>
      <c r="H334" s="7">
        <f t="shared" si="64"/>
        <v>-1.1133148870080705</v>
      </c>
      <c r="I334" s="9">
        <f t="shared" si="65"/>
        <v>-1.1195586220686735E-2</v>
      </c>
      <c r="J334" s="9">
        <f t="shared" si="66"/>
        <v>86935.325714285718</v>
      </c>
      <c r="K334" s="9">
        <f t="shared" si="57"/>
        <v>87615.637000000017</v>
      </c>
      <c r="L334" s="9">
        <f t="shared" si="56"/>
        <v>90006.625777777765</v>
      </c>
      <c r="M334" s="9">
        <f t="shared" si="67"/>
        <v>4.1762254141841501E-3</v>
      </c>
      <c r="N334" s="9">
        <f t="shared" si="58"/>
        <v>8.6407157329469984E-3</v>
      </c>
    </row>
    <row r="335" spans="1:14" x14ac:dyDescent="0.35">
      <c r="A335" s="1">
        <v>42863</v>
      </c>
      <c r="B335" s="2" t="s">
        <v>335</v>
      </c>
      <c r="C335">
        <f t="shared" si="59"/>
        <v>85956.65</v>
      </c>
      <c r="D335">
        <f t="shared" si="60"/>
        <v>2017</v>
      </c>
      <c r="E335">
        <f t="shared" si="61"/>
        <v>5</v>
      </c>
      <c r="F335" t="str">
        <f t="shared" si="63"/>
        <v>May</v>
      </c>
      <c r="G335">
        <f t="shared" si="62"/>
        <v>8</v>
      </c>
      <c r="H335" s="7">
        <f t="shared" si="64"/>
        <v>0.54568866070402355</v>
      </c>
      <c r="I335" s="9">
        <f t="shared" si="65"/>
        <v>5.4420517449555918E-3</v>
      </c>
      <c r="J335" s="9">
        <f t="shared" si="66"/>
        <v>86705.884285714288</v>
      </c>
      <c r="K335" s="9">
        <f t="shared" si="57"/>
        <v>87550.310000000012</v>
      </c>
      <c r="L335" s="9">
        <f t="shared" si="56"/>
        <v>89902.540333333323</v>
      </c>
      <c r="M335" s="9">
        <f t="shared" si="67"/>
        <v>5.4900601352018434E-3</v>
      </c>
      <c r="N335" s="9">
        <f t="shared" si="58"/>
        <v>8.6519687179231249E-3</v>
      </c>
    </row>
    <row r="336" spans="1:14" x14ac:dyDescent="0.35">
      <c r="A336" s="1">
        <v>42864</v>
      </c>
      <c r="B336" s="2" t="s">
        <v>336</v>
      </c>
      <c r="C336">
        <f t="shared" si="59"/>
        <v>85685.49</v>
      </c>
      <c r="D336">
        <f t="shared" si="60"/>
        <v>2017</v>
      </c>
      <c r="E336">
        <f t="shared" si="61"/>
        <v>5</v>
      </c>
      <c r="F336" t="str">
        <f t="shared" si="63"/>
        <v>May</v>
      </c>
      <c r="G336">
        <f t="shared" si="62"/>
        <v>9</v>
      </c>
      <c r="H336" s="7">
        <f t="shared" si="64"/>
        <v>-0.31546134010572652</v>
      </c>
      <c r="I336" s="9">
        <f t="shared" si="65"/>
        <v>-3.1595996832020461E-3</v>
      </c>
      <c r="J336" s="9">
        <f t="shared" si="66"/>
        <v>86408.760000000009</v>
      </c>
      <c r="K336" s="9">
        <f t="shared" si="57"/>
        <v>87504.234666666685</v>
      </c>
      <c r="L336" s="9">
        <f t="shared" si="56"/>
        <v>89776.497555555543</v>
      </c>
      <c r="M336" s="9">
        <f t="shared" si="67"/>
        <v>5.0377296759389744E-3</v>
      </c>
      <c r="N336" s="9">
        <f t="shared" si="58"/>
        <v>8.4997529291069695E-3</v>
      </c>
    </row>
    <row r="337" spans="1:14" x14ac:dyDescent="0.35">
      <c r="A337" s="1">
        <v>42865</v>
      </c>
      <c r="B337" s="2" t="s">
        <v>337</v>
      </c>
      <c r="C337">
        <f t="shared" si="59"/>
        <v>85314.73</v>
      </c>
      <c r="D337">
        <f t="shared" si="60"/>
        <v>2017</v>
      </c>
      <c r="E337">
        <f t="shared" si="61"/>
        <v>5</v>
      </c>
      <c r="F337" t="str">
        <f t="shared" si="63"/>
        <v>May</v>
      </c>
      <c r="G337">
        <f t="shared" si="62"/>
        <v>10</v>
      </c>
      <c r="H337" s="7">
        <f t="shared" si="64"/>
        <v>-0.43269869846109221</v>
      </c>
      <c r="I337" s="9">
        <f t="shared" si="65"/>
        <v>-4.336375485194696E-3</v>
      </c>
      <c r="J337" s="9">
        <f t="shared" si="66"/>
        <v>86100.222857142842</v>
      </c>
      <c r="K337" s="9">
        <f t="shared" si="57"/>
        <v>87452.932000000015</v>
      </c>
      <c r="L337" s="9">
        <f t="shared" si="56"/>
        <v>89653.281888888887</v>
      </c>
      <c r="M337" s="9">
        <f t="shared" si="67"/>
        <v>5.0487908009157487E-3</v>
      </c>
      <c r="N337" s="9">
        <f t="shared" si="58"/>
        <v>8.5212934677631746E-3</v>
      </c>
    </row>
    <row r="338" spans="1:14" x14ac:dyDescent="0.35">
      <c r="A338" s="1">
        <v>42866</v>
      </c>
      <c r="B338" s="2" t="s">
        <v>338</v>
      </c>
      <c r="C338">
        <f t="shared" si="59"/>
        <v>84447.75</v>
      </c>
      <c r="D338">
        <f t="shared" si="60"/>
        <v>2017</v>
      </c>
      <c r="E338">
        <f t="shared" si="61"/>
        <v>5</v>
      </c>
      <c r="F338" t="str">
        <f t="shared" si="63"/>
        <v>May</v>
      </c>
      <c r="G338">
        <f t="shared" si="62"/>
        <v>11</v>
      </c>
      <c r="H338" s="7">
        <f t="shared" si="64"/>
        <v>-1.016213730032312</v>
      </c>
      <c r="I338" s="9">
        <f t="shared" si="65"/>
        <v>-1.021412431693096E-2</v>
      </c>
      <c r="J338" s="9">
        <f t="shared" si="66"/>
        <v>85708.298571428561</v>
      </c>
      <c r="K338" s="9">
        <f t="shared" si="57"/>
        <v>87364.82233333333</v>
      </c>
      <c r="L338" s="9">
        <f t="shared" si="56"/>
        <v>89517.623555555561</v>
      </c>
      <c r="M338" s="9">
        <f t="shared" si="67"/>
        <v>5.6275845633546612E-3</v>
      </c>
      <c r="N338" s="9">
        <f t="shared" si="58"/>
        <v>8.6734636634567281E-3</v>
      </c>
    </row>
    <row r="339" spans="1:14" x14ac:dyDescent="0.35">
      <c r="A339" s="1">
        <v>42867</v>
      </c>
      <c r="B339" s="2" t="s">
        <v>339</v>
      </c>
      <c r="C339">
        <f t="shared" si="59"/>
        <v>84187.66</v>
      </c>
      <c r="D339">
        <f t="shared" si="60"/>
        <v>2017</v>
      </c>
      <c r="E339">
        <f t="shared" si="61"/>
        <v>5</v>
      </c>
      <c r="F339" t="str">
        <f t="shared" si="63"/>
        <v>May</v>
      </c>
      <c r="G339">
        <f t="shared" si="62"/>
        <v>12</v>
      </c>
      <c r="H339" s="7">
        <f t="shared" si="64"/>
        <v>-0.30798925963095114</v>
      </c>
      <c r="I339" s="9">
        <f t="shared" si="65"/>
        <v>-3.0846452264140798E-3</v>
      </c>
      <c r="J339" s="9">
        <f t="shared" si="66"/>
        <v>85362.150000000009</v>
      </c>
      <c r="K339" s="9">
        <f t="shared" si="57"/>
        <v>87261.364666666675</v>
      </c>
      <c r="L339" s="9">
        <f t="shared" si="56"/>
        <v>89381.781111111122</v>
      </c>
      <c r="M339" s="9">
        <f t="shared" si="67"/>
        <v>5.5663340438262326E-3</v>
      </c>
      <c r="N339" s="9">
        <f t="shared" si="58"/>
        <v>8.6579642106169447E-3</v>
      </c>
    </row>
    <row r="340" spans="1:14" x14ac:dyDescent="0.35">
      <c r="A340" s="1">
        <v>42870</v>
      </c>
      <c r="B340" s="2" t="s">
        <v>340</v>
      </c>
      <c r="C340">
        <f t="shared" si="59"/>
        <v>84290.99</v>
      </c>
      <c r="D340">
        <f t="shared" si="60"/>
        <v>2017</v>
      </c>
      <c r="E340">
        <f t="shared" si="61"/>
        <v>5</v>
      </c>
      <c r="F340" t="str">
        <f t="shared" si="63"/>
        <v>May</v>
      </c>
      <c r="G340">
        <f t="shared" si="62"/>
        <v>15</v>
      </c>
      <c r="H340" s="7">
        <f t="shared" si="64"/>
        <v>0.12273770288900029</v>
      </c>
      <c r="I340" s="9">
        <f t="shared" si="65"/>
        <v>1.2266244174668208E-3</v>
      </c>
      <c r="J340" s="9">
        <f t="shared" si="66"/>
        <v>85053.34428571428</v>
      </c>
      <c r="K340" s="9">
        <f t="shared" si="57"/>
        <v>87118.72566666668</v>
      </c>
      <c r="L340" s="9">
        <f t="shared" si="56"/>
        <v>89247.613444444461</v>
      </c>
      <c r="M340" s="9">
        <f t="shared" si="67"/>
        <v>5.8806781228772833E-3</v>
      </c>
      <c r="N340" s="9">
        <f t="shared" si="58"/>
        <v>8.1490412225362994E-3</v>
      </c>
    </row>
    <row r="341" spans="1:14" x14ac:dyDescent="0.35">
      <c r="A341" s="1">
        <v>42871</v>
      </c>
      <c r="B341" s="2" t="s">
        <v>341</v>
      </c>
      <c r="C341">
        <f t="shared" si="59"/>
        <v>83944.07</v>
      </c>
      <c r="D341">
        <f t="shared" si="60"/>
        <v>2017</v>
      </c>
      <c r="E341">
        <f t="shared" si="61"/>
        <v>5</v>
      </c>
      <c r="F341" t="str">
        <f t="shared" si="63"/>
        <v>May</v>
      </c>
      <c r="G341">
        <f t="shared" si="62"/>
        <v>16</v>
      </c>
      <c r="H341" s="7">
        <f t="shared" si="64"/>
        <v>-0.41157423824301775</v>
      </c>
      <c r="I341" s="9">
        <f t="shared" si="65"/>
        <v>-4.1242353613952093E-3</v>
      </c>
      <c r="J341" s="9">
        <f t="shared" si="66"/>
        <v>84832.477142857155</v>
      </c>
      <c r="K341" s="9">
        <f t="shared" si="57"/>
        <v>86974.858666666682</v>
      </c>
      <c r="L341" s="9">
        <f t="shared" si="56"/>
        <v>89109.083444444463</v>
      </c>
      <c r="M341" s="9">
        <f t="shared" si="67"/>
        <v>4.8849855745331378E-3</v>
      </c>
      <c r="N341" s="9">
        <f t="shared" si="58"/>
        <v>8.1546661660507995E-3</v>
      </c>
    </row>
    <row r="342" spans="1:14" x14ac:dyDescent="0.35">
      <c r="A342" s="1">
        <v>42872</v>
      </c>
      <c r="B342" s="2" t="s">
        <v>342</v>
      </c>
      <c r="C342">
        <f t="shared" si="59"/>
        <v>84654.64</v>
      </c>
      <c r="D342">
        <f t="shared" si="60"/>
        <v>2017</v>
      </c>
      <c r="E342">
        <f t="shared" si="61"/>
        <v>5</v>
      </c>
      <c r="F342" t="str">
        <f t="shared" si="63"/>
        <v>May</v>
      </c>
      <c r="G342">
        <f t="shared" si="62"/>
        <v>17</v>
      </c>
      <c r="H342" s="7">
        <f t="shared" si="64"/>
        <v>0.84648028145405918</v>
      </c>
      <c r="I342" s="9">
        <f t="shared" si="65"/>
        <v>8.4291772721454047E-3</v>
      </c>
      <c r="J342" s="9">
        <f t="shared" si="66"/>
        <v>84646.475714285712</v>
      </c>
      <c r="K342" s="9">
        <f t="shared" si="57"/>
        <v>86872.760666666654</v>
      </c>
      <c r="L342" s="9">
        <f t="shared" si="56"/>
        <v>88986.911000000007</v>
      </c>
      <c r="M342" s="9">
        <f t="shared" si="67"/>
        <v>5.7578191662712086E-3</v>
      </c>
      <c r="N342" s="9">
        <f t="shared" si="58"/>
        <v>8.3111432310366256E-3</v>
      </c>
    </row>
    <row r="343" spans="1:14" x14ac:dyDescent="0.35">
      <c r="A343" s="1">
        <v>42873</v>
      </c>
      <c r="B343" s="2" t="s">
        <v>343</v>
      </c>
      <c r="C343">
        <f t="shared" si="59"/>
        <v>84845.84</v>
      </c>
      <c r="D343">
        <f t="shared" si="60"/>
        <v>2017</v>
      </c>
      <c r="E343">
        <f t="shared" si="61"/>
        <v>5</v>
      </c>
      <c r="F343" t="str">
        <f t="shared" si="63"/>
        <v>May</v>
      </c>
      <c r="G343">
        <f t="shared" si="62"/>
        <v>18</v>
      </c>
      <c r="H343" s="7">
        <f t="shared" si="64"/>
        <v>0.22585885428134489</v>
      </c>
      <c r="I343" s="9">
        <f t="shared" si="65"/>
        <v>2.2560417657373944E-3</v>
      </c>
      <c r="J343" s="9">
        <f t="shared" si="66"/>
        <v>84526.525714285715</v>
      </c>
      <c r="K343" s="9">
        <f t="shared" si="57"/>
        <v>86809.928</v>
      </c>
      <c r="L343" s="9">
        <f t="shared" si="56"/>
        <v>88875.394777777779</v>
      </c>
      <c r="M343" s="9">
        <f t="shared" si="67"/>
        <v>5.9644610898659887E-3</v>
      </c>
      <c r="N343" s="9">
        <f t="shared" si="58"/>
        <v>8.1076749808662203E-3</v>
      </c>
    </row>
    <row r="344" spans="1:14" x14ac:dyDescent="0.35">
      <c r="A344" s="1">
        <v>42874</v>
      </c>
      <c r="B344" s="2" t="s">
        <v>344</v>
      </c>
      <c r="C344">
        <f t="shared" si="59"/>
        <v>84733.17</v>
      </c>
      <c r="D344">
        <f t="shared" si="60"/>
        <v>2017</v>
      </c>
      <c r="E344">
        <f t="shared" si="61"/>
        <v>5</v>
      </c>
      <c r="F344" t="str">
        <f t="shared" si="63"/>
        <v>May</v>
      </c>
      <c r="G344">
        <f t="shared" si="62"/>
        <v>19</v>
      </c>
      <c r="H344" s="7">
        <f t="shared" si="64"/>
        <v>-0.13279378222903829</v>
      </c>
      <c r="I344" s="9">
        <f t="shared" si="65"/>
        <v>-1.3288203130687212E-3</v>
      </c>
      <c r="J344" s="9">
        <f t="shared" si="66"/>
        <v>84443.445714285728</v>
      </c>
      <c r="K344" s="9">
        <f t="shared" si="57"/>
        <v>86715.539666666664</v>
      </c>
      <c r="L344" s="9">
        <f t="shared" si="56"/>
        <v>88759.515222222239</v>
      </c>
      <c r="M344" s="9">
        <f t="shared" si="67"/>
        <v>5.8249491037713043E-3</v>
      </c>
      <c r="N344" s="9">
        <f t="shared" si="58"/>
        <v>7.8708383980513712E-3</v>
      </c>
    </row>
    <row r="345" spans="1:14" x14ac:dyDescent="0.35">
      <c r="A345" s="1">
        <v>42877</v>
      </c>
      <c r="B345" s="2" t="s">
        <v>345</v>
      </c>
      <c r="C345">
        <f t="shared" si="59"/>
        <v>84700.44</v>
      </c>
      <c r="D345">
        <f t="shared" si="60"/>
        <v>2017</v>
      </c>
      <c r="E345">
        <f t="shared" si="61"/>
        <v>5</v>
      </c>
      <c r="F345" t="str">
        <f t="shared" si="63"/>
        <v>May</v>
      </c>
      <c r="G345">
        <f t="shared" si="62"/>
        <v>22</v>
      </c>
      <c r="H345" s="7">
        <f t="shared" si="64"/>
        <v>-3.8627139761200871E-2</v>
      </c>
      <c r="I345" s="9">
        <f t="shared" si="65"/>
        <v>-3.8634601962520611E-4</v>
      </c>
      <c r="J345" s="9">
        <f t="shared" si="66"/>
        <v>84479.544285714292</v>
      </c>
      <c r="K345" s="9">
        <f t="shared" si="57"/>
        <v>86674.13066666665</v>
      </c>
      <c r="L345" s="9">
        <f t="shared" si="56"/>
        <v>88652.510777777788</v>
      </c>
      <c r="M345" s="9">
        <f t="shared" si="67"/>
        <v>4.1795028832823568E-3</v>
      </c>
      <c r="N345" s="9">
        <f t="shared" si="58"/>
        <v>7.1342408899299345E-3</v>
      </c>
    </row>
    <row r="346" spans="1:14" x14ac:dyDescent="0.35">
      <c r="A346" s="1">
        <v>42878</v>
      </c>
      <c r="B346" s="2" t="s">
        <v>346</v>
      </c>
      <c r="C346">
        <f t="shared" si="59"/>
        <v>83658.720000000001</v>
      </c>
      <c r="D346">
        <f t="shared" si="60"/>
        <v>2017</v>
      </c>
      <c r="E346">
        <f t="shared" si="61"/>
        <v>5</v>
      </c>
      <c r="F346" t="str">
        <f t="shared" si="63"/>
        <v>May</v>
      </c>
      <c r="G346">
        <f t="shared" si="62"/>
        <v>23</v>
      </c>
      <c r="H346" s="7">
        <f t="shared" si="64"/>
        <v>-1.2298873535958033</v>
      </c>
      <c r="I346" s="9">
        <f t="shared" si="65"/>
        <v>-1.2375130576611066E-2</v>
      </c>
      <c r="J346" s="9">
        <f t="shared" si="66"/>
        <v>84403.981428571424</v>
      </c>
      <c r="K346" s="9">
        <f t="shared" si="57"/>
        <v>86551.909666666659</v>
      </c>
      <c r="L346" s="9">
        <f t="shared" si="56"/>
        <v>88529.539666666664</v>
      </c>
      <c r="M346" s="9">
        <f t="shared" si="67"/>
        <v>6.3775481348077876E-3</v>
      </c>
      <c r="N346" s="9">
        <f t="shared" si="58"/>
        <v>6.747116216974095E-3</v>
      </c>
    </row>
    <row r="347" spans="1:14" x14ac:dyDescent="0.35">
      <c r="A347" s="1">
        <v>42879</v>
      </c>
      <c r="B347" s="2" t="s">
        <v>347</v>
      </c>
      <c r="C347">
        <f t="shared" si="59"/>
        <v>83515.289999999994</v>
      </c>
      <c r="D347">
        <f t="shared" si="60"/>
        <v>2017</v>
      </c>
      <c r="E347">
        <f t="shared" si="61"/>
        <v>5</v>
      </c>
      <c r="F347" t="str">
        <f t="shared" si="63"/>
        <v>May</v>
      </c>
      <c r="G347">
        <f t="shared" si="62"/>
        <v>24</v>
      </c>
      <c r="H347" s="7">
        <f t="shared" si="64"/>
        <v>-0.17144656289267582</v>
      </c>
      <c r="I347" s="9">
        <f t="shared" si="65"/>
        <v>-1.7159370071151774E-3</v>
      </c>
      <c r="J347" s="9">
        <f t="shared" si="66"/>
        <v>84293.167142857143</v>
      </c>
      <c r="K347" s="9">
        <f t="shared" si="57"/>
        <v>86391.693999999989</v>
      </c>
      <c r="L347" s="9">
        <f t="shared" si="56"/>
        <v>88414.499888888895</v>
      </c>
      <c r="M347" s="9">
        <f t="shared" si="67"/>
        <v>6.3106091881155544E-3</v>
      </c>
      <c r="N347" s="9">
        <f t="shared" si="58"/>
        <v>6.3009688748355249E-3</v>
      </c>
    </row>
    <row r="348" spans="1:14" x14ac:dyDescent="0.35">
      <c r="A348" s="1">
        <v>42880</v>
      </c>
      <c r="B348" s="2" t="s">
        <v>348</v>
      </c>
      <c r="C348">
        <f t="shared" si="59"/>
        <v>82123.89</v>
      </c>
      <c r="D348">
        <f t="shared" si="60"/>
        <v>2017</v>
      </c>
      <c r="E348">
        <f t="shared" si="61"/>
        <v>5</v>
      </c>
      <c r="F348" t="str">
        <f t="shared" si="63"/>
        <v>May</v>
      </c>
      <c r="G348">
        <f t="shared" si="62"/>
        <v>25</v>
      </c>
      <c r="H348" s="7">
        <f t="shared" si="64"/>
        <v>-1.6660422301113895</v>
      </c>
      <c r="I348" s="9">
        <f t="shared" si="65"/>
        <v>-1.6800768134286596E-2</v>
      </c>
      <c r="J348" s="9">
        <f t="shared" si="66"/>
        <v>84033.141428571413</v>
      </c>
      <c r="K348" s="9">
        <f t="shared" si="57"/>
        <v>86204.030666666658</v>
      </c>
      <c r="L348" s="9">
        <f t="shared" ref="L348:L411" si="68">AVERAGE(C259:C348)</f>
        <v>88285.163666666675</v>
      </c>
      <c r="M348" s="9">
        <f t="shared" si="67"/>
        <v>8.6386515692887817E-3</v>
      </c>
      <c r="N348" s="9">
        <f t="shared" si="58"/>
        <v>6.8224545030100871E-3</v>
      </c>
    </row>
    <row r="349" spans="1:14" x14ac:dyDescent="0.35">
      <c r="A349" s="1">
        <v>42881</v>
      </c>
      <c r="B349" s="2" t="s">
        <v>349</v>
      </c>
      <c r="C349">
        <f t="shared" si="59"/>
        <v>82045.8</v>
      </c>
      <c r="D349">
        <f t="shared" si="60"/>
        <v>2017</v>
      </c>
      <c r="E349">
        <f t="shared" si="61"/>
        <v>5</v>
      </c>
      <c r="F349" t="str">
        <f t="shared" si="63"/>
        <v>May</v>
      </c>
      <c r="G349">
        <f t="shared" si="62"/>
        <v>26</v>
      </c>
      <c r="H349" s="7">
        <f t="shared" si="64"/>
        <v>-9.5088043199118441E-2</v>
      </c>
      <c r="I349" s="9">
        <f t="shared" si="65"/>
        <v>-9.5133280558071102E-4</v>
      </c>
      <c r="J349" s="9">
        <f t="shared" si="66"/>
        <v>83660.45</v>
      </c>
      <c r="K349" s="9">
        <f t="shared" si="57"/>
        <v>86024.781666666677</v>
      </c>
      <c r="L349" s="9">
        <f t="shared" si="68"/>
        <v>88155.402444444437</v>
      </c>
      <c r="M349" s="9">
        <f t="shared" si="67"/>
        <v>7.1447844603779731E-3</v>
      </c>
      <c r="N349" s="9">
        <f t="shared" si="58"/>
        <v>6.8196113127416613E-3</v>
      </c>
    </row>
    <row r="350" spans="1:14" x14ac:dyDescent="0.35">
      <c r="A350" s="1">
        <v>42884</v>
      </c>
      <c r="B350" s="2" t="s">
        <v>350</v>
      </c>
      <c r="C350">
        <f t="shared" si="59"/>
        <v>83466.58</v>
      </c>
      <c r="D350">
        <f t="shared" si="60"/>
        <v>2017</v>
      </c>
      <c r="E350">
        <f t="shared" si="61"/>
        <v>5</v>
      </c>
      <c r="F350" t="str">
        <f t="shared" si="63"/>
        <v>May</v>
      </c>
      <c r="G350">
        <f t="shared" si="62"/>
        <v>29</v>
      </c>
      <c r="H350" s="7">
        <f t="shared" si="64"/>
        <v>1.7316913236265583</v>
      </c>
      <c r="I350" s="9">
        <f t="shared" si="65"/>
        <v>1.7168684292519568E-2</v>
      </c>
      <c r="J350" s="9">
        <f t="shared" si="66"/>
        <v>83463.412857142859</v>
      </c>
      <c r="K350" s="9">
        <f t="shared" si="57"/>
        <v>85843.207333333339</v>
      </c>
      <c r="L350" s="9">
        <f t="shared" si="68"/>
        <v>88043.600666666665</v>
      </c>
      <c r="M350" s="9">
        <f t="shared" si="67"/>
        <v>1.0782420180351483E-2</v>
      </c>
      <c r="N350" s="9">
        <f t="shared" si="58"/>
        <v>6.845000639956674E-3</v>
      </c>
    </row>
    <row r="351" spans="1:14" x14ac:dyDescent="0.35">
      <c r="A351" s="1">
        <v>42885</v>
      </c>
      <c r="B351" s="2" t="s">
        <v>351</v>
      </c>
      <c r="C351">
        <f t="shared" si="59"/>
        <v>83698.320000000007</v>
      </c>
      <c r="D351">
        <f t="shared" si="60"/>
        <v>2017</v>
      </c>
      <c r="E351">
        <f t="shared" si="61"/>
        <v>5</v>
      </c>
      <c r="F351" t="str">
        <f t="shared" si="63"/>
        <v>May</v>
      </c>
      <c r="G351">
        <f t="shared" si="62"/>
        <v>30</v>
      </c>
      <c r="H351" s="7">
        <f t="shared" si="64"/>
        <v>0.27764405825661626</v>
      </c>
      <c r="I351" s="9">
        <f t="shared" si="65"/>
        <v>2.772593390766315E-3</v>
      </c>
      <c r="J351" s="9">
        <f t="shared" si="66"/>
        <v>83315.577142857146</v>
      </c>
      <c r="K351" s="9">
        <f t="shared" si="57"/>
        <v>85670.70699999998</v>
      </c>
      <c r="L351" s="9">
        <f t="shared" si="68"/>
        <v>87938.747444444438</v>
      </c>
      <c r="M351" s="9">
        <f t="shared" si="67"/>
        <v>1.0956640759740862E-2</v>
      </c>
      <c r="N351" s="9">
        <f t="shared" si="58"/>
        <v>6.8970374066006611E-3</v>
      </c>
    </row>
    <row r="352" spans="1:14" x14ac:dyDescent="0.35">
      <c r="A352" s="1">
        <v>42886</v>
      </c>
      <c r="B352" s="2" t="s">
        <v>352</v>
      </c>
      <c r="C352">
        <f t="shared" si="59"/>
        <v>83152.56</v>
      </c>
      <c r="D352">
        <f t="shared" si="60"/>
        <v>2017</v>
      </c>
      <c r="E352">
        <f t="shared" si="61"/>
        <v>5</v>
      </c>
      <c r="F352" t="str">
        <f t="shared" si="63"/>
        <v>May</v>
      </c>
      <c r="G352">
        <f t="shared" si="62"/>
        <v>31</v>
      </c>
      <c r="H352" s="7">
        <f t="shared" si="64"/>
        <v>-0.65205609861704417</v>
      </c>
      <c r="I352" s="9">
        <f t="shared" si="65"/>
        <v>-6.5419127113862368E-3</v>
      </c>
      <c r="J352" s="9">
        <f t="shared" si="66"/>
        <v>83094.451428571439</v>
      </c>
      <c r="K352" s="9">
        <f t="shared" ref="K352:K415" si="69">AVERAGE(C323:C352)</f>
        <v>85497.729333333307</v>
      </c>
      <c r="L352" s="9">
        <f t="shared" si="68"/>
        <v>87824.915444444458</v>
      </c>
      <c r="M352" s="9">
        <f t="shared" si="67"/>
        <v>1.1074824957667099E-2</v>
      </c>
      <c r="N352" s="9">
        <f t="shared" si="58"/>
        <v>6.9086212741908491E-3</v>
      </c>
    </row>
    <row r="353" spans="1:14" x14ac:dyDescent="0.35">
      <c r="A353" s="1">
        <v>42887</v>
      </c>
      <c r="B353" s="2" t="s">
        <v>353</v>
      </c>
      <c r="C353">
        <f t="shared" si="59"/>
        <v>84141.54</v>
      </c>
      <c r="D353">
        <f t="shared" si="60"/>
        <v>2017</v>
      </c>
      <c r="E353">
        <f t="shared" si="61"/>
        <v>6</v>
      </c>
      <c r="F353" t="str">
        <f t="shared" si="63"/>
        <v>June</v>
      </c>
      <c r="G353">
        <f t="shared" si="62"/>
        <v>1</v>
      </c>
      <c r="H353" s="7">
        <f t="shared" si="64"/>
        <v>1.1893560462840782</v>
      </c>
      <c r="I353" s="9">
        <f t="shared" si="65"/>
        <v>1.182338792548219E-2</v>
      </c>
      <c r="J353" s="9">
        <f t="shared" si="66"/>
        <v>83163.42571428571</v>
      </c>
      <c r="K353" s="9">
        <f t="shared" si="69"/>
        <v>85333.724999999991</v>
      </c>
      <c r="L353" s="9">
        <f t="shared" si="68"/>
        <v>87729.119000000006</v>
      </c>
      <c r="M353" s="9">
        <f t="shared" si="67"/>
        <v>1.1302097436438565E-2</v>
      </c>
      <c r="N353" s="9">
        <f t="shared" ref="N353:N416" si="70">STDEV(I324:I353)</f>
        <v>7.1259522520994243E-3</v>
      </c>
    </row>
    <row r="354" spans="1:14" x14ac:dyDescent="0.35">
      <c r="A354" s="1">
        <v>42888</v>
      </c>
      <c r="B354" s="2" t="s">
        <v>354</v>
      </c>
      <c r="C354">
        <f t="shared" si="59"/>
        <v>84745.52</v>
      </c>
      <c r="D354">
        <f t="shared" si="60"/>
        <v>2017</v>
      </c>
      <c r="E354">
        <f t="shared" si="61"/>
        <v>6</v>
      </c>
      <c r="F354" t="str">
        <f t="shared" si="63"/>
        <v>June</v>
      </c>
      <c r="G354">
        <f t="shared" si="62"/>
        <v>2</v>
      </c>
      <c r="H354" s="7">
        <f t="shared" si="64"/>
        <v>0.71781429244105888</v>
      </c>
      <c r="I354" s="9">
        <f t="shared" si="65"/>
        <v>7.1525026829178428E-3</v>
      </c>
      <c r="J354" s="9">
        <f t="shared" si="66"/>
        <v>83339.172857142854</v>
      </c>
      <c r="K354" s="9">
        <f t="shared" si="69"/>
        <v>85211.923333333325</v>
      </c>
      <c r="L354" s="9">
        <f t="shared" si="68"/>
        <v>87643.045777777777</v>
      </c>
      <c r="M354" s="9">
        <f t="shared" si="67"/>
        <v>1.1466045263832995E-2</v>
      </c>
      <c r="N354" s="9">
        <f t="shared" si="70"/>
        <v>7.2309748102500461E-3</v>
      </c>
    </row>
    <row r="355" spans="1:14" x14ac:dyDescent="0.35">
      <c r="A355" s="1">
        <v>42891</v>
      </c>
      <c r="B355" s="2" t="s">
        <v>355</v>
      </c>
      <c r="C355">
        <f t="shared" si="59"/>
        <v>84711.8</v>
      </c>
      <c r="D355">
        <f t="shared" si="60"/>
        <v>2017</v>
      </c>
      <c r="E355">
        <f t="shared" si="61"/>
        <v>6</v>
      </c>
      <c r="F355" t="str">
        <f t="shared" si="63"/>
        <v>June</v>
      </c>
      <c r="G355">
        <f t="shared" si="62"/>
        <v>5</v>
      </c>
      <c r="H355" s="7">
        <f t="shared" si="64"/>
        <v>-3.9789713957742147E-2</v>
      </c>
      <c r="I355" s="9">
        <f t="shared" si="65"/>
        <v>-3.9797632164913736E-4</v>
      </c>
      <c r="J355" s="9">
        <f t="shared" si="66"/>
        <v>83708.874285714279</v>
      </c>
      <c r="K355" s="9">
        <f t="shared" si="69"/>
        <v>85078.412333333326</v>
      </c>
      <c r="L355" s="9">
        <f t="shared" si="68"/>
        <v>87555.192999999999</v>
      </c>
      <c r="M355" s="9">
        <f t="shared" si="67"/>
        <v>8.1623751689691767E-3</v>
      </c>
      <c r="N355" s="9">
        <f t="shared" si="70"/>
        <v>7.1724615608536688E-3</v>
      </c>
    </row>
    <row r="356" spans="1:14" x14ac:dyDescent="0.35">
      <c r="A356" s="1">
        <v>42892</v>
      </c>
      <c r="B356" s="2" t="s">
        <v>356</v>
      </c>
      <c r="C356">
        <f t="shared" si="59"/>
        <v>84460.59</v>
      </c>
      <c r="D356">
        <f t="shared" si="60"/>
        <v>2017</v>
      </c>
      <c r="E356">
        <f t="shared" si="61"/>
        <v>6</v>
      </c>
      <c r="F356" t="str">
        <f t="shared" si="63"/>
        <v>June</v>
      </c>
      <c r="G356">
        <f t="shared" si="62"/>
        <v>6</v>
      </c>
      <c r="H356" s="7">
        <f t="shared" si="64"/>
        <v>-0.29654664403307024</v>
      </c>
      <c r="I356" s="9">
        <f t="shared" si="65"/>
        <v>-2.9698721480765381E-3</v>
      </c>
      <c r="J356" s="9">
        <f t="shared" si="66"/>
        <v>84053.844285714295</v>
      </c>
      <c r="K356" s="9">
        <f t="shared" si="69"/>
        <v>84965.716666666645</v>
      </c>
      <c r="L356" s="9">
        <f t="shared" si="68"/>
        <v>87467.661333333323</v>
      </c>
      <c r="M356" s="9">
        <f t="shared" si="67"/>
        <v>8.4159838064400902E-3</v>
      </c>
      <c r="N356" s="9">
        <f t="shared" si="70"/>
        <v>7.0027124516776002E-3</v>
      </c>
    </row>
    <row r="357" spans="1:14" x14ac:dyDescent="0.35">
      <c r="A357" s="1">
        <v>42893</v>
      </c>
      <c r="B357" s="2" t="s">
        <v>357</v>
      </c>
      <c r="C357">
        <f t="shared" si="59"/>
        <v>84095.14</v>
      </c>
      <c r="D357">
        <f t="shared" si="60"/>
        <v>2017</v>
      </c>
      <c r="E357">
        <f t="shared" si="61"/>
        <v>6</v>
      </c>
      <c r="F357" t="str">
        <f t="shared" si="63"/>
        <v>June</v>
      </c>
      <c r="G357">
        <f t="shared" si="62"/>
        <v>7</v>
      </c>
      <c r="H357" s="7">
        <f t="shared" si="64"/>
        <v>-0.43268700822477929</v>
      </c>
      <c r="I357" s="9">
        <f t="shared" si="65"/>
        <v>-4.336258074805208E-3</v>
      </c>
      <c r="J357" s="9">
        <f t="shared" si="66"/>
        <v>84143.638571428572</v>
      </c>
      <c r="K357" s="9">
        <f t="shared" si="69"/>
        <v>84837.482000000004</v>
      </c>
      <c r="L357" s="9">
        <f t="shared" si="68"/>
        <v>87374.5631111111</v>
      </c>
      <c r="M357" s="9">
        <f t="shared" si="67"/>
        <v>6.597668221590209E-3</v>
      </c>
      <c r="N357" s="9">
        <f t="shared" si="70"/>
        <v>7.0079879848161993E-3</v>
      </c>
    </row>
    <row r="358" spans="1:14" x14ac:dyDescent="0.35">
      <c r="A358" s="1">
        <v>42894</v>
      </c>
      <c r="B358" s="2" t="s">
        <v>358</v>
      </c>
      <c r="C358">
        <f t="shared" si="59"/>
        <v>83945.55</v>
      </c>
      <c r="D358">
        <f t="shared" si="60"/>
        <v>2017</v>
      </c>
      <c r="E358">
        <f t="shared" si="61"/>
        <v>6</v>
      </c>
      <c r="F358" t="str">
        <f t="shared" si="63"/>
        <v>June</v>
      </c>
      <c r="G358">
        <f t="shared" si="62"/>
        <v>8</v>
      </c>
      <c r="H358" s="7">
        <f t="shared" si="64"/>
        <v>-0.17788186094939196</v>
      </c>
      <c r="I358" s="9">
        <f t="shared" si="65"/>
        <v>-1.7804025859999562E-3</v>
      </c>
      <c r="J358" s="9">
        <f t="shared" si="66"/>
        <v>84178.957142857151</v>
      </c>
      <c r="K358" s="9">
        <f t="shared" si="69"/>
        <v>84716.908999999985</v>
      </c>
      <c r="L358" s="9">
        <f t="shared" si="68"/>
        <v>87277.971444444425</v>
      </c>
      <c r="M358" s="9">
        <f t="shared" si="67"/>
        <v>6.6264136253454016E-3</v>
      </c>
      <c r="N358" s="9">
        <f t="shared" si="70"/>
        <v>6.987889463208853E-3</v>
      </c>
    </row>
    <row r="359" spans="1:14" x14ac:dyDescent="0.35">
      <c r="A359" s="1">
        <v>42895</v>
      </c>
      <c r="B359" s="2" t="s">
        <v>359</v>
      </c>
      <c r="C359">
        <f t="shared" si="59"/>
        <v>84736.18</v>
      </c>
      <c r="D359">
        <f t="shared" si="60"/>
        <v>2017</v>
      </c>
      <c r="E359">
        <f t="shared" si="61"/>
        <v>6</v>
      </c>
      <c r="F359" t="str">
        <f t="shared" si="63"/>
        <v>June</v>
      </c>
      <c r="G359">
        <f t="shared" si="62"/>
        <v>9</v>
      </c>
      <c r="H359" s="7">
        <f t="shared" si="64"/>
        <v>0.94183670248153728</v>
      </c>
      <c r="I359" s="9">
        <f t="shared" si="65"/>
        <v>9.3742907410591832E-3</v>
      </c>
      <c r="J359" s="9">
        <f t="shared" si="66"/>
        <v>84405.18857142856</v>
      </c>
      <c r="K359" s="9">
        <f t="shared" si="69"/>
        <v>84615.936333333331</v>
      </c>
      <c r="L359" s="9">
        <f t="shared" si="68"/>
        <v>87195.364222222212</v>
      </c>
      <c r="M359" s="9">
        <f t="shared" si="67"/>
        <v>6.5693076553897936E-3</v>
      </c>
      <c r="N359" s="9">
        <f t="shared" si="70"/>
        <v>7.2321696953363259E-3</v>
      </c>
    </row>
    <row r="360" spans="1:14" x14ac:dyDescent="0.35">
      <c r="A360" s="1">
        <v>42898</v>
      </c>
      <c r="B360" s="2" t="s">
        <v>360</v>
      </c>
      <c r="C360">
        <f t="shared" si="59"/>
        <v>84935.27</v>
      </c>
      <c r="D360">
        <f t="shared" si="60"/>
        <v>2017</v>
      </c>
      <c r="E360">
        <f t="shared" si="61"/>
        <v>6</v>
      </c>
      <c r="F360" t="str">
        <f t="shared" si="63"/>
        <v>June</v>
      </c>
      <c r="G360">
        <f t="shared" si="62"/>
        <v>12</v>
      </c>
      <c r="H360" s="7">
        <f t="shared" si="64"/>
        <v>0.23495276751915309</v>
      </c>
      <c r="I360" s="9">
        <f t="shared" si="65"/>
        <v>2.3467718507895925E-3</v>
      </c>
      <c r="J360" s="9">
        <f t="shared" si="66"/>
        <v>84518.578571428559</v>
      </c>
      <c r="K360" s="9">
        <f t="shared" si="69"/>
        <v>84531.295666666672</v>
      </c>
      <c r="L360" s="9">
        <f t="shared" si="68"/>
        <v>87118.409333333315</v>
      </c>
      <c r="M360" s="9">
        <f t="shared" si="67"/>
        <v>5.2105817117985087E-3</v>
      </c>
      <c r="N360" s="9">
        <f t="shared" si="70"/>
        <v>7.2480900942882955E-3</v>
      </c>
    </row>
    <row r="361" spans="1:14" x14ac:dyDescent="0.35">
      <c r="A361" s="1">
        <v>42899</v>
      </c>
      <c r="B361" s="2" t="s">
        <v>361</v>
      </c>
      <c r="C361">
        <f t="shared" si="59"/>
        <v>84712.320000000007</v>
      </c>
      <c r="D361">
        <f t="shared" si="60"/>
        <v>2017</v>
      </c>
      <c r="E361">
        <f t="shared" si="61"/>
        <v>6</v>
      </c>
      <c r="F361" t="str">
        <f t="shared" si="63"/>
        <v>June</v>
      </c>
      <c r="G361">
        <f t="shared" si="62"/>
        <v>13</v>
      </c>
      <c r="H361" s="7">
        <f t="shared" si="64"/>
        <v>-0.26249401455955468</v>
      </c>
      <c r="I361" s="9">
        <f t="shared" si="65"/>
        <v>-2.6283913417580601E-3</v>
      </c>
      <c r="J361" s="9">
        <f t="shared" si="66"/>
        <v>84513.835714285728</v>
      </c>
      <c r="K361" s="9">
        <f t="shared" si="69"/>
        <v>84448.665666666668</v>
      </c>
      <c r="L361" s="9">
        <f t="shared" si="68"/>
        <v>87049.767555555532</v>
      </c>
      <c r="M361" s="9">
        <f t="shared" si="67"/>
        <v>4.6765846762477905E-3</v>
      </c>
      <c r="N361" s="9">
        <f t="shared" si="70"/>
        <v>7.2423388505034247E-3</v>
      </c>
    </row>
    <row r="362" spans="1:14" x14ac:dyDescent="0.35">
      <c r="A362" s="1">
        <v>42900</v>
      </c>
      <c r="B362" s="2" t="s">
        <v>362</v>
      </c>
      <c r="C362">
        <f t="shared" si="59"/>
        <v>84603.29</v>
      </c>
      <c r="D362">
        <f t="shared" si="60"/>
        <v>2017</v>
      </c>
      <c r="E362">
        <f t="shared" si="61"/>
        <v>6</v>
      </c>
      <c r="F362" t="str">
        <f t="shared" si="63"/>
        <v>June</v>
      </c>
      <c r="G362">
        <f t="shared" si="62"/>
        <v>14</v>
      </c>
      <c r="H362" s="7">
        <f t="shared" si="64"/>
        <v>-0.12870619055175608</v>
      </c>
      <c r="I362" s="9">
        <f t="shared" si="65"/>
        <v>-1.2878908810634183E-3</v>
      </c>
      <c r="J362" s="9">
        <f t="shared" si="66"/>
        <v>84498.334285714285</v>
      </c>
      <c r="K362" s="9">
        <f t="shared" si="69"/>
        <v>84381.752000000022</v>
      </c>
      <c r="L362" s="9">
        <f t="shared" si="68"/>
        <v>86973.175333333318</v>
      </c>
      <c r="M362" s="9">
        <f t="shared" si="67"/>
        <v>4.6994712210723473E-3</v>
      </c>
      <c r="N362" s="9">
        <f t="shared" si="70"/>
        <v>7.1619799011267762E-3</v>
      </c>
    </row>
    <row r="363" spans="1:14" x14ac:dyDescent="0.35">
      <c r="A363" s="1">
        <v>42901</v>
      </c>
      <c r="B363" s="2" t="s">
        <v>363</v>
      </c>
      <c r="C363">
        <f t="shared" si="59"/>
        <v>84465.35</v>
      </c>
      <c r="D363">
        <f t="shared" si="60"/>
        <v>2017</v>
      </c>
      <c r="E363">
        <f t="shared" si="61"/>
        <v>6</v>
      </c>
      <c r="F363" t="str">
        <f t="shared" si="63"/>
        <v>June</v>
      </c>
      <c r="G363">
        <f t="shared" si="62"/>
        <v>15</v>
      </c>
      <c r="H363" s="7">
        <f t="shared" si="64"/>
        <v>-0.16304330481709137</v>
      </c>
      <c r="I363" s="9">
        <f t="shared" si="65"/>
        <v>-1.6317636506353501E-3</v>
      </c>
      <c r="J363" s="9">
        <f t="shared" si="66"/>
        <v>84499.014285714278</v>
      </c>
      <c r="K363" s="9">
        <f t="shared" si="69"/>
        <v>84315.509333333335</v>
      </c>
      <c r="L363" s="9">
        <f t="shared" si="68"/>
        <v>86889.151333333313</v>
      </c>
      <c r="M363" s="9">
        <f t="shared" si="67"/>
        <v>4.5932366101434485E-3</v>
      </c>
      <c r="N363" s="9">
        <f t="shared" si="70"/>
        <v>7.1610873014857643E-3</v>
      </c>
    </row>
    <row r="364" spans="1:14" x14ac:dyDescent="0.35">
      <c r="A364" s="1">
        <v>42905</v>
      </c>
      <c r="B364" s="2" t="s">
        <v>364</v>
      </c>
      <c r="C364">
        <f t="shared" si="59"/>
        <v>85599.84</v>
      </c>
      <c r="D364">
        <f t="shared" si="60"/>
        <v>2017</v>
      </c>
      <c r="E364">
        <f t="shared" si="61"/>
        <v>6</v>
      </c>
      <c r="F364" t="str">
        <f t="shared" si="63"/>
        <v>June</v>
      </c>
      <c r="G364">
        <f t="shared" si="62"/>
        <v>19</v>
      </c>
      <c r="H364" s="7">
        <f t="shared" si="64"/>
        <v>1.3431424838705939</v>
      </c>
      <c r="I364" s="9">
        <f t="shared" si="65"/>
        <v>1.3342022892793209E-2</v>
      </c>
      <c r="J364" s="9">
        <f t="shared" si="66"/>
        <v>84713.971428571414</v>
      </c>
      <c r="K364" s="9">
        <f t="shared" si="69"/>
        <v>84319.166000000012</v>
      </c>
      <c r="L364" s="9">
        <f t="shared" si="68"/>
        <v>86817.337777777764</v>
      </c>
      <c r="M364" s="9">
        <f t="shared" si="67"/>
        <v>6.3359132435244873E-3</v>
      </c>
      <c r="N364" s="9">
        <f t="shared" si="70"/>
        <v>7.3291916444549864E-3</v>
      </c>
    </row>
    <row r="365" spans="1:14" x14ac:dyDescent="0.35">
      <c r="A365" s="1">
        <v>42906</v>
      </c>
      <c r="B365" s="2" t="s">
        <v>365</v>
      </c>
      <c r="C365">
        <f t="shared" si="59"/>
        <v>85746.04</v>
      </c>
      <c r="D365">
        <f t="shared" si="60"/>
        <v>2017</v>
      </c>
      <c r="E365">
        <f t="shared" si="61"/>
        <v>6</v>
      </c>
      <c r="F365" t="str">
        <f t="shared" si="63"/>
        <v>June</v>
      </c>
      <c r="G365">
        <f t="shared" si="62"/>
        <v>20</v>
      </c>
      <c r="H365" s="7">
        <f t="shared" si="64"/>
        <v>0.17079471176581301</v>
      </c>
      <c r="I365" s="9">
        <f t="shared" si="65"/>
        <v>1.7064902345967745E-3</v>
      </c>
      <c r="J365" s="9">
        <f t="shared" si="66"/>
        <v>84971.184285714291</v>
      </c>
      <c r="K365" s="9">
        <f t="shared" si="69"/>
        <v>84312.145666666664</v>
      </c>
      <c r="L365" s="9">
        <f t="shared" si="68"/>
        <v>86744.153888888875</v>
      </c>
      <c r="M365" s="9">
        <f t="shared" si="67"/>
        <v>6.0717915468742395E-3</v>
      </c>
      <c r="N365" s="9">
        <f t="shared" si="70"/>
        <v>7.2657554043834317E-3</v>
      </c>
    </row>
    <row r="366" spans="1:14" x14ac:dyDescent="0.35">
      <c r="A366" s="1">
        <v>42907</v>
      </c>
      <c r="B366" s="2" t="s">
        <v>366</v>
      </c>
      <c r="C366">
        <f t="shared" si="59"/>
        <v>87129.65</v>
      </c>
      <c r="D366">
        <f t="shared" si="60"/>
        <v>2017</v>
      </c>
      <c r="E366">
        <f t="shared" si="61"/>
        <v>6</v>
      </c>
      <c r="F366" t="str">
        <f t="shared" si="63"/>
        <v>June</v>
      </c>
      <c r="G366">
        <f t="shared" si="62"/>
        <v>21</v>
      </c>
      <c r="H366" s="7">
        <f t="shared" si="64"/>
        <v>1.613613876512549</v>
      </c>
      <c r="I366" s="9">
        <f t="shared" si="65"/>
        <v>1.6007335027346931E-2</v>
      </c>
      <c r="J366" s="9">
        <f t="shared" si="66"/>
        <v>85313.108571428558</v>
      </c>
      <c r="K366" s="9">
        <f t="shared" si="69"/>
        <v>84360.284333333344</v>
      </c>
      <c r="L366" s="9">
        <f t="shared" si="68"/>
        <v>86694.667888888885</v>
      </c>
      <c r="M366" s="9">
        <f t="shared" si="67"/>
        <v>7.5614586210981088E-3</v>
      </c>
      <c r="N366" s="9">
        <f t="shared" si="70"/>
        <v>7.8082306708372609E-3</v>
      </c>
    </row>
    <row r="367" spans="1:14" x14ac:dyDescent="0.35">
      <c r="A367" s="1">
        <v>42908</v>
      </c>
      <c r="B367" s="2" t="s">
        <v>367</v>
      </c>
      <c r="C367">
        <f t="shared" si="59"/>
        <v>86965.35</v>
      </c>
      <c r="D367">
        <f t="shared" si="60"/>
        <v>2017</v>
      </c>
      <c r="E367">
        <f t="shared" si="61"/>
        <v>6</v>
      </c>
      <c r="F367" t="str">
        <f t="shared" si="63"/>
        <v>June</v>
      </c>
      <c r="G367">
        <f t="shared" si="62"/>
        <v>22</v>
      </c>
      <c r="H367" s="7">
        <f t="shared" si="64"/>
        <v>-0.18856956271486042</v>
      </c>
      <c r="I367" s="9">
        <f t="shared" si="65"/>
        <v>-1.8874757893958297E-3</v>
      </c>
      <c r="J367" s="9">
        <f t="shared" si="66"/>
        <v>85603.12</v>
      </c>
      <c r="K367" s="9">
        <f t="shared" si="69"/>
        <v>84415.305000000008</v>
      </c>
      <c r="L367" s="9">
        <f t="shared" si="68"/>
        <v>86646.381222222204</v>
      </c>
      <c r="M367" s="9">
        <f t="shared" si="67"/>
        <v>7.8766103958059167E-3</v>
      </c>
      <c r="N367" s="9">
        <f t="shared" si="70"/>
        <v>7.7680054337264078E-3</v>
      </c>
    </row>
    <row r="368" spans="1:14" x14ac:dyDescent="0.35">
      <c r="A368" s="1">
        <v>42909</v>
      </c>
      <c r="B368" s="2" t="s">
        <v>368</v>
      </c>
      <c r="C368">
        <f t="shared" si="59"/>
        <v>87115.95</v>
      </c>
      <c r="D368">
        <f t="shared" si="60"/>
        <v>2017</v>
      </c>
      <c r="E368">
        <f t="shared" si="61"/>
        <v>6</v>
      </c>
      <c r="F368" t="str">
        <f t="shared" si="63"/>
        <v>June</v>
      </c>
      <c r="G368">
        <f t="shared" si="62"/>
        <v>23</v>
      </c>
      <c r="H368" s="7">
        <f t="shared" si="64"/>
        <v>0.17317241867018446</v>
      </c>
      <c r="I368" s="9">
        <f t="shared" si="65"/>
        <v>1.7302264811983989E-3</v>
      </c>
      <c r="J368" s="9">
        <f t="shared" si="66"/>
        <v>85946.495714285717</v>
      </c>
      <c r="K368" s="9">
        <f t="shared" si="69"/>
        <v>84504.245000000024</v>
      </c>
      <c r="L368" s="9">
        <f t="shared" si="68"/>
        <v>86606.332555555535</v>
      </c>
      <c r="M368" s="9">
        <f t="shared" si="67"/>
        <v>7.4855683894844991E-3</v>
      </c>
      <c r="N368" s="9">
        <f t="shared" si="70"/>
        <v>7.4938275505672287E-3</v>
      </c>
    </row>
    <row r="369" spans="1:14" x14ac:dyDescent="0.35">
      <c r="A369" s="1">
        <v>42912</v>
      </c>
      <c r="B369" s="2" t="s">
        <v>369</v>
      </c>
      <c r="C369">
        <f t="shared" si="59"/>
        <v>87271.05</v>
      </c>
      <c r="D369">
        <f t="shared" si="60"/>
        <v>2017</v>
      </c>
      <c r="E369">
        <f t="shared" si="61"/>
        <v>6</v>
      </c>
      <c r="F369" t="str">
        <f t="shared" si="63"/>
        <v>June</v>
      </c>
      <c r="G369">
        <f t="shared" si="62"/>
        <v>26</v>
      </c>
      <c r="H369" s="7">
        <f t="shared" si="64"/>
        <v>0.17803857961717207</v>
      </c>
      <c r="I369" s="9">
        <f t="shared" si="65"/>
        <v>1.7788027880118466E-3</v>
      </c>
      <c r="J369" s="9">
        <f t="shared" si="66"/>
        <v>86327.604285714289</v>
      </c>
      <c r="K369" s="9">
        <f t="shared" si="69"/>
        <v>84607.024666666679</v>
      </c>
      <c r="L369" s="9">
        <f t="shared" si="68"/>
        <v>86569.868999999992</v>
      </c>
      <c r="M369" s="9">
        <f t="shared" si="67"/>
        <v>7.2093604084875708E-3</v>
      </c>
      <c r="N369" s="9">
        <f t="shared" si="70"/>
        <v>7.4540915396106846E-3</v>
      </c>
    </row>
    <row r="370" spans="1:14" x14ac:dyDescent="0.35">
      <c r="A370" s="1">
        <v>42913</v>
      </c>
      <c r="B370" s="2" t="s">
        <v>370</v>
      </c>
      <c r="C370">
        <f t="shared" si="59"/>
        <v>87642.76</v>
      </c>
      <c r="D370">
        <f t="shared" si="60"/>
        <v>2017</v>
      </c>
      <c r="E370">
        <f t="shared" si="61"/>
        <v>6</v>
      </c>
      <c r="F370" t="str">
        <f t="shared" si="63"/>
        <v>June</v>
      </c>
      <c r="G370">
        <f t="shared" si="62"/>
        <v>27</v>
      </c>
      <c r="H370" s="7">
        <f t="shared" si="64"/>
        <v>0.4259258940966012</v>
      </c>
      <c r="I370" s="9">
        <f t="shared" si="65"/>
        <v>4.2502139717515994E-3</v>
      </c>
      <c r="J370" s="9">
        <f t="shared" si="66"/>
        <v>86781.52</v>
      </c>
      <c r="K370" s="9">
        <f t="shared" si="69"/>
        <v>84718.750333333344</v>
      </c>
      <c r="L370" s="9">
        <f t="shared" si="68"/>
        <v>86545.379555555541</v>
      </c>
      <c r="M370" s="9">
        <f t="shared" si="67"/>
        <v>6.7098707705214519E-3</v>
      </c>
      <c r="N370" s="9">
        <f t="shared" si="70"/>
        <v>7.4748895934234382E-3</v>
      </c>
    </row>
    <row r="371" spans="1:14" x14ac:dyDescent="0.35">
      <c r="A371" s="1">
        <v>42914</v>
      </c>
      <c r="B371" s="2" t="s">
        <v>371</v>
      </c>
      <c r="C371">
        <f t="shared" si="59"/>
        <v>86938.44</v>
      </c>
      <c r="D371">
        <f t="shared" si="60"/>
        <v>2017</v>
      </c>
      <c r="E371">
        <f t="shared" si="61"/>
        <v>6</v>
      </c>
      <c r="F371" t="str">
        <f t="shared" si="63"/>
        <v>June</v>
      </c>
      <c r="G371">
        <f t="shared" si="62"/>
        <v>28</v>
      </c>
      <c r="H371" s="7">
        <f t="shared" si="64"/>
        <v>-0.80362599260907863</v>
      </c>
      <c r="I371" s="9">
        <f t="shared" si="65"/>
        <v>-8.0687247101670981E-3</v>
      </c>
      <c r="J371" s="9">
        <f t="shared" si="66"/>
        <v>86972.748571428572</v>
      </c>
      <c r="K371" s="9">
        <f t="shared" si="69"/>
        <v>84818.562666666679</v>
      </c>
      <c r="L371" s="9">
        <f t="shared" si="68"/>
        <v>86512.34</v>
      </c>
      <c r="M371" s="9">
        <f t="shared" si="67"/>
        <v>7.2759849088961217E-3</v>
      </c>
      <c r="N371" s="9">
        <f t="shared" si="70"/>
        <v>7.6071103949655926E-3</v>
      </c>
    </row>
    <row r="372" spans="1:14" x14ac:dyDescent="0.35">
      <c r="A372" s="1">
        <v>42915</v>
      </c>
      <c r="B372" s="2" t="s">
        <v>372</v>
      </c>
      <c r="C372">
        <f t="shared" si="59"/>
        <v>86846.42</v>
      </c>
      <c r="D372">
        <f t="shared" si="60"/>
        <v>2017</v>
      </c>
      <c r="E372">
        <f t="shared" si="61"/>
        <v>6</v>
      </c>
      <c r="F372" t="str">
        <f t="shared" si="63"/>
        <v>June</v>
      </c>
      <c r="G372">
        <f t="shared" si="62"/>
        <v>29</v>
      </c>
      <c r="H372" s="7">
        <f t="shared" si="64"/>
        <v>-0.10584500941126167</v>
      </c>
      <c r="I372" s="9">
        <f t="shared" si="65"/>
        <v>-1.0590106479939616E-3</v>
      </c>
      <c r="J372" s="9">
        <f t="shared" si="66"/>
        <v>87129.945714285714</v>
      </c>
      <c r="K372" s="9">
        <f t="shared" si="69"/>
        <v>84891.622000000003</v>
      </c>
      <c r="L372" s="9">
        <f t="shared" si="68"/>
        <v>86483.002555555533</v>
      </c>
      <c r="M372" s="9">
        <f t="shared" si="67"/>
        <v>7.3826046509858495E-3</v>
      </c>
      <c r="N372" s="9">
        <f t="shared" si="70"/>
        <v>7.4911805287170919E-3</v>
      </c>
    </row>
    <row r="373" spans="1:14" x14ac:dyDescent="0.35">
      <c r="A373" s="1">
        <v>42916</v>
      </c>
      <c r="B373" s="2" t="s">
        <v>373</v>
      </c>
      <c r="C373">
        <f t="shared" si="59"/>
        <v>86314.51</v>
      </c>
      <c r="D373">
        <f t="shared" si="60"/>
        <v>2017</v>
      </c>
      <c r="E373">
        <f t="shared" si="61"/>
        <v>6</v>
      </c>
      <c r="F373" t="str">
        <f t="shared" si="63"/>
        <v>June</v>
      </c>
      <c r="G373">
        <f t="shared" si="62"/>
        <v>30</v>
      </c>
      <c r="H373" s="7">
        <f t="shared" si="64"/>
        <v>-0.61247199366422189</v>
      </c>
      <c r="I373" s="9">
        <f t="shared" si="65"/>
        <v>-6.1435529712118532E-3</v>
      </c>
      <c r="J373" s="9">
        <f t="shared" si="66"/>
        <v>87013.497142857144</v>
      </c>
      <c r="K373" s="9">
        <f t="shared" si="69"/>
        <v>84940.57766666665</v>
      </c>
      <c r="L373" s="9">
        <f t="shared" si="68"/>
        <v>86445.422777777771</v>
      </c>
      <c r="M373" s="9">
        <f t="shared" si="67"/>
        <v>4.4559361421382974E-3</v>
      </c>
      <c r="N373" s="9">
        <f t="shared" si="70"/>
        <v>7.5931711536315833E-3</v>
      </c>
    </row>
    <row r="374" spans="1:14" x14ac:dyDescent="0.35">
      <c r="A374" s="1">
        <v>42919</v>
      </c>
      <c r="B374" s="2" t="s">
        <v>374</v>
      </c>
      <c r="C374">
        <f t="shared" si="59"/>
        <v>85818.8</v>
      </c>
      <c r="D374">
        <f t="shared" si="60"/>
        <v>2017</v>
      </c>
      <c r="E374">
        <f t="shared" si="61"/>
        <v>7</v>
      </c>
      <c r="F374" t="str">
        <f t="shared" si="63"/>
        <v>July</v>
      </c>
      <c r="G374">
        <f t="shared" si="62"/>
        <v>3</v>
      </c>
      <c r="H374" s="7">
        <f t="shared" si="64"/>
        <v>-0.57430668377772387</v>
      </c>
      <c r="I374" s="9">
        <f t="shared" si="65"/>
        <v>-5.7596216601912154E-3</v>
      </c>
      <c r="J374" s="9">
        <f t="shared" si="66"/>
        <v>86849.704285714295</v>
      </c>
      <c r="K374" s="9">
        <f t="shared" si="69"/>
        <v>84976.765333333315</v>
      </c>
      <c r="L374" s="9">
        <f t="shared" si="68"/>
        <v>86404.278333333321</v>
      </c>
      <c r="M374" s="9">
        <f t="shared" si="67"/>
        <v>4.764486686126182E-3</v>
      </c>
      <c r="N374" s="9">
        <f t="shared" si="70"/>
        <v>7.6740800424177453E-3</v>
      </c>
    </row>
    <row r="375" spans="1:14" x14ac:dyDescent="0.35">
      <c r="A375" s="1">
        <v>42920</v>
      </c>
      <c r="B375" s="2" t="s">
        <v>375</v>
      </c>
      <c r="C375">
        <f t="shared" si="59"/>
        <v>85731.51</v>
      </c>
      <c r="D375">
        <f t="shared" si="60"/>
        <v>2017</v>
      </c>
      <c r="E375">
        <f t="shared" si="61"/>
        <v>7</v>
      </c>
      <c r="F375" t="str">
        <f t="shared" si="63"/>
        <v>July</v>
      </c>
      <c r="G375">
        <f t="shared" si="62"/>
        <v>4</v>
      </c>
      <c r="H375" s="7">
        <f t="shared" si="64"/>
        <v>-0.10171430968506684</v>
      </c>
      <c r="I375" s="9">
        <f t="shared" si="65"/>
        <v>-1.0176607379301745E-3</v>
      </c>
      <c r="J375" s="9">
        <f t="shared" si="66"/>
        <v>86651.927142857137</v>
      </c>
      <c r="K375" s="9">
        <f t="shared" si="69"/>
        <v>85011.134333333306</v>
      </c>
      <c r="L375" s="9">
        <f t="shared" si="68"/>
        <v>86371.104999999996</v>
      </c>
      <c r="M375" s="9">
        <f t="shared" si="67"/>
        <v>4.5230064772739222E-3</v>
      </c>
      <c r="N375" s="9">
        <f t="shared" si="70"/>
        <v>7.6772447715800531E-3</v>
      </c>
    </row>
    <row r="376" spans="1:14" x14ac:dyDescent="0.35">
      <c r="A376" s="1">
        <v>42921</v>
      </c>
      <c r="B376" s="2" t="s">
        <v>376</v>
      </c>
      <c r="C376">
        <f t="shared" si="59"/>
        <v>84510.44</v>
      </c>
      <c r="D376">
        <f t="shared" si="60"/>
        <v>2017</v>
      </c>
      <c r="E376">
        <f t="shared" si="61"/>
        <v>7</v>
      </c>
      <c r="F376" t="str">
        <f t="shared" si="63"/>
        <v>July</v>
      </c>
      <c r="G376">
        <f t="shared" si="62"/>
        <v>5</v>
      </c>
      <c r="H376" s="7">
        <f t="shared" si="64"/>
        <v>-1.424295454495077</v>
      </c>
      <c r="I376" s="9">
        <f t="shared" si="65"/>
        <v>-1.4345358945809177E-2</v>
      </c>
      <c r="J376" s="9">
        <f t="shared" si="66"/>
        <v>86257.554285714286</v>
      </c>
      <c r="K376" s="9">
        <f t="shared" si="69"/>
        <v>85039.52499999998</v>
      </c>
      <c r="L376" s="9">
        <f t="shared" si="68"/>
        <v>86350.038111111091</v>
      </c>
      <c r="M376" s="9">
        <f t="shared" si="67"/>
        <v>5.9781399731627929E-3</v>
      </c>
      <c r="N376" s="9">
        <f t="shared" si="70"/>
        <v>7.7978066645897444E-3</v>
      </c>
    </row>
    <row r="377" spans="1:14" x14ac:dyDescent="0.35">
      <c r="A377" s="1">
        <v>42922</v>
      </c>
      <c r="B377" s="2" t="s">
        <v>377</v>
      </c>
      <c r="C377">
        <f t="shared" si="59"/>
        <v>84787.41</v>
      </c>
      <c r="D377">
        <f t="shared" si="60"/>
        <v>2017</v>
      </c>
      <c r="E377">
        <f t="shared" si="61"/>
        <v>7</v>
      </c>
      <c r="F377" t="str">
        <f t="shared" si="63"/>
        <v>July</v>
      </c>
      <c r="G377">
        <f t="shared" si="62"/>
        <v>6</v>
      </c>
      <c r="H377" s="7">
        <f t="shared" si="64"/>
        <v>0.32773465621525716</v>
      </c>
      <c r="I377" s="9">
        <f t="shared" si="65"/>
        <v>3.271987767135096E-3</v>
      </c>
      <c r="J377" s="9">
        <f t="shared" si="66"/>
        <v>85849.647142857153</v>
      </c>
      <c r="K377" s="9">
        <f t="shared" si="69"/>
        <v>85081.928999999989</v>
      </c>
      <c r="L377" s="9">
        <f t="shared" si="68"/>
        <v>86336.103333333318</v>
      </c>
      <c r="M377" s="9">
        <f t="shared" si="67"/>
        <v>5.743835486625124E-3</v>
      </c>
      <c r="N377" s="9">
        <f t="shared" si="70"/>
        <v>7.8056825223070192E-3</v>
      </c>
    </row>
    <row r="378" spans="1:14" x14ac:dyDescent="0.35">
      <c r="A378" s="1">
        <v>42923</v>
      </c>
      <c r="B378" s="2" t="s">
        <v>378</v>
      </c>
      <c r="C378">
        <f t="shared" si="59"/>
        <v>85102.34</v>
      </c>
      <c r="D378">
        <f t="shared" si="60"/>
        <v>2017</v>
      </c>
      <c r="E378">
        <f t="shared" si="61"/>
        <v>7</v>
      </c>
      <c r="F378" t="str">
        <f t="shared" si="63"/>
        <v>July</v>
      </c>
      <c r="G378">
        <f t="shared" si="62"/>
        <v>7</v>
      </c>
      <c r="H378" s="7">
        <f t="shared" si="64"/>
        <v>0.37143486279389004</v>
      </c>
      <c r="I378" s="9">
        <f t="shared" si="65"/>
        <v>3.70746746915872E-3</v>
      </c>
      <c r="J378" s="9">
        <f t="shared" si="66"/>
        <v>85587.347142857136</v>
      </c>
      <c r="K378" s="9">
        <f t="shared" si="69"/>
        <v>85181.210666666666</v>
      </c>
      <c r="L378" s="9">
        <f t="shared" si="68"/>
        <v>86365.175888888873</v>
      </c>
      <c r="M378" s="9">
        <f t="shared" si="67"/>
        <v>6.3010923399776453E-3</v>
      </c>
      <c r="N378" s="9">
        <f t="shared" si="70"/>
        <v>7.1044497096188148E-3</v>
      </c>
    </row>
    <row r="379" spans="1:14" x14ac:dyDescent="0.35">
      <c r="A379" s="1">
        <v>42926</v>
      </c>
      <c r="B379" s="2" t="s">
        <v>379</v>
      </c>
      <c r="C379">
        <f t="shared" si="59"/>
        <v>85397.5</v>
      </c>
      <c r="D379">
        <f t="shared" si="60"/>
        <v>2017</v>
      </c>
      <c r="E379">
        <f t="shared" si="61"/>
        <v>7</v>
      </c>
      <c r="F379" t="str">
        <f t="shared" si="63"/>
        <v>July</v>
      </c>
      <c r="G379">
        <f t="shared" si="62"/>
        <v>10</v>
      </c>
      <c r="H379" s="7">
        <f t="shared" si="64"/>
        <v>0.3468294761342679</v>
      </c>
      <c r="I379" s="9">
        <f t="shared" si="65"/>
        <v>3.4622940977775221E-3</v>
      </c>
      <c r="J379" s="9">
        <f t="shared" si="66"/>
        <v>85380.358571428573</v>
      </c>
      <c r="K379" s="9">
        <f t="shared" si="69"/>
        <v>85292.933999999994</v>
      </c>
      <c r="L379" s="9">
        <f t="shared" si="68"/>
        <v>86378.177666666656</v>
      </c>
      <c r="M379" s="9">
        <f t="shared" si="67"/>
        <v>6.7545382221693186E-3</v>
      </c>
      <c r="N379" s="9">
        <f t="shared" si="70"/>
        <v>7.1043297679921598E-3</v>
      </c>
    </row>
    <row r="380" spans="1:14" x14ac:dyDescent="0.35">
      <c r="A380" s="1">
        <v>42927</v>
      </c>
      <c r="B380" s="2" t="s">
        <v>380</v>
      </c>
      <c r="C380">
        <f t="shared" si="59"/>
        <v>84875.24</v>
      </c>
      <c r="D380">
        <f t="shared" si="60"/>
        <v>2017</v>
      </c>
      <c r="E380">
        <f t="shared" si="61"/>
        <v>7</v>
      </c>
      <c r="F380" t="str">
        <f t="shared" si="63"/>
        <v>July</v>
      </c>
      <c r="G380">
        <f t="shared" si="62"/>
        <v>11</v>
      </c>
      <c r="H380" s="7">
        <f t="shared" si="64"/>
        <v>-0.61156357036212383</v>
      </c>
      <c r="I380" s="9">
        <f t="shared" si="65"/>
        <v>-6.1344127987098419E-3</v>
      </c>
      <c r="J380" s="9">
        <f t="shared" si="66"/>
        <v>85174.748571428572</v>
      </c>
      <c r="K380" s="9">
        <f t="shared" si="69"/>
        <v>85339.88933333334</v>
      </c>
      <c r="L380" s="9">
        <f t="shared" si="68"/>
        <v>86408.330111111107</v>
      </c>
      <c r="M380" s="9">
        <f t="shared" si="67"/>
        <v>6.7536955510079091E-3</v>
      </c>
      <c r="N380" s="9">
        <f t="shared" si="70"/>
        <v>6.5670078902102099E-3</v>
      </c>
    </row>
    <row r="381" spans="1:14" x14ac:dyDescent="0.35">
      <c r="A381" s="1">
        <v>42928</v>
      </c>
      <c r="B381" s="2" t="s">
        <v>381</v>
      </c>
      <c r="C381">
        <f t="shared" si="59"/>
        <v>85608.47</v>
      </c>
      <c r="D381">
        <f t="shared" si="60"/>
        <v>2017</v>
      </c>
      <c r="E381">
        <f t="shared" si="61"/>
        <v>7</v>
      </c>
      <c r="F381" t="str">
        <f t="shared" si="63"/>
        <v>July</v>
      </c>
      <c r="G381">
        <f t="shared" si="62"/>
        <v>12</v>
      </c>
      <c r="H381" s="7">
        <f t="shared" si="64"/>
        <v>0.86389151889290183</v>
      </c>
      <c r="I381" s="9">
        <f t="shared" si="65"/>
        <v>8.6018132880991294E-3</v>
      </c>
      <c r="J381" s="9">
        <f t="shared" si="66"/>
        <v>85144.701428571439</v>
      </c>
      <c r="K381" s="9">
        <f t="shared" si="69"/>
        <v>85403.561000000016</v>
      </c>
      <c r="L381" s="9">
        <f t="shared" si="68"/>
        <v>86453.383555555542</v>
      </c>
      <c r="M381" s="9">
        <f t="shared" si="67"/>
        <v>7.6814241002887938E-3</v>
      </c>
      <c r="N381" s="9">
        <f t="shared" si="70"/>
        <v>6.7192711774339527E-3</v>
      </c>
    </row>
    <row r="382" spans="1:14" x14ac:dyDescent="0.35">
      <c r="A382" s="1">
        <v>42929</v>
      </c>
      <c r="B382" s="2" t="s">
        <v>382</v>
      </c>
      <c r="C382">
        <f t="shared" si="59"/>
        <v>85522.57</v>
      </c>
      <c r="D382">
        <f t="shared" si="60"/>
        <v>2017</v>
      </c>
      <c r="E382">
        <f t="shared" si="61"/>
        <v>7</v>
      </c>
      <c r="F382" t="str">
        <f t="shared" si="63"/>
        <v>July</v>
      </c>
      <c r="G382">
        <f t="shared" si="62"/>
        <v>13</v>
      </c>
      <c r="H382" s="7">
        <f t="shared" si="64"/>
        <v>-0.1003405387340694</v>
      </c>
      <c r="I382" s="9">
        <f t="shared" si="65"/>
        <v>-1.0039091355303013E-3</v>
      </c>
      <c r="J382" s="9">
        <f t="shared" si="66"/>
        <v>85114.852857142847</v>
      </c>
      <c r="K382" s="9">
        <f t="shared" si="69"/>
        <v>85482.561333333331</v>
      </c>
      <c r="L382" s="9">
        <f t="shared" si="68"/>
        <v>86447.161888888877</v>
      </c>
      <c r="M382" s="9">
        <f t="shared" si="67"/>
        <v>7.6812268088840216E-3</v>
      </c>
      <c r="N382" s="9">
        <f t="shared" si="70"/>
        <v>6.5867351628182552E-3</v>
      </c>
    </row>
    <row r="383" spans="1:14" x14ac:dyDescent="0.35">
      <c r="A383" s="1">
        <v>42930</v>
      </c>
      <c r="B383" s="2" t="s">
        <v>383</v>
      </c>
      <c r="C383">
        <f t="shared" si="59"/>
        <v>85274.83</v>
      </c>
      <c r="D383">
        <f t="shared" si="60"/>
        <v>2017</v>
      </c>
      <c r="E383">
        <f t="shared" si="61"/>
        <v>7</v>
      </c>
      <c r="F383" t="str">
        <f t="shared" si="63"/>
        <v>July</v>
      </c>
      <c r="G383">
        <f t="shared" si="62"/>
        <v>14</v>
      </c>
      <c r="H383" s="7">
        <f t="shared" si="64"/>
        <v>-0.28967791777071855</v>
      </c>
      <c r="I383" s="9">
        <f t="shared" si="65"/>
        <v>-2.9009829627634621E-3</v>
      </c>
      <c r="J383" s="9">
        <f t="shared" si="66"/>
        <v>85224.051428571431</v>
      </c>
      <c r="K383" s="9">
        <f t="shared" si="69"/>
        <v>85520.337666666659</v>
      </c>
      <c r="L383" s="9">
        <f t="shared" si="68"/>
        <v>86404.596222222201</v>
      </c>
      <c r="M383" s="9">
        <f t="shared" si="67"/>
        <v>4.9312281725123631E-3</v>
      </c>
      <c r="N383" s="9">
        <f t="shared" si="70"/>
        <v>6.2894288387504854E-3</v>
      </c>
    </row>
    <row r="384" spans="1:14" x14ac:dyDescent="0.35">
      <c r="A384" s="1">
        <v>42933</v>
      </c>
      <c r="B384" s="2" t="s">
        <v>384</v>
      </c>
      <c r="C384">
        <f t="shared" si="59"/>
        <v>84526.75</v>
      </c>
      <c r="D384">
        <f t="shared" si="60"/>
        <v>2017</v>
      </c>
      <c r="E384">
        <f t="shared" si="61"/>
        <v>7</v>
      </c>
      <c r="F384" t="str">
        <f t="shared" si="63"/>
        <v>July</v>
      </c>
      <c r="G384">
        <f t="shared" si="62"/>
        <v>17</v>
      </c>
      <c r="H384" s="7">
        <f t="shared" si="64"/>
        <v>-0.87725768553276706</v>
      </c>
      <c r="I384" s="9">
        <f t="shared" si="65"/>
        <v>-8.8112824390701363E-3</v>
      </c>
      <c r="J384" s="9">
        <f t="shared" si="66"/>
        <v>85186.814285714296</v>
      </c>
      <c r="K384" s="9">
        <f t="shared" si="69"/>
        <v>85513.045333333343</v>
      </c>
      <c r="L384" s="9">
        <f t="shared" si="68"/>
        <v>86344.329111111088</v>
      </c>
      <c r="M384" s="9">
        <f t="shared" si="67"/>
        <v>6.0973069257904454E-3</v>
      </c>
      <c r="N384" s="9">
        <f t="shared" si="70"/>
        <v>6.3771542058844929E-3</v>
      </c>
    </row>
    <row r="385" spans="1:14" x14ac:dyDescent="0.35">
      <c r="A385" s="1">
        <v>42934</v>
      </c>
      <c r="B385" s="2" t="s">
        <v>385</v>
      </c>
      <c r="C385">
        <f t="shared" si="59"/>
        <v>84425</v>
      </c>
      <c r="D385">
        <f t="shared" si="60"/>
        <v>2017</v>
      </c>
      <c r="E385">
        <f t="shared" si="61"/>
        <v>7</v>
      </c>
      <c r="F385" t="str">
        <f t="shared" si="63"/>
        <v>July</v>
      </c>
      <c r="G385">
        <f t="shared" si="62"/>
        <v>18</v>
      </c>
      <c r="H385" s="7">
        <f t="shared" si="64"/>
        <v>-0.12037609395842144</v>
      </c>
      <c r="I385" s="9">
        <f t="shared" si="65"/>
        <v>-1.2044860417422005E-3</v>
      </c>
      <c r="J385" s="9">
        <f t="shared" si="66"/>
        <v>85090.051428571445</v>
      </c>
      <c r="K385" s="9">
        <f t="shared" si="69"/>
        <v>85503.48533333333</v>
      </c>
      <c r="L385" s="9">
        <f t="shared" si="68"/>
        <v>86297.524111111095</v>
      </c>
      <c r="M385" s="9">
        <f t="shared" si="67"/>
        <v>5.816649859894195E-3</v>
      </c>
      <c r="N385" s="9">
        <f t="shared" si="70"/>
        <v>6.3802132634131255E-3</v>
      </c>
    </row>
    <row r="386" spans="1:14" x14ac:dyDescent="0.35">
      <c r="A386" s="1">
        <v>42935</v>
      </c>
      <c r="B386" s="2" t="s">
        <v>386</v>
      </c>
      <c r="C386">
        <f t="shared" si="59"/>
        <v>83872.740000000005</v>
      </c>
      <c r="D386">
        <f t="shared" si="60"/>
        <v>2017</v>
      </c>
      <c r="E386">
        <f t="shared" si="61"/>
        <v>7</v>
      </c>
      <c r="F386" t="str">
        <f t="shared" si="63"/>
        <v>July</v>
      </c>
      <c r="G386">
        <f t="shared" si="62"/>
        <v>19</v>
      </c>
      <c r="H386" s="7">
        <f t="shared" si="64"/>
        <v>-0.65414273023392921</v>
      </c>
      <c r="I386" s="9">
        <f t="shared" si="65"/>
        <v>-6.5629162012249709E-3</v>
      </c>
      <c r="J386" s="9">
        <f t="shared" si="66"/>
        <v>84872.228571428583</v>
      </c>
      <c r="K386" s="9">
        <f t="shared" si="69"/>
        <v>85483.890333333329</v>
      </c>
      <c r="L386" s="9">
        <f t="shared" si="68"/>
        <v>86234.19255555555</v>
      </c>
      <c r="M386" s="9">
        <f t="shared" si="67"/>
        <v>5.7276836187671121E-3</v>
      </c>
      <c r="N386" s="9">
        <f t="shared" si="70"/>
        <v>6.4687992928970936E-3</v>
      </c>
    </row>
    <row r="387" spans="1:14" x14ac:dyDescent="0.35">
      <c r="A387" s="1">
        <v>42936</v>
      </c>
      <c r="B387" s="2" t="s">
        <v>387</v>
      </c>
      <c r="C387">
        <f t="shared" ref="C387:C450" si="71">_xlfn.NUMBERVALUE(B387,".",",")</f>
        <v>83834.31</v>
      </c>
      <c r="D387">
        <f t="shared" ref="D387:D450" si="72">YEAR(A387)</f>
        <v>2017</v>
      </c>
      <c r="E387">
        <f t="shared" ref="E387:E450" si="73">MONTH(A387)</f>
        <v>7</v>
      </c>
      <c r="F387" t="str">
        <f t="shared" si="63"/>
        <v>July</v>
      </c>
      <c r="G387">
        <f t="shared" ref="G387:G450" si="74">DAY(A387)</f>
        <v>20</v>
      </c>
      <c r="H387" s="7">
        <f t="shared" si="64"/>
        <v>-4.5819416415879062E-2</v>
      </c>
      <c r="I387" s="9">
        <f t="shared" si="65"/>
        <v>-4.5829916718059463E-4</v>
      </c>
      <c r="J387" s="9">
        <f t="shared" si="66"/>
        <v>84723.524285714273</v>
      </c>
      <c r="K387" s="9">
        <f t="shared" si="69"/>
        <v>85475.195999999996</v>
      </c>
      <c r="L387" s="9">
        <f t="shared" si="68"/>
        <v>86166.822222222196</v>
      </c>
      <c r="M387" s="9">
        <f t="shared" si="67"/>
        <v>5.5382343985563524E-3</v>
      </c>
      <c r="N387" s="9">
        <f t="shared" si="70"/>
        <v>6.422554170669734E-3</v>
      </c>
    </row>
    <row r="388" spans="1:14" x14ac:dyDescent="0.35">
      <c r="A388" s="1">
        <v>42937</v>
      </c>
      <c r="B388" s="2" t="s">
        <v>388</v>
      </c>
      <c r="C388">
        <f t="shared" si="71"/>
        <v>83803.11</v>
      </c>
      <c r="D388">
        <f t="shared" si="72"/>
        <v>2017</v>
      </c>
      <c r="E388">
        <f t="shared" si="73"/>
        <v>7</v>
      </c>
      <c r="F388" t="str">
        <f t="shared" ref="F388:F451" si="75">TEXT(A388,"mmmm")</f>
        <v>July</v>
      </c>
      <c r="G388">
        <f t="shared" si="74"/>
        <v>21</v>
      </c>
      <c r="H388" s="7">
        <f t="shared" ref="H388:H451" si="76">((C388-C387)/C387)*100</f>
        <v>-3.721626622798839E-2</v>
      </c>
      <c r="I388" s="9">
        <f t="shared" ref="I388:I451" si="77">LN(C388/C387)</f>
        <v>-3.7223193199043746E-4</v>
      </c>
      <c r="J388" s="9">
        <f t="shared" si="66"/>
        <v>84465.615714285726</v>
      </c>
      <c r="K388" s="9">
        <f t="shared" si="69"/>
        <v>85470.448000000004</v>
      </c>
      <c r="L388" s="9">
        <f t="shared" si="68"/>
        <v>86098.78422222221</v>
      </c>
      <c r="M388" s="9">
        <f t="shared" si="67"/>
        <v>3.3425225566611309E-3</v>
      </c>
      <c r="N388" s="9">
        <f t="shared" si="70"/>
        <v>6.4150176995249582E-3</v>
      </c>
    </row>
    <row r="389" spans="1:14" x14ac:dyDescent="0.35">
      <c r="A389" s="1">
        <v>42940</v>
      </c>
      <c r="B389" s="2" t="s">
        <v>389</v>
      </c>
      <c r="C389">
        <f t="shared" si="71"/>
        <v>84201.75</v>
      </c>
      <c r="D389">
        <f t="shared" si="72"/>
        <v>2017</v>
      </c>
      <c r="E389">
        <f t="shared" si="73"/>
        <v>7</v>
      </c>
      <c r="F389" t="str">
        <f t="shared" si="75"/>
        <v>July</v>
      </c>
      <c r="G389">
        <f t="shared" si="74"/>
        <v>24</v>
      </c>
      <c r="H389" s="7">
        <f t="shared" si="76"/>
        <v>0.47568640352368713</v>
      </c>
      <c r="I389" s="9">
        <f t="shared" si="77"/>
        <v>4.7455859090454284E-3</v>
      </c>
      <c r="J389" s="9">
        <f t="shared" si="66"/>
        <v>84276.927142857137</v>
      </c>
      <c r="K389" s="9">
        <f t="shared" si="69"/>
        <v>85452.633666666661</v>
      </c>
      <c r="L389" s="9">
        <f t="shared" si="68"/>
        <v>86037.547666666651</v>
      </c>
      <c r="M389" s="9">
        <f t="shared" si="67"/>
        <v>4.4504319807105721E-3</v>
      </c>
      <c r="N389" s="9">
        <f t="shared" si="70"/>
        <v>6.2334640764507608E-3</v>
      </c>
    </row>
    <row r="390" spans="1:14" x14ac:dyDescent="0.35">
      <c r="A390" s="1">
        <v>42941</v>
      </c>
      <c r="B390" s="2" t="s">
        <v>390</v>
      </c>
      <c r="C390">
        <f t="shared" si="71"/>
        <v>84771.53</v>
      </c>
      <c r="D390">
        <f t="shared" si="72"/>
        <v>2017</v>
      </c>
      <c r="E390">
        <f t="shared" si="73"/>
        <v>7</v>
      </c>
      <c r="F390" t="str">
        <f t="shared" si="75"/>
        <v>July</v>
      </c>
      <c r="G390">
        <f t="shared" si="74"/>
        <v>25</v>
      </c>
      <c r="H390" s="7">
        <f t="shared" si="76"/>
        <v>0.67668427318909496</v>
      </c>
      <c r="I390" s="9">
        <f t="shared" si="77"/>
        <v>6.7440504151873529E-3</v>
      </c>
      <c r="J390" s="9">
        <f t="shared" si="66"/>
        <v>84205.027142857129</v>
      </c>
      <c r="K390" s="9">
        <f t="shared" si="69"/>
        <v>85447.175666666662</v>
      </c>
      <c r="L390" s="9">
        <f t="shared" si="68"/>
        <v>85990.724555555556</v>
      </c>
      <c r="M390" s="9">
        <f t="shared" si="67"/>
        <v>5.5603781794715951E-3</v>
      </c>
      <c r="N390" s="9">
        <f t="shared" si="70"/>
        <v>6.3463572511348564E-3</v>
      </c>
    </row>
    <row r="391" spans="1:14" x14ac:dyDescent="0.35">
      <c r="A391" s="1">
        <v>42942</v>
      </c>
      <c r="B391" s="2" t="s">
        <v>391</v>
      </c>
      <c r="C391">
        <f t="shared" si="71"/>
        <v>85124.52</v>
      </c>
      <c r="D391">
        <f t="shared" si="72"/>
        <v>2017</v>
      </c>
      <c r="E391">
        <f t="shared" si="73"/>
        <v>7</v>
      </c>
      <c r="F391" t="str">
        <f t="shared" si="75"/>
        <v>July</v>
      </c>
      <c r="G391">
        <f t="shared" si="74"/>
        <v>26</v>
      </c>
      <c r="H391" s="7">
        <f t="shared" si="76"/>
        <v>0.41640159143052541</v>
      </c>
      <c r="I391" s="9">
        <f t="shared" si="77"/>
        <v>4.1553703917905872E-3</v>
      </c>
      <c r="J391" s="9">
        <f t="shared" si="66"/>
        <v>84290.422857142854</v>
      </c>
      <c r="K391" s="9">
        <f t="shared" si="69"/>
        <v>85460.915666666653</v>
      </c>
      <c r="L391" s="9">
        <f t="shared" si="68"/>
        <v>85941.899777777769</v>
      </c>
      <c r="M391" s="9">
        <f t="shared" si="67"/>
        <v>4.52855186266904E-3</v>
      </c>
      <c r="N391" s="9">
        <f t="shared" si="70"/>
        <v>6.3726480224687368E-3</v>
      </c>
    </row>
    <row r="392" spans="1:14" x14ac:dyDescent="0.35">
      <c r="A392" s="1">
        <v>42943</v>
      </c>
      <c r="B392" s="2" t="s">
        <v>392</v>
      </c>
      <c r="C392">
        <f t="shared" si="71"/>
        <v>85998.22</v>
      </c>
      <c r="D392">
        <f t="shared" si="72"/>
        <v>2017</v>
      </c>
      <c r="E392">
        <f t="shared" si="73"/>
        <v>7</v>
      </c>
      <c r="F392" t="str">
        <f t="shared" si="75"/>
        <v>July</v>
      </c>
      <c r="G392">
        <f t="shared" si="74"/>
        <v>27</v>
      </c>
      <c r="H392" s="7">
        <f t="shared" si="76"/>
        <v>1.0263787684206584</v>
      </c>
      <c r="I392" s="9">
        <f t="shared" si="77"/>
        <v>1.021147267763064E-2</v>
      </c>
      <c r="J392" s="9">
        <f t="shared" si="66"/>
        <v>84515.168571428556</v>
      </c>
      <c r="K392" s="9">
        <f t="shared" si="69"/>
        <v>85507.41333333333</v>
      </c>
      <c r="L392" s="9">
        <f t="shared" si="68"/>
        <v>85895.772333333327</v>
      </c>
      <c r="M392" s="9">
        <f t="shared" si="67"/>
        <v>5.5417640419731119E-3</v>
      </c>
      <c r="N392" s="9">
        <f t="shared" si="70"/>
        <v>6.6233522406850005E-3</v>
      </c>
    </row>
    <row r="393" spans="1:14" x14ac:dyDescent="0.35">
      <c r="A393" s="1">
        <v>42944</v>
      </c>
      <c r="B393" s="2" t="s">
        <v>393</v>
      </c>
      <c r="C393">
        <f t="shared" si="71"/>
        <v>85329.75</v>
      </c>
      <c r="D393">
        <f t="shared" si="72"/>
        <v>2017</v>
      </c>
      <c r="E393">
        <f t="shared" si="73"/>
        <v>7</v>
      </c>
      <c r="F393" t="str">
        <f t="shared" si="75"/>
        <v>July</v>
      </c>
      <c r="G393">
        <f t="shared" si="74"/>
        <v>28</v>
      </c>
      <c r="H393" s="7">
        <f t="shared" si="76"/>
        <v>-0.77730678611720239</v>
      </c>
      <c r="I393" s="9">
        <f t="shared" si="77"/>
        <v>-7.8034356226331491E-3</v>
      </c>
      <c r="J393" s="9">
        <f t="shared" ref="J393:J456" si="78">AVERAGE(C387:C393)</f>
        <v>84723.312857142853</v>
      </c>
      <c r="K393" s="9">
        <f t="shared" si="69"/>
        <v>85536.226666666669</v>
      </c>
      <c r="L393" s="9">
        <f t="shared" si="68"/>
        <v>85856.179444444424</v>
      </c>
      <c r="M393" s="9">
        <f t="shared" si="67"/>
        <v>5.8936790712404395E-3</v>
      </c>
      <c r="N393" s="9">
        <f t="shared" si="70"/>
        <v>6.7871198890737177E-3</v>
      </c>
    </row>
    <row r="394" spans="1:14" x14ac:dyDescent="0.35">
      <c r="A394" s="1">
        <v>42947</v>
      </c>
      <c r="B394" s="2" t="s">
        <v>394</v>
      </c>
      <c r="C394">
        <f t="shared" si="71"/>
        <v>86642.86</v>
      </c>
      <c r="D394">
        <f t="shared" si="72"/>
        <v>2017</v>
      </c>
      <c r="E394">
        <f t="shared" si="73"/>
        <v>7</v>
      </c>
      <c r="F394" t="str">
        <f t="shared" si="75"/>
        <v>July</v>
      </c>
      <c r="G394">
        <f t="shared" si="74"/>
        <v>31</v>
      </c>
      <c r="H394" s="7">
        <f t="shared" si="76"/>
        <v>1.5388654015744807</v>
      </c>
      <c r="I394" s="9">
        <f t="shared" si="77"/>
        <v>1.527144956262716E-2</v>
      </c>
      <c r="J394" s="9">
        <f t="shared" si="78"/>
        <v>85124.534285714282</v>
      </c>
      <c r="K394" s="9">
        <f t="shared" si="69"/>
        <v>85570.994000000006</v>
      </c>
      <c r="L394" s="9">
        <f t="shared" si="68"/>
        <v>85835.265666666644</v>
      </c>
      <c r="M394" s="9">
        <f t="shared" ref="M394:M457" si="79">STDEV(I388:I394)</f>
        <v>7.4012585357557713E-3</v>
      </c>
      <c r="N394" s="9">
        <f t="shared" si="70"/>
        <v>6.9223743612375765E-3</v>
      </c>
    </row>
    <row r="395" spans="1:14" x14ac:dyDescent="0.35">
      <c r="A395" s="1">
        <v>42948</v>
      </c>
      <c r="B395" s="2" t="s">
        <v>395</v>
      </c>
      <c r="C395">
        <f t="shared" si="71"/>
        <v>86223.6</v>
      </c>
      <c r="D395">
        <f t="shared" si="72"/>
        <v>2017</v>
      </c>
      <c r="E395">
        <f t="shared" si="73"/>
        <v>8</v>
      </c>
      <c r="F395" t="str">
        <f t="shared" si="75"/>
        <v>August</v>
      </c>
      <c r="G395">
        <f t="shared" si="74"/>
        <v>1</v>
      </c>
      <c r="H395" s="7">
        <f t="shared" si="76"/>
        <v>-0.48389446054757973</v>
      </c>
      <c r="I395" s="9">
        <f t="shared" si="77"/>
        <v>-4.8506902041095847E-3</v>
      </c>
      <c r="J395" s="9">
        <f t="shared" si="78"/>
        <v>85470.318571428565</v>
      </c>
      <c r="K395" s="9">
        <f t="shared" si="69"/>
        <v>85586.912666666685</v>
      </c>
      <c r="L395" s="9">
        <f t="shared" si="68"/>
        <v>85816.456111111096</v>
      </c>
      <c r="M395" s="9">
        <f t="shared" si="79"/>
        <v>8.0763188678071706E-3</v>
      </c>
      <c r="N395" s="9">
        <f t="shared" si="70"/>
        <v>6.9830754940727541E-3</v>
      </c>
    </row>
    <row r="396" spans="1:14" x14ac:dyDescent="0.35">
      <c r="A396" s="1">
        <v>42949</v>
      </c>
      <c r="B396" s="2" t="s">
        <v>396</v>
      </c>
      <c r="C396">
        <f t="shared" si="71"/>
        <v>86198.57</v>
      </c>
      <c r="D396">
        <f t="shared" si="72"/>
        <v>2017</v>
      </c>
      <c r="E396">
        <f t="shared" si="73"/>
        <v>8</v>
      </c>
      <c r="F396" t="str">
        <f t="shared" si="75"/>
        <v>August</v>
      </c>
      <c r="G396">
        <f t="shared" si="74"/>
        <v>2</v>
      </c>
      <c r="H396" s="7">
        <f t="shared" si="76"/>
        <v>-2.9029175306991162E-2</v>
      </c>
      <c r="I396" s="9">
        <f t="shared" si="77"/>
        <v>-2.9033389587689154E-4</v>
      </c>
      <c r="J396" s="9">
        <f t="shared" si="78"/>
        <v>85755.578571428574</v>
      </c>
      <c r="K396" s="9">
        <f t="shared" si="69"/>
        <v>85555.876666666678</v>
      </c>
      <c r="L396" s="9">
        <f t="shared" si="68"/>
        <v>85806.79855555555</v>
      </c>
      <c r="M396" s="9">
        <f t="shared" si="79"/>
        <v>8.2287243096060506E-3</v>
      </c>
      <c r="N396" s="9">
        <f t="shared" si="70"/>
        <v>6.3113668091142657E-3</v>
      </c>
    </row>
    <row r="397" spans="1:14" x14ac:dyDescent="0.35">
      <c r="A397" s="1">
        <v>42950</v>
      </c>
      <c r="B397" s="2" t="s">
        <v>397</v>
      </c>
      <c r="C397">
        <f t="shared" si="71"/>
        <v>85384.82</v>
      </c>
      <c r="D397">
        <f t="shared" si="72"/>
        <v>2017</v>
      </c>
      <c r="E397">
        <f t="shared" si="73"/>
        <v>8</v>
      </c>
      <c r="F397" t="str">
        <f t="shared" si="75"/>
        <v>August</v>
      </c>
      <c r="G397">
        <f t="shared" si="74"/>
        <v>3</v>
      </c>
      <c r="H397" s="7">
        <f t="shared" si="76"/>
        <v>-0.94404118304978835</v>
      </c>
      <c r="I397" s="9">
        <f t="shared" si="77"/>
        <v>-9.4852549665287514E-3</v>
      </c>
      <c r="J397" s="9">
        <f t="shared" si="78"/>
        <v>85843.19142857143</v>
      </c>
      <c r="K397" s="9">
        <f t="shared" si="69"/>
        <v>85503.19233333334</v>
      </c>
      <c r="L397" s="9">
        <f t="shared" si="68"/>
        <v>85790.476444444444</v>
      </c>
      <c r="M397" s="9">
        <f t="shared" si="79"/>
        <v>9.3257013744770956E-3</v>
      </c>
      <c r="N397" s="9">
        <f t="shared" si="70"/>
        <v>6.5237196085741432E-3</v>
      </c>
    </row>
    <row r="398" spans="1:14" x14ac:dyDescent="0.35">
      <c r="A398" s="1">
        <v>42951</v>
      </c>
      <c r="B398" s="2" t="s">
        <v>398</v>
      </c>
      <c r="C398">
        <f t="shared" si="71"/>
        <v>86759.039999999994</v>
      </c>
      <c r="D398">
        <f t="shared" si="72"/>
        <v>2017</v>
      </c>
      <c r="E398">
        <f t="shared" si="73"/>
        <v>8</v>
      </c>
      <c r="F398" t="str">
        <f t="shared" si="75"/>
        <v>August</v>
      </c>
      <c r="G398">
        <f t="shared" si="74"/>
        <v>4</v>
      </c>
      <c r="H398" s="7">
        <f t="shared" si="76"/>
        <v>1.6094429899834495</v>
      </c>
      <c r="I398" s="9">
        <f t="shared" si="77"/>
        <v>1.5966287652172031E-2</v>
      </c>
      <c r="J398" s="9">
        <f t="shared" si="78"/>
        <v>86076.6942857143</v>
      </c>
      <c r="K398" s="9">
        <f t="shared" si="69"/>
        <v>85491.295333333328</v>
      </c>
      <c r="L398" s="9">
        <f t="shared" si="68"/>
        <v>85786.787555555551</v>
      </c>
      <c r="M398" s="9">
        <f t="shared" si="79"/>
        <v>1.0917978536463589E-2</v>
      </c>
      <c r="N398" s="9">
        <f t="shared" si="70"/>
        <v>7.1842477742530657E-3</v>
      </c>
    </row>
    <row r="399" spans="1:14" x14ac:dyDescent="0.35">
      <c r="A399" s="1">
        <v>42954</v>
      </c>
      <c r="B399" s="2" t="s">
        <v>399</v>
      </c>
      <c r="C399">
        <f t="shared" si="71"/>
        <v>87300.97</v>
      </c>
      <c r="D399">
        <f t="shared" si="72"/>
        <v>2017</v>
      </c>
      <c r="E399">
        <f t="shared" si="73"/>
        <v>8</v>
      </c>
      <c r="F399" t="str">
        <f t="shared" si="75"/>
        <v>August</v>
      </c>
      <c r="G399">
        <f t="shared" si="74"/>
        <v>7</v>
      </c>
      <c r="H399" s="7">
        <f t="shared" si="76"/>
        <v>0.62463807806080796</v>
      </c>
      <c r="I399" s="9">
        <f t="shared" si="77"/>
        <v>6.2269530043994716E-3</v>
      </c>
      <c r="J399" s="9">
        <f t="shared" si="78"/>
        <v>86262.801428571431</v>
      </c>
      <c r="K399" s="9">
        <f t="shared" si="69"/>
        <v>85492.292666666675</v>
      </c>
      <c r="L399" s="9">
        <f t="shared" si="68"/>
        <v>85786.894</v>
      </c>
      <c r="M399" s="9">
        <f t="shared" si="79"/>
        <v>1.0560134850399354E-2</v>
      </c>
      <c r="N399" s="9">
        <f t="shared" si="70"/>
        <v>7.2705303983770292E-3</v>
      </c>
    </row>
    <row r="400" spans="1:14" x14ac:dyDescent="0.35">
      <c r="A400" s="1">
        <v>42955</v>
      </c>
      <c r="B400" s="2" t="s">
        <v>400</v>
      </c>
      <c r="C400">
        <f t="shared" si="71"/>
        <v>87643.65</v>
      </c>
      <c r="D400">
        <f t="shared" si="72"/>
        <v>2017</v>
      </c>
      <c r="E400">
        <f t="shared" si="73"/>
        <v>8</v>
      </c>
      <c r="F400" t="str">
        <f t="shared" si="75"/>
        <v>August</v>
      </c>
      <c r="G400">
        <f t="shared" si="74"/>
        <v>8</v>
      </c>
      <c r="H400" s="7">
        <f t="shared" si="76"/>
        <v>0.39252713916007231</v>
      </c>
      <c r="I400" s="9">
        <f t="shared" si="77"/>
        <v>3.9175876145618304E-3</v>
      </c>
      <c r="J400" s="9">
        <f t="shared" si="78"/>
        <v>86593.358571428573</v>
      </c>
      <c r="K400" s="9">
        <f t="shared" si="69"/>
        <v>85492.32233333333</v>
      </c>
      <c r="L400" s="9">
        <f t="shared" si="68"/>
        <v>85776.599444444451</v>
      </c>
      <c r="M400" s="9">
        <f t="shared" si="79"/>
        <v>9.6053494941827858E-3</v>
      </c>
      <c r="N400" s="9">
        <f t="shared" si="70"/>
        <v>7.2640941316334025E-3</v>
      </c>
    </row>
    <row r="401" spans="1:14" x14ac:dyDescent="0.35">
      <c r="A401" s="1">
        <v>42957</v>
      </c>
      <c r="B401" s="2" t="s">
        <v>401</v>
      </c>
      <c r="C401">
        <f t="shared" si="71"/>
        <v>87015.81</v>
      </c>
      <c r="D401">
        <f t="shared" si="72"/>
        <v>2017</v>
      </c>
      <c r="E401">
        <f t="shared" si="73"/>
        <v>8</v>
      </c>
      <c r="F401" t="str">
        <f t="shared" si="75"/>
        <v>August</v>
      </c>
      <c r="G401">
        <f t="shared" si="74"/>
        <v>10</v>
      </c>
      <c r="H401" s="7">
        <f t="shared" si="76"/>
        <v>-0.71635537771418301</v>
      </c>
      <c r="I401" s="9">
        <f t="shared" si="77"/>
        <v>-7.1893352268178681E-3</v>
      </c>
      <c r="J401" s="9">
        <f t="shared" si="78"/>
        <v>86646.637142857144</v>
      </c>
      <c r="K401" s="9">
        <f t="shared" si="69"/>
        <v>85494.901333333357</v>
      </c>
      <c r="L401" s="9">
        <f t="shared" si="68"/>
        <v>85762.774222222215</v>
      </c>
      <c r="M401" s="9">
        <f t="shared" si="79"/>
        <v>8.8664096262809685E-3</v>
      </c>
      <c r="N401" s="9">
        <f t="shared" si="70"/>
        <v>7.2321139484427333E-3</v>
      </c>
    </row>
    <row r="402" spans="1:14" x14ac:dyDescent="0.35">
      <c r="A402" s="1">
        <v>42958</v>
      </c>
      <c r="B402" s="2" t="s">
        <v>402</v>
      </c>
      <c r="C402">
        <f t="shared" si="71"/>
        <v>86937.24</v>
      </c>
      <c r="D402">
        <f t="shared" si="72"/>
        <v>2017</v>
      </c>
      <c r="E402">
        <f t="shared" si="73"/>
        <v>8</v>
      </c>
      <c r="F402" t="str">
        <f t="shared" si="75"/>
        <v>August</v>
      </c>
      <c r="G402">
        <f t="shared" si="74"/>
        <v>11</v>
      </c>
      <c r="H402" s="7">
        <f t="shared" si="76"/>
        <v>-9.029393623985392E-2</v>
      </c>
      <c r="I402" s="9">
        <f t="shared" si="77"/>
        <v>-9.0334725769954224E-4</v>
      </c>
      <c r="J402" s="9">
        <f t="shared" si="78"/>
        <v>86748.585714285728</v>
      </c>
      <c r="K402" s="9">
        <f t="shared" si="69"/>
        <v>85497.928666666689</v>
      </c>
      <c r="L402" s="9">
        <f t="shared" si="68"/>
        <v>85754.103777777782</v>
      </c>
      <c r="M402" s="9">
        <f t="shared" si="79"/>
        <v>8.5819192962530415E-3</v>
      </c>
      <c r="N402" s="9">
        <f t="shared" si="70"/>
        <v>7.2313617414803862E-3</v>
      </c>
    </row>
    <row r="403" spans="1:14" x14ac:dyDescent="0.35">
      <c r="A403" s="1">
        <v>42961</v>
      </c>
      <c r="B403" s="2" t="s">
        <v>403</v>
      </c>
      <c r="C403">
        <f t="shared" si="71"/>
        <v>86464.19</v>
      </c>
      <c r="D403">
        <f t="shared" si="72"/>
        <v>2017</v>
      </c>
      <c r="E403">
        <f t="shared" si="73"/>
        <v>8</v>
      </c>
      <c r="F403" t="str">
        <f t="shared" si="75"/>
        <v>August</v>
      </c>
      <c r="G403">
        <f t="shared" si="74"/>
        <v>14</v>
      </c>
      <c r="H403" s="7">
        <f t="shared" si="76"/>
        <v>-0.54412815497708789</v>
      </c>
      <c r="I403" s="9">
        <f t="shared" si="77"/>
        <v>-5.4561392433287361E-3</v>
      </c>
      <c r="J403" s="9">
        <f t="shared" si="78"/>
        <v>86786.531428571427</v>
      </c>
      <c r="K403" s="9">
        <f t="shared" si="69"/>
        <v>85502.918000000034</v>
      </c>
      <c r="L403" s="9">
        <f t="shared" si="68"/>
        <v>85751.141222222228</v>
      </c>
      <c r="M403" s="9">
        <f t="shared" si="79"/>
        <v>8.9436619031567494E-3</v>
      </c>
      <c r="N403" s="9">
        <f t="shared" si="70"/>
        <v>7.2121730146058874E-3</v>
      </c>
    </row>
    <row r="404" spans="1:14" x14ac:dyDescent="0.35">
      <c r="A404" s="1">
        <v>42962</v>
      </c>
      <c r="B404" s="2" t="s">
        <v>404</v>
      </c>
      <c r="C404">
        <f t="shared" si="71"/>
        <v>86752.88</v>
      </c>
      <c r="D404">
        <f t="shared" si="72"/>
        <v>2017</v>
      </c>
      <c r="E404">
        <f t="shared" si="73"/>
        <v>8</v>
      </c>
      <c r="F404" t="str">
        <f t="shared" si="75"/>
        <v>August</v>
      </c>
      <c r="G404">
        <f t="shared" si="74"/>
        <v>15</v>
      </c>
      <c r="H404" s="7">
        <f t="shared" si="76"/>
        <v>0.33388388880992503</v>
      </c>
      <c r="I404" s="9">
        <f t="shared" si="77"/>
        <v>3.3332773415060087E-3</v>
      </c>
      <c r="J404" s="9">
        <f t="shared" si="78"/>
        <v>86981.968571428573</v>
      </c>
      <c r="K404" s="9">
        <f t="shared" si="69"/>
        <v>85534.054000000018</v>
      </c>
      <c r="L404" s="9">
        <f t="shared" si="68"/>
        <v>85742.119666666666</v>
      </c>
      <c r="M404" s="9">
        <f t="shared" si="79"/>
        <v>7.8138046169665149E-3</v>
      </c>
      <c r="N404" s="9">
        <f t="shared" si="70"/>
        <v>7.1500636935780447E-3</v>
      </c>
    </row>
    <row r="405" spans="1:14" x14ac:dyDescent="0.35">
      <c r="A405" s="1">
        <v>42963</v>
      </c>
      <c r="B405" s="2" t="s">
        <v>405</v>
      </c>
      <c r="C405">
        <f t="shared" si="71"/>
        <v>87076.55</v>
      </c>
      <c r="D405">
        <f t="shared" si="72"/>
        <v>2017</v>
      </c>
      <c r="E405">
        <f t="shared" si="73"/>
        <v>8</v>
      </c>
      <c r="F405" t="str">
        <f t="shared" si="75"/>
        <v>August</v>
      </c>
      <c r="G405">
        <f t="shared" si="74"/>
        <v>16</v>
      </c>
      <c r="H405" s="7">
        <f t="shared" si="76"/>
        <v>0.37309424194332019</v>
      </c>
      <c r="I405" s="9">
        <f t="shared" si="77"/>
        <v>3.7239997169550552E-3</v>
      </c>
      <c r="J405" s="9">
        <f t="shared" si="78"/>
        <v>87027.327142857146</v>
      </c>
      <c r="K405" s="9">
        <f t="shared" si="69"/>
        <v>85578.888666666666</v>
      </c>
      <c r="L405" s="9">
        <f t="shared" si="68"/>
        <v>85754.717888888888</v>
      </c>
      <c r="M405" s="9">
        <f t="shared" si="79"/>
        <v>5.1553700313818687E-3</v>
      </c>
      <c r="N405" s="9">
        <f t="shared" si="70"/>
        <v>7.1709181510925413E-3</v>
      </c>
    </row>
    <row r="406" spans="1:14" x14ac:dyDescent="0.35">
      <c r="A406" s="1">
        <v>42964</v>
      </c>
      <c r="B406" s="2" t="s">
        <v>406</v>
      </c>
      <c r="C406">
        <f t="shared" si="71"/>
        <v>87201.49</v>
      </c>
      <c r="D406">
        <f t="shared" si="72"/>
        <v>2017</v>
      </c>
      <c r="E406">
        <f t="shared" si="73"/>
        <v>8</v>
      </c>
      <c r="F406" t="str">
        <f t="shared" si="75"/>
        <v>August</v>
      </c>
      <c r="G406">
        <f t="shared" si="74"/>
        <v>17</v>
      </c>
      <c r="H406" s="7">
        <f t="shared" si="76"/>
        <v>0.1434829469013211</v>
      </c>
      <c r="I406" s="9">
        <f t="shared" si="77"/>
        <v>1.4338010847970688E-3</v>
      </c>
      <c r="J406" s="9">
        <f t="shared" si="78"/>
        <v>87013.115714285726</v>
      </c>
      <c r="K406" s="9">
        <f t="shared" si="69"/>
        <v>85668.590333333341</v>
      </c>
      <c r="L406" s="9">
        <f t="shared" si="68"/>
        <v>85753.34166666666</v>
      </c>
      <c r="M406" s="9">
        <f t="shared" si="79"/>
        <v>4.5546407608424259E-3</v>
      </c>
      <c r="N406" s="9">
        <f t="shared" si="70"/>
        <v>6.5989320194166229E-3</v>
      </c>
    </row>
    <row r="407" spans="1:14" x14ac:dyDescent="0.35">
      <c r="A407" s="1">
        <v>42965</v>
      </c>
      <c r="B407" s="2" t="s">
        <v>407</v>
      </c>
      <c r="C407">
        <f t="shared" si="71"/>
        <v>86582.35</v>
      </c>
      <c r="D407">
        <f t="shared" si="72"/>
        <v>2017</v>
      </c>
      <c r="E407">
        <f t="shared" si="73"/>
        <v>8</v>
      </c>
      <c r="F407" t="str">
        <f t="shared" si="75"/>
        <v>August</v>
      </c>
      <c r="G407">
        <f t="shared" si="74"/>
        <v>18</v>
      </c>
      <c r="H407" s="7">
        <f t="shared" si="76"/>
        <v>-0.71001080371447711</v>
      </c>
      <c r="I407" s="9">
        <f t="shared" si="77"/>
        <v>-7.1254337522881567E-3</v>
      </c>
      <c r="J407" s="9">
        <f t="shared" si="78"/>
        <v>86861.501428571428</v>
      </c>
      <c r="K407" s="9">
        <f t="shared" si="69"/>
        <v>85728.421666666676</v>
      </c>
      <c r="L407" s="9">
        <f t="shared" si="68"/>
        <v>85734.014888888894</v>
      </c>
      <c r="M407" s="9">
        <f t="shared" si="79"/>
        <v>4.8109991612259656E-3</v>
      </c>
      <c r="N407" s="9">
        <f t="shared" si="70"/>
        <v>6.7492570245969693E-3</v>
      </c>
    </row>
    <row r="408" spans="1:14" x14ac:dyDescent="0.35">
      <c r="A408" s="1">
        <v>42968</v>
      </c>
      <c r="B408" s="2" t="s">
        <v>408</v>
      </c>
      <c r="C408">
        <f t="shared" si="71"/>
        <v>86393.01</v>
      </c>
      <c r="D408">
        <f t="shared" si="72"/>
        <v>2017</v>
      </c>
      <c r="E408">
        <f t="shared" si="73"/>
        <v>8</v>
      </c>
      <c r="F408" t="str">
        <f t="shared" si="75"/>
        <v>August</v>
      </c>
      <c r="G408">
        <f t="shared" si="74"/>
        <v>21</v>
      </c>
      <c r="H408" s="7">
        <f t="shared" si="76"/>
        <v>-0.21868198310626941</v>
      </c>
      <c r="I408" s="9">
        <f t="shared" si="77"/>
        <v>-2.1892144131995537E-3</v>
      </c>
      <c r="J408" s="9">
        <f t="shared" si="78"/>
        <v>86772.53</v>
      </c>
      <c r="K408" s="9">
        <f t="shared" si="69"/>
        <v>85771.444000000003</v>
      </c>
      <c r="L408" s="9">
        <f t="shared" si="68"/>
        <v>85718.895111111109</v>
      </c>
      <c r="M408" s="9">
        <f t="shared" si="79"/>
        <v>4.1994792285998369E-3</v>
      </c>
      <c r="N408" s="9">
        <f t="shared" si="70"/>
        <v>6.7444619209715093E-3</v>
      </c>
    </row>
    <row r="409" spans="1:14" x14ac:dyDescent="0.35">
      <c r="A409" s="1">
        <v>42969</v>
      </c>
      <c r="B409" s="2" t="s">
        <v>409</v>
      </c>
      <c r="C409">
        <f t="shared" si="71"/>
        <v>85949.77</v>
      </c>
      <c r="D409">
        <f t="shared" si="72"/>
        <v>2017</v>
      </c>
      <c r="E409">
        <f t="shared" si="73"/>
        <v>8</v>
      </c>
      <c r="F409" t="str">
        <f t="shared" si="75"/>
        <v>August</v>
      </c>
      <c r="G409">
        <f t="shared" si="74"/>
        <v>22</v>
      </c>
      <c r="H409" s="7">
        <f t="shared" si="76"/>
        <v>-0.51305076649139869</v>
      </c>
      <c r="I409" s="9">
        <f t="shared" si="77"/>
        <v>-5.1437139085516682E-3</v>
      </c>
      <c r="J409" s="9">
        <f t="shared" si="78"/>
        <v>86631.462857142862</v>
      </c>
      <c r="K409" s="9">
        <f t="shared" si="69"/>
        <v>85789.853000000017</v>
      </c>
      <c r="L409" s="9">
        <f t="shared" si="68"/>
        <v>85702.522888888881</v>
      </c>
      <c r="M409" s="9">
        <f t="shared" si="79"/>
        <v>4.4755693513236217E-3</v>
      </c>
      <c r="N409" s="9">
        <f t="shared" si="70"/>
        <v>6.7970144134255599E-3</v>
      </c>
    </row>
    <row r="410" spans="1:14" x14ac:dyDescent="0.35">
      <c r="A410" s="1">
        <v>42970</v>
      </c>
      <c r="B410" s="2" t="s">
        <v>410</v>
      </c>
      <c r="C410">
        <f t="shared" si="71"/>
        <v>86398.66</v>
      </c>
      <c r="D410">
        <f t="shared" si="72"/>
        <v>2017</v>
      </c>
      <c r="E410">
        <f t="shared" si="73"/>
        <v>8</v>
      </c>
      <c r="F410" t="str">
        <f t="shared" si="75"/>
        <v>August</v>
      </c>
      <c r="G410">
        <f t="shared" si="74"/>
        <v>23</v>
      </c>
      <c r="H410" s="7">
        <f t="shared" si="76"/>
        <v>0.52227015848907965</v>
      </c>
      <c r="I410" s="9">
        <f t="shared" si="77"/>
        <v>5.2091105796066451E-3</v>
      </c>
      <c r="J410" s="9">
        <f t="shared" si="78"/>
        <v>86622.101428571434</v>
      </c>
      <c r="K410" s="9">
        <f t="shared" si="69"/>
        <v>85840.633666666676</v>
      </c>
      <c r="L410" s="9">
        <f t="shared" si="68"/>
        <v>85674.57677777778</v>
      </c>
      <c r="M410" s="9">
        <f t="shared" si="79"/>
        <v>4.7628715230103322E-3</v>
      </c>
      <c r="N410" s="9">
        <f t="shared" si="70"/>
        <v>6.7469597445680091E-3</v>
      </c>
    </row>
    <row r="411" spans="1:14" x14ac:dyDescent="0.35">
      <c r="A411" s="1">
        <v>42971</v>
      </c>
      <c r="B411" s="2" t="s">
        <v>411</v>
      </c>
      <c r="C411">
        <f t="shared" si="71"/>
        <v>86149.45</v>
      </c>
      <c r="D411">
        <f t="shared" si="72"/>
        <v>2017</v>
      </c>
      <c r="E411">
        <f t="shared" si="73"/>
        <v>8</v>
      </c>
      <c r="F411" t="str">
        <f t="shared" si="75"/>
        <v>August</v>
      </c>
      <c r="G411">
        <f t="shared" si="74"/>
        <v>24</v>
      </c>
      <c r="H411" s="7">
        <f t="shared" si="76"/>
        <v>-0.28844197352135598</v>
      </c>
      <c r="I411" s="9">
        <f t="shared" si="77"/>
        <v>-2.8885876905024848E-3</v>
      </c>
      <c r="J411" s="9">
        <f t="shared" si="78"/>
        <v>86535.897142857153</v>
      </c>
      <c r="K411" s="9">
        <f t="shared" si="69"/>
        <v>85858.666333333356</v>
      </c>
      <c r="L411" s="9">
        <f t="shared" si="68"/>
        <v>85644.311444444436</v>
      </c>
      <c r="M411" s="9">
        <f t="shared" si="79"/>
        <v>4.5910212427279079E-3</v>
      </c>
      <c r="N411" s="9">
        <f t="shared" si="70"/>
        <v>6.6012060135016842E-3</v>
      </c>
    </row>
    <row r="412" spans="1:14" x14ac:dyDescent="0.35">
      <c r="A412" s="1">
        <v>42972</v>
      </c>
      <c r="B412" s="2" t="s">
        <v>412</v>
      </c>
      <c r="C412">
        <f t="shared" si="71"/>
        <v>85392.82</v>
      </c>
      <c r="D412">
        <f t="shared" si="72"/>
        <v>2017</v>
      </c>
      <c r="E412">
        <f t="shared" si="73"/>
        <v>8</v>
      </c>
      <c r="F412" t="str">
        <f t="shared" si="75"/>
        <v>August</v>
      </c>
      <c r="G412">
        <f t="shared" si="74"/>
        <v>25</v>
      </c>
      <c r="H412" s="7">
        <f t="shared" si="76"/>
        <v>-0.87827606560458604</v>
      </c>
      <c r="I412" s="9">
        <f t="shared" si="77"/>
        <v>-8.821556421402206E-3</v>
      </c>
      <c r="J412" s="9">
        <f t="shared" si="78"/>
        <v>86295.364285714299</v>
      </c>
      <c r="K412" s="9">
        <f t="shared" si="69"/>
        <v>85854.341333333345</v>
      </c>
      <c r="L412" s="9">
        <f t="shared" ref="L412:L475" si="80">AVERAGE(C323:C412)</f>
        <v>85611.543999999994</v>
      </c>
      <c r="M412" s="9">
        <f t="shared" si="79"/>
        <v>4.8804465915609774E-3</v>
      </c>
      <c r="N412" s="9">
        <f t="shared" si="70"/>
        <v>6.8020271202707105E-3</v>
      </c>
    </row>
    <row r="413" spans="1:14" x14ac:dyDescent="0.35">
      <c r="A413" s="1">
        <v>42975</v>
      </c>
      <c r="B413" s="2" t="s">
        <v>413</v>
      </c>
      <c r="C413">
        <f t="shared" si="71"/>
        <v>85336.85</v>
      </c>
      <c r="D413">
        <f t="shared" si="72"/>
        <v>2017</v>
      </c>
      <c r="E413">
        <f t="shared" si="73"/>
        <v>8</v>
      </c>
      <c r="F413" t="str">
        <f t="shared" si="75"/>
        <v>August</v>
      </c>
      <c r="G413">
        <f t="shared" si="74"/>
        <v>28</v>
      </c>
      <c r="H413" s="7">
        <f t="shared" si="76"/>
        <v>-6.5544152306951764E-2</v>
      </c>
      <c r="I413" s="9">
        <f t="shared" si="77"/>
        <v>-6.5565641877076732E-4</v>
      </c>
      <c r="J413" s="9">
        <f t="shared" si="78"/>
        <v>86028.98714285715</v>
      </c>
      <c r="K413" s="9">
        <f t="shared" si="69"/>
        <v>85856.40866666667</v>
      </c>
      <c r="L413" s="9">
        <f t="shared" si="80"/>
        <v>85570.157111111097</v>
      </c>
      <c r="M413" s="9">
        <f t="shared" si="79"/>
        <v>4.6369246301569732E-3</v>
      </c>
      <c r="N413" s="9">
        <f t="shared" si="70"/>
        <v>6.7819054899030942E-3</v>
      </c>
    </row>
    <row r="414" spans="1:14" x14ac:dyDescent="0.35">
      <c r="A414" s="1">
        <v>42976</v>
      </c>
      <c r="B414" s="2" t="s">
        <v>414</v>
      </c>
      <c r="C414">
        <f t="shared" si="71"/>
        <v>85491.22</v>
      </c>
      <c r="D414">
        <f t="shared" si="72"/>
        <v>2017</v>
      </c>
      <c r="E414">
        <f t="shared" si="73"/>
        <v>8</v>
      </c>
      <c r="F414" t="str">
        <f t="shared" si="75"/>
        <v>August</v>
      </c>
      <c r="G414">
        <f t="shared" si="74"/>
        <v>29</v>
      </c>
      <c r="H414" s="7">
        <f t="shared" si="76"/>
        <v>0.18089488890203392</v>
      </c>
      <c r="I414" s="9">
        <f t="shared" si="77"/>
        <v>1.8073147114444107E-3</v>
      </c>
      <c r="J414" s="9">
        <f t="shared" si="78"/>
        <v>85873.111428571428</v>
      </c>
      <c r="K414" s="9">
        <f t="shared" si="69"/>
        <v>85888.557666666675</v>
      </c>
      <c r="L414" s="9">
        <f t="shared" si="80"/>
        <v>85537.842111111095</v>
      </c>
      <c r="M414" s="9">
        <f t="shared" si="79"/>
        <v>4.5692467172826151E-3</v>
      </c>
      <c r="N414" s="9">
        <f t="shared" si="70"/>
        <v>6.5789307156656701E-3</v>
      </c>
    </row>
    <row r="415" spans="1:14" x14ac:dyDescent="0.35">
      <c r="A415" s="1">
        <v>42977</v>
      </c>
      <c r="B415" s="2" t="s">
        <v>415</v>
      </c>
      <c r="C415">
        <f t="shared" si="71"/>
        <v>86308.92</v>
      </c>
      <c r="D415">
        <f t="shared" si="72"/>
        <v>2017</v>
      </c>
      <c r="E415">
        <f t="shared" si="73"/>
        <v>8</v>
      </c>
      <c r="F415" t="str">
        <f t="shared" si="75"/>
        <v>August</v>
      </c>
      <c r="G415">
        <f t="shared" si="74"/>
        <v>30</v>
      </c>
      <c r="H415" s="7">
        <f t="shared" si="76"/>
        <v>0.9564724892216967</v>
      </c>
      <c r="I415" s="9">
        <f t="shared" si="77"/>
        <v>9.5192725076168137E-3</v>
      </c>
      <c r="J415" s="9">
        <f t="shared" si="78"/>
        <v>85861.098571428578</v>
      </c>
      <c r="K415" s="9">
        <f t="shared" si="69"/>
        <v>85951.35500000001</v>
      </c>
      <c r="L415" s="9">
        <f t="shared" si="80"/>
        <v>85511.084222222213</v>
      </c>
      <c r="M415" s="9">
        <f t="shared" si="79"/>
        <v>6.2441141499268941E-3</v>
      </c>
      <c r="N415" s="9">
        <f t="shared" si="70"/>
        <v>6.7782838556093589E-3</v>
      </c>
    </row>
    <row r="416" spans="1:14" x14ac:dyDescent="0.35">
      <c r="A416" s="1">
        <v>42978</v>
      </c>
      <c r="B416" s="2" t="s">
        <v>416</v>
      </c>
      <c r="C416">
        <f t="shared" si="71"/>
        <v>86332.42</v>
      </c>
      <c r="D416">
        <f t="shared" si="72"/>
        <v>2017</v>
      </c>
      <c r="E416">
        <f t="shared" si="73"/>
        <v>8</v>
      </c>
      <c r="F416" t="str">
        <f t="shared" si="75"/>
        <v>August</v>
      </c>
      <c r="G416">
        <f t="shared" si="74"/>
        <v>31</v>
      </c>
      <c r="H416" s="7">
        <f t="shared" si="76"/>
        <v>2.7227776688666709E-2</v>
      </c>
      <c r="I416" s="9">
        <f t="shared" si="77"/>
        <v>2.7224070602256261E-4</v>
      </c>
      <c r="J416" s="9">
        <f t="shared" si="78"/>
        <v>85915.76285714285</v>
      </c>
      <c r="K416" s="9">
        <f t="shared" ref="K416:K479" si="81">AVERAGE(C387:C416)</f>
        <v>86033.344333333342</v>
      </c>
      <c r="L416" s="9">
        <f t="shared" si="80"/>
        <v>85494.317111111086</v>
      </c>
      <c r="M416" s="9">
        <f t="shared" si="79"/>
        <v>5.8433241688994842E-3</v>
      </c>
      <c r="N416" s="9">
        <f t="shared" si="70"/>
        <v>6.637919407098394E-3</v>
      </c>
    </row>
    <row r="417" spans="1:14" x14ac:dyDescent="0.35">
      <c r="A417" s="1">
        <v>42979</v>
      </c>
      <c r="B417" s="2" t="s">
        <v>417</v>
      </c>
      <c r="C417">
        <f t="shared" si="71"/>
        <v>86461.05</v>
      </c>
      <c r="D417">
        <f t="shared" si="72"/>
        <v>2017</v>
      </c>
      <c r="E417">
        <f t="shared" si="73"/>
        <v>9</v>
      </c>
      <c r="F417" t="str">
        <f t="shared" si="75"/>
        <v>September</v>
      </c>
      <c r="G417">
        <f t="shared" si="74"/>
        <v>1</v>
      </c>
      <c r="H417" s="7">
        <f t="shared" si="76"/>
        <v>0.14899385422070255</v>
      </c>
      <c r="I417" s="9">
        <f t="shared" si="77"/>
        <v>1.4888296850600481E-3</v>
      </c>
      <c r="J417" s="9">
        <f t="shared" si="78"/>
        <v>85924.67571428571</v>
      </c>
      <c r="K417" s="9">
        <f t="shared" si="81"/>
        <v>86120.902333333332</v>
      </c>
      <c r="L417" s="9">
        <f t="shared" si="80"/>
        <v>85477.860111111091</v>
      </c>
      <c r="M417" s="9">
        <f t="shared" si="79"/>
        <v>5.5180447411420624E-3</v>
      </c>
      <c r="N417" s="9">
        <f t="shared" ref="N417:N480" si="82">STDEV(I388:I417)</f>
        <v>6.6330556442300041E-3</v>
      </c>
    </row>
    <row r="418" spans="1:14" x14ac:dyDescent="0.35">
      <c r="A418" s="1">
        <v>42982</v>
      </c>
      <c r="B418" s="2" t="s">
        <v>418</v>
      </c>
      <c r="C418">
        <f t="shared" si="71"/>
        <v>87115.22</v>
      </c>
      <c r="D418">
        <f t="shared" si="72"/>
        <v>2017</v>
      </c>
      <c r="E418">
        <f t="shared" si="73"/>
        <v>9</v>
      </c>
      <c r="F418" t="str">
        <f t="shared" si="75"/>
        <v>September</v>
      </c>
      <c r="G418">
        <f t="shared" si="74"/>
        <v>4</v>
      </c>
      <c r="H418" s="7">
        <f t="shared" si="76"/>
        <v>0.75660658759059518</v>
      </c>
      <c r="I418" s="9">
        <f t="shared" si="77"/>
        <v>7.5375867591938144E-3</v>
      </c>
      <c r="J418" s="9">
        <f t="shared" si="78"/>
        <v>86062.642857142855</v>
      </c>
      <c r="K418" s="9">
        <f t="shared" si="81"/>
        <v>86231.306000000011</v>
      </c>
      <c r="L418" s="9">
        <f t="shared" si="80"/>
        <v>85472.887666666647</v>
      </c>
      <c r="M418" s="9">
        <f t="shared" si="79"/>
        <v>5.9649606711568255E-3</v>
      </c>
      <c r="N418" s="9">
        <f t="shared" si="82"/>
        <v>6.7319305925346937E-3</v>
      </c>
    </row>
    <row r="419" spans="1:14" x14ac:dyDescent="0.35">
      <c r="A419" s="1">
        <v>42983</v>
      </c>
      <c r="B419" s="2" t="s">
        <v>419</v>
      </c>
      <c r="C419">
        <f t="shared" si="71"/>
        <v>86619.39</v>
      </c>
      <c r="D419">
        <f t="shared" si="72"/>
        <v>2017</v>
      </c>
      <c r="E419">
        <f t="shared" si="73"/>
        <v>9</v>
      </c>
      <c r="F419" t="str">
        <f t="shared" si="75"/>
        <v>September</v>
      </c>
      <c r="G419">
        <f t="shared" si="74"/>
        <v>5</v>
      </c>
      <c r="H419" s="7">
        <f t="shared" si="76"/>
        <v>-0.56916575542138526</v>
      </c>
      <c r="I419" s="9">
        <f t="shared" si="77"/>
        <v>-5.7079167609802688E-3</v>
      </c>
      <c r="J419" s="9">
        <f t="shared" si="78"/>
        <v>86237.86714285714</v>
      </c>
      <c r="K419" s="9">
        <f t="shared" si="81"/>
        <v>86311.894000000015</v>
      </c>
      <c r="L419" s="9">
        <f t="shared" si="80"/>
        <v>85460.15466666664</v>
      </c>
      <c r="M419" s="9">
        <f t="shared" si="79"/>
        <v>5.1144014177294042E-3</v>
      </c>
      <c r="N419" s="9">
        <f t="shared" si="82"/>
        <v>6.8170119097637465E-3</v>
      </c>
    </row>
    <row r="420" spans="1:14" x14ac:dyDescent="0.35">
      <c r="A420" s="1">
        <v>42984</v>
      </c>
      <c r="B420" s="2" t="s">
        <v>420</v>
      </c>
      <c r="C420">
        <f t="shared" si="71"/>
        <v>86548.42</v>
      </c>
      <c r="D420">
        <f t="shared" si="72"/>
        <v>2017</v>
      </c>
      <c r="E420">
        <f t="shared" si="73"/>
        <v>9</v>
      </c>
      <c r="F420" t="str">
        <f t="shared" si="75"/>
        <v>September</v>
      </c>
      <c r="G420">
        <f t="shared" si="74"/>
        <v>6</v>
      </c>
      <c r="H420" s="7">
        <f t="shared" si="76"/>
        <v>-8.1933156075101848E-2</v>
      </c>
      <c r="I420" s="9">
        <f t="shared" si="77"/>
        <v>-8.1966739630717853E-4</v>
      </c>
      <c r="J420" s="9">
        <f t="shared" si="78"/>
        <v>86410.948571428569</v>
      </c>
      <c r="K420" s="9">
        <f t="shared" si="81"/>
        <v>86371.123666666681</v>
      </c>
      <c r="L420" s="9">
        <f t="shared" si="80"/>
        <v>85449.864999999976</v>
      </c>
      <c r="M420" s="9">
        <f t="shared" si="79"/>
        <v>5.1291494351109659E-3</v>
      </c>
      <c r="N420" s="9">
        <f t="shared" si="82"/>
        <v>6.7344579099293716E-3</v>
      </c>
    </row>
    <row r="421" spans="1:14" x14ac:dyDescent="0.35">
      <c r="A421" s="1">
        <v>42985</v>
      </c>
      <c r="B421" s="2" t="s">
        <v>421</v>
      </c>
      <c r="C421">
        <f t="shared" si="71"/>
        <v>87579.71</v>
      </c>
      <c r="D421">
        <f t="shared" si="72"/>
        <v>2017</v>
      </c>
      <c r="E421">
        <f t="shared" si="73"/>
        <v>9</v>
      </c>
      <c r="F421" t="str">
        <f t="shared" si="75"/>
        <v>September</v>
      </c>
      <c r="G421">
        <f t="shared" si="74"/>
        <v>7</v>
      </c>
      <c r="H421" s="7">
        <f t="shared" si="76"/>
        <v>1.1915757676454499</v>
      </c>
      <c r="I421" s="9">
        <f t="shared" si="77"/>
        <v>1.1845323997636605E-2</v>
      </c>
      <c r="J421" s="9">
        <f t="shared" si="78"/>
        <v>86709.304285714286</v>
      </c>
      <c r="K421" s="9">
        <f t="shared" si="81"/>
        <v>86452.963333333348</v>
      </c>
      <c r="L421" s="9">
        <f t="shared" si="80"/>
        <v>85454.181555555537</v>
      </c>
      <c r="M421" s="9">
        <f t="shared" si="79"/>
        <v>6.3254474437798329E-3</v>
      </c>
      <c r="N421" s="9">
        <f t="shared" si="82"/>
        <v>7.0115012973366118E-3</v>
      </c>
    </row>
    <row r="422" spans="1:14" x14ac:dyDescent="0.35">
      <c r="A422" s="1">
        <v>42986</v>
      </c>
      <c r="B422" s="2" t="s">
        <v>422</v>
      </c>
      <c r="C422">
        <f t="shared" si="71"/>
        <v>87327.21</v>
      </c>
      <c r="D422">
        <f t="shared" si="72"/>
        <v>2017</v>
      </c>
      <c r="E422">
        <f t="shared" si="73"/>
        <v>9</v>
      </c>
      <c r="F422" t="str">
        <f t="shared" si="75"/>
        <v>September</v>
      </c>
      <c r="G422">
        <f t="shared" si="74"/>
        <v>8</v>
      </c>
      <c r="H422" s="7">
        <f t="shared" si="76"/>
        <v>-0.28830878750340688</v>
      </c>
      <c r="I422" s="9">
        <f t="shared" si="77"/>
        <v>-2.8872519784583178E-3</v>
      </c>
      <c r="J422" s="9">
        <f t="shared" si="78"/>
        <v>86854.774285714288</v>
      </c>
      <c r="K422" s="9">
        <f t="shared" si="81"/>
        <v>86497.263000000006</v>
      </c>
      <c r="L422" s="9">
        <f t="shared" si="80"/>
        <v>85462.142777777757</v>
      </c>
      <c r="M422" s="9">
        <f t="shared" si="79"/>
        <v>6.0738890990759816E-3</v>
      </c>
      <c r="N422" s="9">
        <f t="shared" si="82"/>
        <v>6.8199664561374709E-3</v>
      </c>
    </row>
    <row r="423" spans="1:14" x14ac:dyDescent="0.35">
      <c r="A423" s="1">
        <v>42989</v>
      </c>
      <c r="B423" s="2" t="s">
        <v>423</v>
      </c>
      <c r="C423">
        <f t="shared" si="71"/>
        <v>85960.320000000007</v>
      </c>
      <c r="D423">
        <f t="shared" si="72"/>
        <v>2017</v>
      </c>
      <c r="E423">
        <f t="shared" si="73"/>
        <v>9</v>
      </c>
      <c r="F423" t="str">
        <f t="shared" si="75"/>
        <v>September</v>
      </c>
      <c r="G423">
        <f t="shared" si="74"/>
        <v>11</v>
      </c>
      <c r="H423" s="7">
        <f t="shared" si="76"/>
        <v>-1.565250968169027</v>
      </c>
      <c r="I423" s="9">
        <f t="shared" si="77"/>
        <v>-1.5776303701949924E-2</v>
      </c>
      <c r="J423" s="9">
        <f t="shared" si="78"/>
        <v>86801.617142857154</v>
      </c>
      <c r="K423" s="9">
        <f t="shared" si="81"/>
        <v>86518.281999999992</v>
      </c>
      <c r="L423" s="9">
        <f t="shared" si="80"/>
        <v>85456.672666666651</v>
      </c>
      <c r="M423" s="9">
        <f t="shared" si="79"/>
        <v>9.0107192053814674E-3</v>
      </c>
      <c r="N423" s="9">
        <f t="shared" si="82"/>
        <v>7.2940145261572555E-3</v>
      </c>
    </row>
    <row r="424" spans="1:14" x14ac:dyDescent="0.35">
      <c r="A424" s="1">
        <v>42990</v>
      </c>
      <c r="B424" s="2" t="s">
        <v>424</v>
      </c>
      <c r="C424">
        <f t="shared" si="71"/>
        <v>84777.53</v>
      </c>
      <c r="D424">
        <f t="shared" si="72"/>
        <v>2017</v>
      </c>
      <c r="E424">
        <f t="shared" si="73"/>
        <v>9</v>
      </c>
      <c r="F424" t="str">
        <f t="shared" si="75"/>
        <v>September</v>
      </c>
      <c r="G424">
        <f t="shared" si="74"/>
        <v>12</v>
      </c>
      <c r="H424" s="7">
        <f t="shared" si="76"/>
        <v>-1.3759720764185241</v>
      </c>
      <c r="I424" s="9">
        <f t="shared" si="77"/>
        <v>-1.3855263158773796E-2</v>
      </c>
      <c r="J424" s="9">
        <f t="shared" si="78"/>
        <v>86561.114285714299</v>
      </c>
      <c r="K424" s="9">
        <f t="shared" si="81"/>
        <v>86456.104333333307</v>
      </c>
      <c r="L424" s="9">
        <f t="shared" si="80"/>
        <v>85448.754777777765</v>
      </c>
      <c r="M424" s="9">
        <f t="shared" si="79"/>
        <v>1.0200810837031912E-2</v>
      </c>
      <c r="N424" s="9">
        <f t="shared" si="82"/>
        <v>7.1622711325699208E-3</v>
      </c>
    </row>
    <row r="425" spans="1:14" x14ac:dyDescent="0.35">
      <c r="A425" s="1">
        <v>42991</v>
      </c>
      <c r="B425" s="2" t="s">
        <v>425</v>
      </c>
      <c r="C425">
        <f t="shared" si="71"/>
        <v>83829.990000000005</v>
      </c>
      <c r="D425">
        <f t="shared" si="72"/>
        <v>2017</v>
      </c>
      <c r="E425">
        <f t="shared" si="73"/>
        <v>9</v>
      </c>
      <c r="F425" t="str">
        <f t="shared" si="75"/>
        <v>September</v>
      </c>
      <c r="G425">
        <f t="shared" si="74"/>
        <v>13</v>
      </c>
      <c r="H425" s="7">
        <f t="shared" si="76"/>
        <v>-1.1176782338433233</v>
      </c>
      <c r="I425" s="9">
        <f t="shared" si="77"/>
        <v>-1.1239711909588343E-2</v>
      </c>
      <c r="J425" s="9">
        <f t="shared" si="78"/>
        <v>86091.795714285719</v>
      </c>
      <c r="K425" s="9">
        <f t="shared" si="81"/>
        <v>86376.317333333325</v>
      </c>
      <c r="L425" s="9">
        <f t="shared" si="80"/>
        <v>85425.12522222221</v>
      </c>
      <c r="M425" s="9">
        <f t="shared" si="79"/>
        <v>9.4691788774884534E-3</v>
      </c>
      <c r="N425" s="9">
        <f t="shared" si="82"/>
        <v>7.380816003661899E-3</v>
      </c>
    </row>
    <row r="426" spans="1:14" x14ac:dyDescent="0.35">
      <c r="A426" s="1">
        <v>42992</v>
      </c>
      <c r="B426" s="2" t="s">
        <v>426</v>
      </c>
      <c r="C426">
        <f t="shared" si="71"/>
        <v>83760.08</v>
      </c>
      <c r="D426">
        <f t="shared" si="72"/>
        <v>2017</v>
      </c>
      <c r="E426">
        <f t="shared" si="73"/>
        <v>9</v>
      </c>
      <c r="F426" t="str">
        <f t="shared" si="75"/>
        <v>September</v>
      </c>
      <c r="G426">
        <f t="shared" si="74"/>
        <v>14</v>
      </c>
      <c r="H426" s="7">
        <f t="shared" si="76"/>
        <v>-8.3394975950734918E-2</v>
      </c>
      <c r="I426" s="9">
        <f t="shared" si="77"/>
        <v>-8.3429768905866376E-4</v>
      </c>
      <c r="J426" s="9">
        <f t="shared" si="78"/>
        <v>85683.322857142863</v>
      </c>
      <c r="K426" s="9">
        <f t="shared" si="81"/>
        <v>86295.034333333329</v>
      </c>
      <c r="L426" s="9">
        <f t="shared" si="80"/>
        <v>85403.731777777764</v>
      </c>
      <c r="M426" s="9">
        <f t="shared" si="79"/>
        <v>9.6284476750784324E-3</v>
      </c>
      <c r="N426" s="9">
        <f t="shared" si="82"/>
        <v>7.3798370366152492E-3</v>
      </c>
    </row>
    <row r="427" spans="1:14" x14ac:dyDescent="0.35">
      <c r="A427" s="1">
        <v>42993</v>
      </c>
      <c r="B427" s="2" t="s">
        <v>427</v>
      </c>
      <c r="C427">
        <f t="shared" si="71"/>
        <v>82718.58</v>
      </c>
      <c r="D427">
        <f t="shared" si="72"/>
        <v>2017</v>
      </c>
      <c r="E427">
        <f t="shared" si="73"/>
        <v>9</v>
      </c>
      <c r="F427" t="str">
        <f t="shared" si="75"/>
        <v>September</v>
      </c>
      <c r="G427">
        <f t="shared" si="74"/>
        <v>15</v>
      </c>
      <c r="H427" s="7">
        <f t="shared" si="76"/>
        <v>-1.2434324322517363</v>
      </c>
      <c r="I427" s="9">
        <f t="shared" si="77"/>
        <v>-1.2512277403181287E-2</v>
      </c>
      <c r="J427" s="9">
        <f t="shared" si="78"/>
        <v>85136.202857142867</v>
      </c>
      <c r="K427" s="9">
        <f t="shared" si="81"/>
        <v>86206.159666666674</v>
      </c>
      <c r="L427" s="9">
        <f t="shared" si="80"/>
        <v>85374.885666666654</v>
      </c>
      <c r="M427" s="9">
        <f t="shared" si="79"/>
        <v>9.8357922494699997E-3</v>
      </c>
      <c r="N427" s="9">
        <f t="shared" si="82"/>
        <v>7.5198320097214335E-3</v>
      </c>
    </row>
    <row r="428" spans="1:14" x14ac:dyDescent="0.35">
      <c r="A428" s="1">
        <v>42996</v>
      </c>
      <c r="B428" s="2" t="s">
        <v>428</v>
      </c>
      <c r="C428">
        <f t="shared" si="71"/>
        <v>83032.710000000006</v>
      </c>
      <c r="D428">
        <f t="shared" si="72"/>
        <v>2017</v>
      </c>
      <c r="E428">
        <f t="shared" si="73"/>
        <v>9</v>
      </c>
      <c r="F428" t="str">
        <f t="shared" si="75"/>
        <v>September</v>
      </c>
      <c r="G428">
        <f t="shared" si="74"/>
        <v>18</v>
      </c>
      <c r="H428" s="7">
        <f t="shared" si="76"/>
        <v>0.37975748616574978</v>
      </c>
      <c r="I428" s="9">
        <f t="shared" si="77"/>
        <v>3.7903822780745167E-3</v>
      </c>
      <c r="J428" s="9">
        <f t="shared" si="78"/>
        <v>84486.631428571432</v>
      </c>
      <c r="K428" s="9">
        <f t="shared" si="81"/>
        <v>86081.948666666663</v>
      </c>
      <c r="L428" s="9">
        <f t="shared" si="80"/>
        <v>85359.162999999986</v>
      </c>
      <c r="M428" s="9">
        <f t="shared" si="79"/>
        <v>7.5396936430294761E-3</v>
      </c>
      <c r="N428" s="9">
        <f t="shared" si="82"/>
        <v>6.8698238960500204E-3</v>
      </c>
    </row>
    <row r="429" spans="1:14" x14ac:dyDescent="0.35">
      <c r="A429" s="1">
        <v>42997</v>
      </c>
      <c r="B429" s="2" t="s">
        <v>429</v>
      </c>
      <c r="C429">
        <f t="shared" si="71"/>
        <v>82007.34</v>
      </c>
      <c r="D429">
        <f t="shared" si="72"/>
        <v>2017</v>
      </c>
      <c r="E429">
        <f t="shared" si="73"/>
        <v>9</v>
      </c>
      <c r="F429" t="str">
        <f t="shared" si="75"/>
        <v>September</v>
      </c>
      <c r="G429">
        <f t="shared" si="74"/>
        <v>19</v>
      </c>
      <c r="H429" s="7">
        <f t="shared" si="76"/>
        <v>-1.2348988729863326</v>
      </c>
      <c r="I429" s="9">
        <f t="shared" si="77"/>
        <v>-1.2425871093158698E-2</v>
      </c>
      <c r="J429" s="9">
        <f t="shared" si="78"/>
        <v>83726.650000000009</v>
      </c>
      <c r="K429" s="9">
        <f t="shared" si="81"/>
        <v>85905.494333333336</v>
      </c>
      <c r="L429" s="9">
        <f t="shared" si="80"/>
        <v>85334.937222222201</v>
      </c>
      <c r="M429" s="9">
        <f t="shared" si="79"/>
        <v>7.4032691806804425E-3</v>
      </c>
      <c r="N429" s="9">
        <f t="shared" si="82"/>
        <v>6.9928018972179084E-3</v>
      </c>
    </row>
    <row r="430" spans="1:14" x14ac:dyDescent="0.35">
      <c r="A430" s="1">
        <v>42998</v>
      </c>
      <c r="B430" s="2" t="s">
        <v>430</v>
      </c>
      <c r="C430">
        <f t="shared" si="71"/>
        <v>81978.59</v>
      </c>
      <c r="D430">
        <f t="shared" si="72"/>
        <v>2017</v>
      </c>
      <c r="E430">
        <f t="shared" si="73"/>
        <v>9</v>
      </c>
      <c r="F430" t="str">
        <f t="shared" si="75"/>
        <v>September</v>
      </c>
      <c r="G430">
        <f t="shared" si="74"/>
        <v>20</v>
      </c>
      <c r="H430" s="7">
        <f t="shared" si="76"/>
        <v>-3.505783750576473E-2</v>
      </c>
      <c r="I430" s="9">
        <f t="shared" si="77"/>
        <v>-3.5063984202263871E-4</v>
      </c>
      <c r="J430" s="9">
        <f t="shared" si="78"/>
        <v>83157.831428571444</v>
      </c>
      <c r="K430" s="9">
        <f t="shared" si="81"/>
        <v>85716.658999999985</v>
      </c>
      <c r="L430" s="9">
        <f t="shared" si="80"/>
        <v>85309.243888888872</v>
      </c>
      <c r="M430" s="9">
        <f t="shared" si="79"/>
        <v>7.3383027555081418E-3</v>
      </c>
      <c r="N430" s="9">
        <f t="shared" si="82"/>
        <v>6.9093838217412261E-3</v>
      </c>
    </row>
    <row r="431" spans="1:14" x14ac:dyDescent="0.35">
      <c r="A431" s="1">
        <v>42999</v>
      </c>
      <c r="B431" s="2" t="s">
        <v>431</v>
      </c>
      <c r="C431">
        <f t="shared" si="71"/>
        <v>81668.39</v>
      </c>
      <c r="D431">
        <f t="shared" si="72"/>
        <v>2017</v>
      </c>
      <c r="E431">
        <f t="shared" si="73"/>
        <v>9</v>
      </c>
      <c r="F431" t="str">
        <f t="shared" si="75"/>
        <v>September</v>
      </c>
      <c r="G431">
        <f t="shared" si="74"/>
        <v>21</v>
      </c>
      <c r="H431" s="7">
        <f t="shared" si="76"/>
        <v>-0.37839148001935274</v>
      </c>
      <c r="I431" s="9">
        <f t="shared" si="77"/>
        <v>-3.791091916586318E-3</v>
      </c>
      <c r="J431" s="9">
        <f t="shared" si="78"/>
        <v>82713.668571428585</v>
      </c>
      <c r="K431" s="9">
        <f t="shared" si="81"/>
        <v>85538.411666666652</v>
      </c>
      <c r="L431" s="9">
        <f t="shared" si="80"/>
        <v>85283.958555555539</v>
      </c>
      <c r="M431" s="9">
        <f t="shared" si="79"/>
        <v>6.6760237535965069E-3</v>
      </c>
      <c r="N431" s="9">
        <f t="shared" si="82"/>
        <v>6.852855279316351E-3</v>
      </c>
    </row>
    <row r="432" spans="1:14" x14ac:dyDescent="0.35">
      <c r="A432" s="1">
        <v>43000</v>
      </c>
      <c r="B432" s="2" t="s">
        <v>432</v>
      </c>
      <c r="C432">
        <f t="shared" si="71"/>
        <v>80827.789999999994</v>
      </c>
      <c r="D432">
        <f t="shared" si="72"/>
        <v>2017</v>
      </c>
      <c r="E432">
        <f t="shared" si="73"/>
        <v>9</v>
      </c>
      <c r="F432" t="str">
        <f t="shared" si="75"/>
        <v>September</v>
      </c>
      <c r="G432">
        <f t="shared" si="74"/>
        <v>22</v>
      </c>
      <c r="H432" s="7">
        <f t="shared" si="76"/>
        <v>-1.0292844024475147</v>
      </c>
      <c r="I432" s="9">
        <f t="shared" si="77"/>
        <v>-1.0346181656480104E-2</v>
      </c>
      <c r="J432" s="9">
        <f t="shared" si="78"/>
        <v>82284.782857142854</v>
      </c>
      <c r="K432" s="9">
        <f t="shared" si="81"/>
        <v>85334.763333333321</v>
      </c>
      <c r="L432" s="9">
        <f t="shared" si="80"/>
        <v>85241.437999999995</v>
      </c>
      <c r="M432" s="9">
        <f t="shared" si="79"/>
        <v>6.5517522601966846E-3</v>
      </c>
      <c r="N432" s="9">
        <f t="shared" si="82"/>
        <v>7.0103772144730755E-3</v>
      </c>
    </row>
    <row r="433" spans="1:14" x14ac:dyDescent="0.35">
      <c r="A433" s="1">
        <v>43004</v>
      </c>
      <c r="B433" s="2" t="s">
        <v>433</v>
      </c>
      <c r="C433">
        <f t="shared" si="71"/>
        <v>81641.899999999994</v>
      </c>
      <c r="D433">
        <f t="shared" si="72"/>
        <v>2017</v>
      </c>
      <c r="E433">
        <f t="shared" si="73"/>
        <v>9</v>
      </c>
      <c r="F433" t="str">
        <f t="shared" si="75"/>
        <v>September</v>
      </c>
      <c r="G433">
        <f t="shared" si="74"/>
        <v>26</v>
      </c>
      <c r="H433" s="7">
        <f t="shared" si="76"/>
        <v>1.0072154638893389</v>
      </c>
      <c r="I433" s="9">
        <f t="shared" si="77"/>
        <v>1.0021768537963962E-2</v>
      </c>
      <c r="J433" s="9">
        <f t="shared" si="78"/>
        <v>81982.185714285704</v>
      </c>
      <c r="K433" s="9">
        <f t="shared" si="81"/>
        <v>85174.020333333334</v>
      </c>
      <c r="L433" s="9">
        <f t="shared" si="80"/>
        <v>85205.838666666648</v>
      </c>
      <c r="M433" s="9">
        <f t="shared" si="79"/>
        <v>8.6945995427571369E-3</v>
      </c>
      <c r="N433" s="9">
        <f t="shared" si="82"/>
        <v>7.3416251000408576E-3</v>
      </c>
    </row>
    <row r="434" spans="1:14" x14ac:dyDescent="0.35">
      <c r="A434" s="1">
        <v>43005</v>
      </c>
      <c r="B434" s="2" t="s">
        <v>434</v>
      </c>
      <c r="C434">
        <f t="shared" si="71"/>
        <v>81441.63</v>
      </c>
      <c r="D434">
        <f t="shared" si="72"/>
        <v>2017</v>
      </c>
      <c r="E434">
        <f t="shared" si="73"/>
        <v>9</v>
      </c>
      <c r="F434" t="str">
        <f t="shared" si="75"/>
        <v>September</v>
      </c>
      <c r="G434">
        <f t="shared" si="74"/>
        <v>27</v>
      </c>
      <c r="H434" s="7">
        <f t="shared" si="76"/>
        <v>-0.24530296330681861</v>
      </c>
      <c r="I434" s="9">
        <f t="shared" si="77"/>
        <v>-2.4560432395779792E-3</v>
      </c>
      <c r="J434" s="9">
        <f t="shared" si="78"/>
        <v>81799.764285714278</v>
      </c>
      <c r="K434" s="9">
        <f t="shared" si="81"/>
        <v>84996.978666666662</v>
      </c>
      <c r="L434" s="9">
        <f t="shared" si="80"/>
        <v>85169.265999999989</v>
      </c>
      <c r="M434" s="9">
        <f t="shared" si="79"/>
        <v>7.7695852970882341E-3</v>
      </c>
      <c r="N434" s="9">
        <f t="shared" si="82"/>
        <v>7.2747542981549231E-3</v>
      </c>
    </row>
    <row r="435" spans="1:14" x14ac:dyDescent="0.35">
      <c r="A435" s="1">
        <v>43006</v>
      </c>
      <c r="B435" s="2" t="s">
        <v>435</v>
      </c>
      <c r="C435">
        <f t="shared" si="71"/>
        <v>81364.89</v>
      </c>
      <c r="D435">
        <f t="shared" si="72"/>
        <v>2017</v>
      </c>
      <c r="E435">
        <f t="shared" si="73"/>
        <v>9</v>
      </c>
      <c r="F435" t="str">
        <f t="shared" si="75"/>
        <v>September</v>
      </c>
      <c r="G435">
        <f t="shared" si="74"/>
        <v>28</v>
      </c>
      <c r="H435" s="7">
        <f t="shared" si="76"/>
        <v>-9.4226994228879299E-2</v>
      </c>
      <c r="I435" s="9">
        <f t="shared" si="77"/>
        <v>-9.4271415767994287E-4</v>
      </c>
      <c r="J435" s="9">
        <f t="shared" si="78"/>
        <v>81561.504285714283</v>
      </c>
      <c r="K435" s="9">
        <f t="shared" si="81"/>
        <v>84806.590000000011</v>
      </c>
      <c r="L435" s="9">
        <f t="shared" si="80"/>
        <v>85132.204333333313</v>
      </c>
      <c r="M435" s="9">
        <f t="shared" si="79"/>
        <v>7.353925015759908E-3</v>
      </c>
      <c r="N435" s="9">
        <f t="shared" si="82"/>
        <v>7.1952541048057603E-3</v>
      </c>
    </row>
    <row r="436" spans="1:14" x14ac:dyDescent="0.35">
      <c r="A436" s="1">
        <v>43007</v>
      </c>
      <c r="B436" s="2" t="s">
        <v>436</v>
      </c>
      <c r="C436">
        <f t="shared" si="71"/>
        <v>82146.83</v>
      </c>
      <c r="D436">
        <f t="shared" si="72"/>
        <v>2017</v>
      </c>
      <c r="E436">
        <f t="shared" si="73"/>
        <v>9</v>
      </c>
      <c r="F436" t="str">
        <f t="shared" si="75"/>
        <v>September</v>
      </c>
      <c r="G436">
        <f t="shared" si="74"/>
        <v>29</v>
      </c>
      <c r="H436" s="7">
        <f t="shared" si="76"/>
        <v>0.96102876805954307</v>
      </c>
      <c r="I436" s="9">
        <f t="shared" si="77"/>
        <v>9.5644026108544656E-3</v>
      </c>
      <c r="J436" s="9">
        <f t="shared" si="78"/>
        <v>81581.431428571421</v>
      </c>
      <c r="K436" s="9">
        <f t="shared" si="81"/>
        <v>84638.101333333354</v>
      </c>
      <c r="L436" s="9">
        <f t="shared" si="80"/>
        <v>85115.405555555539</v>
      </c>
      <c r="M436" s="9">
        <f t="shared" si="79"/>
        <v>7.3025188224304571E-3</v>
      </c>
      <c r="N436" s="9">
        <f t="shared" si="82"/>
        <v>7.4864734656824765E-3</v>
      </c>
    </row>
    <row r="437" spans="1:14" x14ac:dyDescent="0.35">
      <c r="A437" s="1">
        <v>43010</v>
      </c>
      <c r="B437" s="2" t="s">
        <v>437</v>
      </c>
      <c r="C437">
        <f t="shared" si="71"/>
        <v>81915.38</v>
      </c>
      <c r="D437">
        <f t="shared" si="72"/>
        <v>2017</v>
      </c>
      <c r="E437">
        <f t="shared" si="73"/>
        <v>10</v>
      </c>
      <c r="F437" t="str">
        <f t="shared" si="75"/>
        <v>October</v>
      </c>
      <c r="G437">
        <f t="shared" si="74"/>
        <v>2</v>
      </c>
      <c r="H437" s="7">
        <f t="shared" si="76"/>
        <v>-0.28175159041438008</v>
      </c>
      <c r="I437" s="9">
        <f t="shared" si="77"/>
        <v>-2.821492573387859E-3</v>
      </c>
      <c r="J437" s="9">
        <f t="shared" si="78"/>
        <v>81572.401428571437</v>
      </c>
      <c r="K437" s="9">
        <f t="shared" si="81"/>
        <v>84482.535666666678</v>
      </c>
      <c r="L437" s="9">
        <f t="shared" si="80"/>
        <v>85097.628777777762</v>
      </c>
      <c r="M437" s="9">
        <f t="shared" si="79"/>
        <v>7.3951129769511403E-3</v>
      </c>
      <c r="N437" s="9">
        <f t="shared" si="82"/>
        <v>7.4256690785086781E-3</v>
      </c>
    </row>
    <row r="438" spans="1:14" x14ac:dyDescent="0.35">
      <c r="A438" s="1">
        <v>43011</v>
      </c>
      <c r="B438" s="2" t="s">
        <v>438</v>
      </c>
      <c r="C438">
        <f t="shared" si="71"/>
        <v>82156.759999999995</v>
      </c>
      <c r="D438">
        <f t="shared" si="72"/>
        <v>2017</v>
      </c>
      <c r="E438">
        <f t="shared" si="73"/>
        <v>10</v>
      </c>
      <c r="F438" t="str">
        <f t="shared" si="75"/>
        <v>October</v>
      </c>
      <c r="G438">
        <f t="shared" si="74"/>
        <v>3</v>
      </c>
      <c r="H438" s="7">
        <f t="shared" si="76"/>
        <v>0.29466993866107938</v>
      </c>
      <c r="I438" s="9">
        <f t="shared" si="77"/>
        <v>2.9423663779356256E-3</v>
      </c>
      <c r="J438" s="9">
        <f t="shared" si="78"/>
        <v>81642.168571428585</v>
      </c>
      <c r="K438" s="9">
        <f t="shared" si="81"/>
        <v>84341.327333333349</v>
      </c>
      <c r="L438" s="9">
        <f t="shared" si="80"/>
        <v>85097.993999999977</v>
      </c>
      <c r="M438" s="9">
        <f t="shared" si="79"/>
        <v>7.2734473080273542E-3</v>
      </c>
      <c r="N438" s="9">
        <f t="shared" si="82"/>
        <v>7.4764438324430886E-3</v>
      </c>
    </row>
    <row r="439" spans="1:14" x14ac:dyDescent="0.35">
      <c r="A439" s="1">
        <v>43012</v>
      </c>
      <c r="B439" s="2" t="s">
        <v>439</v>
      </c>
      <c r="C439">
        <f t="shared" si="71"/>
        <v>83483.360000000001</v>
      </c>
      <c r="D439">
        <f t="shared" si="72"/>
        <v>2017</v>
      </c>
      <c r="E439">
        <f t="shared" si="73"/>
        <v>10</v>
      </c>
      <c r="F439" t="str">
        <f t="shared" si="75"/>
        <v>October</v>
      </c>
      <c r="G439">
        <f t="shared" si="74"/>
        <v>4</v>
      </c>
      <c r="H439" s="7">
        <f t="shared" si="76"/>
        <v>1.6147180098144156</v>
      </c>
      <c r="I439" s="9">
        <f t="shared" si="77"/>
        <v>1.6018200966083102E-2</v>
      </c>
      <c r="J439" s="9">
        <f t="shared" si="78"/>
        <v>82021.53571428571</v>
      </c>
      <c r="K439" s="9">
        <f t="shared" si="81"/>
        <v>84259.113666666672</v>
      </c>
      <c r="L439" s="9">
        <f t="shared" si="80"/>
        <v>85113.96688888887</v>
      </c>
      <c r="M439" s="9">
        <f t="shared" si="79"/>
        <v>7.3342759551445896E-3</v>
      </c>
      <c r="N439" s="9">
        <f t="shared" si="82"/>
        <v>8.1094835567101075E-3</v>
      </c>
    </row>
    <row r="440" spans="1:14" x14ac:dyDescent="0.35">
      <c r="A440" s="1">
        <v>43013</v>
      </c>
      <c r="B440" s="2" t="s">
        <v>440</v>
      </c>
      <c r="C440">
        <f t="shared" si="71"/>
        <v>83749.86</v>
      </c>
      <c r="D440">
        <f t="shared" si="72"/>
        <v>2017</v>
      </c>
      <c r="E440">
        <f t="shared" si="73"/>
        <v>10</v>
      </c>
      <c r="F440" t="str">
        <f t="shared" si="75"/>
        <v>October</v>
      </c>
      <c r="G440">
        <f t="shared" si="74"/>
        <v>5</v>
      </c>
      <c r="H440" s="7">
        <f t="shared" si="76"/>
        <v>0.31922529232172736</v>
      </c>
      <c r="I440" s="9">
        <f t="shared" si="77"/>
        <v>3.1871685014876086E-3</v>
      </c>
      <c r="J440" s="9">
        <f t="shared" si="78"/>
        <v>82322.672857142868</v>
      </c>
      <c r="K440" s="9">
        <f t="shared" si="81"/>
        <v>84170.820333333322</v>
      </c>
      <c r="L440" s="9">
        <f t="shared" si="80"/>
        <v>85117.114444444436</v>
      </c>
      <c r="M440" s="9">
        <f t="shared" si="79"/>
        <v>6.9393087168175497E-3</v>
      </c>
      <c r="N440" s="9">
        <f t="shared" si="82"/>
        <v>8.0646316606442191E-3</v>
      </c>
    </row>
    <row r="441" spans="1:14" x14ac:dyDescent="0.35">
      <c r="A441" s="1">
        <v>43014</v>
      </c>
      <c r="B441" s="2" t="s">
        <v>441</v>
      </c>
      <c r="C441">
        <f t="shared" si="71"/>
        <v>84239.42</v>
      </c>
      <c r="D441">
        <f t="shared" si="72"/>
        <v>2017</v>
      </c>
      <c r="E441">
        <f t="shared" si="73"/>
        <v>10</v>
      </c>
      <c r="F441" t="str">
        <f t="shared" si="75"/>
        <v>October</v>
      </c>
      <c r="G441">
        <f t="shared" si="74"/>
        <v>6</v>
      </c>
      <c r="H441" s="7">
        <f t="shared" si="76"/>
        <v>0.58455023088993541</v>
      </c>
      <c r="I441" s="9">
        <f t="shared" si="77"/>
        <v>5.8284836498118013E-3</v>
      </c>
      <c r="J441" s="9">
        <f t="shared" si="78"/>
        <v>82722.357142857145</v>
      </c>
      <c r="K441" s="9">
        <f t="shared" si="81"/>
        <v>84107.152666666632</v>
      </c>
      <c r="L441" s="9">
        <f t="shared" si="80"/>
        <v>85123.126666666663</v>
      </c>
      <c r="M441" s="9">
        <f t="shared" si="79"/>
        <v>6.4124727520691715E-3</v>
      </c>
      <c r="N441" s="9">
        <f t="shared" si="82"/>
        <v>8.1522154532165676E-3</v>
      </c>
    </row>
    <row r="442" spans="1:14" x14ac:dyDescent="0.35">
      <c r="A442" s="1">
        <v>43017</v>
      </c>
      <c r="B442" s="2" t="s">
        <v>442</v>
      </c>
      <c r="C442">
        <f t="shared" si="71"/>
        <v>84018.65</v>
      </c>
      <c r="D442">
        <f t="shared" si="72"/>
        <v>2017</v>
      </c>
      <c r="E442">
        <f t="shared" si="73"/>
        <v>10</v>
      </c>
      <c r="F442" t="str">
        <f t="shared" si="75"/>
        <v>October</v>
      </c>
      <c r="G442">
        <f t="shared" si="74"/>
        <v>9</v>
      </c>
      <c r="H442" s="7">
        <f t="shared" si="76"/>
        <v>-0.26207445397891399</v>
      </c>
      <c r="I442" s="9">
        <f t="shared" si="77"/>
        <v>-2.6241847026003055E-3</v>
      </c>
      <c r="J442" s="9">
        <f t="shared" si="78"/>
        <v>83101.465714285718</v>
      </c>
      <c r="K442" s="9">
        <f t="shared" si="81"/>
        <v>84061.346999999994</v>
      </c>
      <c r="L442" s="9">
        <f t="shared" si="80"/>
        <v>85132.74988888888</v>
      </c>
      <c r="M442" s="9">
        <f t="shared" si="79"/>
        <v>6.690035384923459E-3</v>
      </c>
      <c r="N442" s="9">
        <f t="shared" si="82"/>
        <v>8.0179741587630173E-3</v>
      </c>
    </row>
    <row r="443" spans="1:14" x14ac:dyDescent="0.35">
      <c r="A443" s="1">
        <v>43018</v>
      </c>
      <c r="B443" s="2" t="s">
        <v>443</v>
      </c>
      <c r="C443">
        <f t="shared" si="71"/>
        <v>84553.54</v>
      </c>
      <c r="D443">
        <f t="shared" si="72"/>
        <v>2017</v>
      </c>
      <c r="E443">
        <f t="shared" si="73"/>
        <v>10</v>
      </c>
      <c r="F443" t="str">
        <f t="shared" si="75"/>
        <v>October</v>
      </c>
      <c r="G443">
        <f t="shared" si="74"/>
        <v>10</v>
      </c>
      <c r="H443" s="7">
        <f t="shared" si="76"/>
        <v>0.63663246195933809</v>
      </c>
      <c r="I443" s="9">
        <f t="shared" si="77"/>
        <v>6.3461451756556117E-3</v>
      </c>
      <c r="J443" s="9">
        <f t="shared" si="78"/>
        <v>83445.281428571427</v>
      </c>
      <c r="K443" s="9">
        <f t="shared" si="81"/>
        <v>84035.236666666649</v>
      </c>
      <c r="L443" s="9">
        <f t="shared" si="80"/>
        <v>85137.327666666664</v>
      </c>
      <c r="M443" s="9">
        <f t="shared" si="79"/>
        <v>6.3948804350952319E-3</v>
      </c>
      <c r="N443" s="9">
        <f t="shared" si="82"/>
        <v>8.1158246108217792E-3</v>
      </c>
    </row>
    <row r="444" spans="1:14" x14ac:dyDescent="0.35">
      <c r="A444" s="1">
        <v>43019</v>
      </c>
      <c r="B444" s="2" t="s">
        <v>444</v>
      </c>
      <c r="C444">
        <f t="shared" si="71"/>
        <v>84193.95</v>
      </c>
      <c r="D444">
        <f t="shared" si="72"/>
        <v>2017</v>
      </c>
      <c r="E444">
        <f t="shared" si="73"/>
        <v>10</v>
      </c>
      <c r="F444" t="str">
        <f t="shared" si="75"/>
        <v>October</v>
      </c>
      <c r="G444">
        <f t="shared" si="74"/>
        <v>11</v>
      </c>
      <c r="H444" s="7">
        <f t="shared" si="76"/>
        <v>-0.42528083389530058</v>
      </c>
      <c r="I444" s="9">
        <f t="shared" si="77"/>
        <v>-4.2618772496962757E-3</v>
      </c>
      <c r="J444" s="9">
        <f t="shared" si="78"/>
        <v>83770.791428571421</v>
      </c>
      <c r="K444" s="9">
        <f t="shared" si="81"/>
        <v>83991.994333333336</v>
      </c>
      <c r="L444" s="9">
        <f t="shared" si="80"/>
        <v>85131.199111111113</v>
      </c>
      <c r="M444" s="9">
        <f t="shared" si="79"/>
        <v>6.6727959304039956E-3</v>
      </c>
      <c r="N444" s="9">
        <f t="shared" si="82"/>
        <v>8.1369102276045557E-3</v>
      </c>
    </row>
    <row r="445" spans="1:14" x14ac:dyDescent="0.35">
      <c r="A445" s="1">
        <v>43020</v>
      </c>
      <c r="B445" s="2" t="s">
        <v>445</v>
      </c>
      <c r="C445">
        <f t="shared" si="71"/>
        <v>84351.57</v>
      </c>
      <c r="D445">
        <f t="shared" si="72"/>
        <v>2017</v>
      </c>
      <c r="E445">
        <f t="shared" si="73"/>
        <v>10</v>
      </c>
      <c r="F445" t="str">
        <f t="shared" si="75"/>
        <v>October</v>
      </c>
      <c r="G445">
        <f t="shared" si="74"/>
        <v>12</v>
      </c>
      <c r="H445" s="7">
        <f t="shared" si="76"/>
        <v>0.18721060123679895</v>
      </c>
      <c r="I445" s="9">
        <f t="shared" si="77"/>
        <v>1.8703558059481834E-3</v>
      </c>
      <c r="J445" s="9">
        <f t="shared" si="78"/>
        <v>84084.335714285728</v>
      </c>
      <c r="K445" s="9">
        <f t="shared" si="81"/>
        <v>83926.749333333355</v>
      </c>
      <c r="L445" s="9">
        <f t="shared" si="80"/>
        <v>85127.196555555551</v>
      </c>
      <c r="M445" s="9">
        <f t="shared" si="79"/>
        <v>6.7111499533683457E-3</v>
      </c>
      <c r="N445" s="9">
        <f t="shared" si="82"/>
        <v>7.9290046088375862E-3</v>
      </c>
    </row>
    <row r="446" spans="1:14" x14ac:dyDescent="0.35">
      <c r="A446" s="1">
        <v>43021</v>
      </c>
      <c r="B446" s="2" t="s">
        <v>446</v>
      </c>
      <c r="C446">
        <f t="shared" si="71"/>
        <v>83620.81</v>
      </c>
      <c r="D446">
        <f t="shared" si="72"/>
        <v>2017</v>
      </c>
      <c r="E446">
        <f t="shared" si="73"/>
        <v>10</v>
      </c>
      <c r="F446" t="str">
        <f t="shared" si="75"/>
        <v>October</v>
      </c>
      <c r="G446">
        <f t="shared" si="74"/>
        <v>13</v>
      </c>
      <c r="H446" s="7">
        <f t="shared" si="76"/>
        <v>-0.86632649516779503</v>
      </c>
      <c r="I446" s="9">
        <f t="shared" si="77"/>
        <v>-8.7010091817747819E-3</v>
      </c>
      <c r="J446" s="9">
        <f t="shared" si="78"/>
        <v>84103.971428571429</v>
      </c>
      <c r="K446" s="9">
        <f t="shared" si="81"/>
        <v>83836.362333333353</v>
      </c>
      <c r="L446" s="9">
        <f t="shared" si="80"/>
        <v>85117.865666666665</v>
      </c>
      <c r="M446" s="9">
        <f t="shared" si="79"/>
        <v>5.6016655920374404E-3</v>
      </c>
      <c r="N446" s="9">
        <f t="shared" si="82"/>
        <v>8.0567619291185069E-3</v>
      </c>
    </row>
    <row r="447" spans="1:14" x14ac:dyDescent="0.35">
      <c r="A447" s="1">
        <v>43024</v>
      </c>
      <c r="B447" s="2" t="s">
        <v>447</v>
      </c>
      <c r="C447">
        <f t="shared" si="71"/>
        <v>84026.18</v>
      </c>
      <c r="D447">
        <f t="shared" si="72"/>
        <v>2017</v>
      </c>
      <c r="E447">
        <f t="shared" si="73"/>
        <v>10</v>
      </c>
      <c r="F447" t="str">
        <f t="shared" si="75"/>
        <v>October</v>
      </c>
      <c r="G447">
        <f t="shared" si="74"/>
        <v>16</v>
      </c>
      <c r="H447" s="7">
        <f t="shared" si="76"/>
        <v>0.48477167346261701</v>
      </c>
      <c r="I447" s="9">
        <f t="shared" si="77"/>
        <v>4.8360043926819812E-3</v>
      </c>
      <c r="J447" s="9">
        <f t="shared" si="78"/>
        <v>84143.445714285714</v>
      </c>
      <c r="K447" s="9">
        <f t="shared" si="81"/>
        <v>83755.199999999997</v>
      </c>
      <c r="L447" s="9">
        <f t="shared" si="80"/>
        <v>85117.099444444422</v>
      </c>
      <c r="M447" s="9">
        <f t="shared" si="79"/>
        <v>5.7783715755422979E-3</v>
      </c>
      <c r="N447" s="9">
        <f t="shared" si="82"/>
        <v>8.1162863507276885E-3</v>
      </c>
    </row>
    <row r="448" spans="1:14" x14ac:dyDescent="0.35">
      <c r="A448" s="1">
        <v>43025</v>
      </c>
      <c r="B448" s="2" t="s">
        <v>448</v>
      </c>
      <c r="C448">
        <f t="shared" si="71"/>
        <v>83783.3</v>
      </c>
      <c r="D448">
        <f t="shared" si="72"/>
        <v>2017</v>
      </c>
      <c r="E448">
        <f t="shared" si="73"/>
        <v>10</v>
      </c>
      <c r="F448" t="str">
        <f t="shared" si="75"/>
        <v>October</v>
      </c>
      <c r="G448">
        <f t="shared" si="74"/>
        <v>17</v>
      </c>
      <c r="H448" s="7">
        <f t="shared" si="76"/>
        <v>-0.28905276902983112</v>
      </c>
      <c r="I448" s="9">
        <f t="shared" si="77"/>
        <v>-2.8947133332195337E-3</v>
      </c>
      <c r="J448" s="9">
        <f t="shared" si="78"/>
        <v>84078.28571428571</v>
      </c>
      <c r="K448" s="9">
        <f t="shared" si="81"/>
        <v>83644.135999999984</v>
      </c>
      <c r="L448" s="9">
        <f t="shared" si="80"/>
        <v>85115.296666666647</v>
      </c>
      <c r="M448" s="9">
        <f t="shared" si="79"/>
        <v>5.3554425091848611E-3</v>
      </c>
      <c r="N448" s="9">
        <f t="shared" si="82"/>
        <v>7.9620184785048082E-3</v>
      </c>
    </row>
    <row r="449" spans="1:14" x14ac:dyDescent="0.35">
      <c r="A449" s="1">
        <v>43026</v>
      </c>
      <c r="B449" s="2" t="s">
        <v>449</v>
      </c>
      <c r="C449">
        <f t="shared" si="71"/>
        <v>83799.3</v>
      </c>
      <c r="D449">
        <f t="shared" si="72"/>
        <v>2017</v>
      </c>
      <c r="E449">
        <f t="shared" si="73"/>
        <v>10</v>
      </c>
      <c r="F449" t="str">
        <f t="shared" si="75"/>
        <v>October</v>
      </c>
      <c r="G449">
        <f t="shared" si="74"/>
        <v>18</v>
      </c>
      <c r="H449" s="7">
        <f t="shared" si="76"/>
        <v>1.9096884462655447E-2</v>
      </c>
      <c r="I449" s="9">
        <f t="shared" si="77"/>
        <v>1.9095061239800577E-4</v>
      </c>
      <c r="J449" s="9">
        <f t="shared" si="78"/>
        <v>84046.95</v>
      </c>
      <c r="K449" s="9">
        <f t="shared" si="81"/>
        <v>83550.132999999987</v>
      </c>
      <c r="L449" s="9">
        <f t="shared" si="80"/>
        <v>85104.886888888868</v>
      </c>
      <c r="M449" s="9">
        <f t="shared" si="79"/>
        <v>5.2988908295004463E-3</v>
      </c>
      <c r="N449" s="9">
        <f t="shared" si="82"/>
        <v>7.9221446542521185E-3</v>
      </c>
    </row>
    <row r="450" spans="1:14" x14ac:dyDescent="0.35">
      <c r="A450" s="1">
        <v>43027</v>
      </c>
      <c r="B450" s="2" t="s">
        <v>450</v>
      </c>
      <c r="C450">
        <f t="shared" si="71"/>
        <v>82824.44</v>
      </c>
      <c r="D450">
        <f t="shared" si="72"/>
        <v>2017</v>
      </c>
      <c r="E450">
        <f t="shared" si="73"/>
        <v>10</v>
      </c>
      <c r="F450" t="str">
        <f t="shared" si="75"/>
        <v>October</v>
      </c>
      <c r="G450">
        <f t="shared" si="74"/>
        <v>19</v>
      </c>
      <c r="H450" s="7">
        <f t="shared" si="76"/>
        <v>-1.1633271399641769</v>
      </c>
      <c r="I450" s="9">
        <f t="shared" si="77"/>
        <v>-1.170146731167559E-2</v>
      </c>
      <c r="J450" s="9">
        <f t="shared" si="78"/>
        <v>83799.935714285719</v>
      </c>
      <c r="K450" s="9">
        <f t="shared" si="81"/>
        <v>83426.00033333333</v>
      </c>
      <c r="L450" s="9">
        <f t="shared" si="80"/>
        <v>85081.433222222215</v>
      </c>
      <c r="M450" s="9">
        <f t="shared" si="79"/>
        <v>5.8467884454352368E-3</v>
      </c>
      <c r="N450" s="9">
        <f t="shared" si="82"/>
        <v>8.1544243484913993E-3</v>
      </c>
    </row>
    <row r="451" spans="1:14" x14ac:dyDescent="0.35">
      <c r="A451" s="1">
        <v>43028</v>
      </c>
      <c r="B451" s="2" t="s">
        <v>451</v>
      </c>
      <c r="C451">
        <f t="shared" ref="C451:C514" si="83">_xlfn.NUMBERVALUE(B451,".",",")</f>
        <v>82226.429999999993</v>
      </c>
      <c r="D451">
        <f t="shared" ref="D451:D514" si="84">YEAR(A451)</f>
        <v>2017</v>
      </c>
      <c r="E451">
        <f t="shared" ref="E451:E514" si="85">MONTH(A451)</f>
        <v>10</v>
      </c>
      <c r="F451" t="str">
        <f t="shared" si="75"/>
        <v>October</v>
      </c>
      <c r="G451">
        <f t="shared" ref="G451:G514" si="86">DAY(A451)</f>
        <v>20</v>
      </c>
      <c r="H451" s="7">
        <f t="shared" si="76"/>
        <v>-0.72202118118759306</v>
      </c>
      <c r="I451" s="9">
        <f t="shared" si="77"/>
        <v>-7.246403691274975E-3</v>
      </c>
      <c r="J451" s="9">
        <f t="shared" si="78"/>
        <v>83518.861428571428</v>
      </c>
      <c r="K451" s="9">
        <f t="shared" si="81"/>
        <v>83247.55766666666</v>
      </c>
      <c r="L451" s="9">
        <f t="shared" si="80"/>
        <v>85053.812222222201</v>
      </c>
      <c r="M451" s="9">
        <f t="shared" si="79"/>
        <v>6.06307352269864E-3</v>
      </c>
      <c r="N451" s="9">
        <f t="shared" si="82"/>
        <v>7.8177854416822071E-3</v>
      </c>
    </row>
    <row r="452" spans="1:14" x14ac:dyDescent="0.35">
      <c r="A452" s="1">
        <v>43031</v>
      </c>
      <c r="B452" s="2" t="s">
        <v>452</v>
      </c>
      <c r="C452">
        <f t="shared" si="83"/>
        <v>81402.320000000007</v>
      </c>
      <c r="D452">
        <f t="shared" si="84"/>
        <v>2017</v>
      </c>
      <c r="E452">
        <f t="shared" si="85"/>
        <v>10</v>
      </c>
      <c r="F452" t="str">
        <f t="shared" ref="F452:F515" si="87">TEXT(A452,"mmmm")</f>
        <v>October</v>
      </c>
      <c r="G452">
        <f t="shared" si="86"/>
        <v>23</v>
      </c>
      <c r="H452" s="7">
        <f t="shared" ref="H452:H515" si="88">((C452-C451)/C451)*100</f>
        <v>-1.0022446553984967</v>
      </c>
      <c r="I452" s="9">
        <f t="shared" ref="I452:I515" si="89">LN(C452/C451)</f>
        <v>-1.0073009397397817E-2</v>
      </c>
      <c r="J452" s="9">
        <f t="shared" si="78"/>
        <v>83097.540000000008</v>
      </c>
      <c r="K452" s="9">
        <f t="shared" si="81"/>
        <v>83050.061333333331</v>
      </c>
      <c r="L452" s="9">
        <f t="shared" si="80"/>
        <v>85018.24588888888</v>
      </c>
      <c r="M452" s="9">
        <f t="shared" si="79"/>
        <v>6.0203045378254202E-3</v>
      </c>
      <c r="N452" s="9">
        <f t="shared" si="82"/>
        <v>7.9515959942196898E-3</v>
      </c>
    </row>
    <row r="453" spans="1:14" x14ac:dyDescent="0.35">
      <c r="A453" s="1">
        <v>43032</v>
      </c>
      <c r="B453" s="2" t="s">
        <v>453</v>
      </c>
      <c r="C453">
        <f t="shared" si="83"/>
        <v>80956.22</v>
      </c>
      <c r="D453">
        <f t="shared" si="84"/>
        <v>2017</v>
      </c>
      <c r="E453">
        <f t="shared" si="85"/>
        <v>10</v>
      </c>
      <c r="F453" t="str">
        <f t="shared" si="87"/>
        <v>October</v>
      </c>
      <c r="G453">
        <f t="shared" si="86"/>
        <v>24</v>
      </c>
      <c r="H453" s="7">
        <f t="shared" si="88"/>
        <v>-0.54801877882596683</v>
      </c>
      <c r="I453" s="9">
        <f t="shared" si="89"/>
        <v>-5.4952591050074027E-3</v>
      </c>
      <c r="J453" s="9">
        <f t="shared" si="78"/>
        <v>82716.884285714274</v>
      </c>
      <c r="K453" s="9">
        <f t="shared" si="81"/>
        <v>82883.258000000016</v>
      </c>
      <c r="L453" s="9">
        <f t="shared" si="80"/>
        <v>84979.255555555545</v>
      </c>
      <c r="M453" s="9">
        <f t="shared" si="79"/>
        <v>5.8178485325800543E-3</v>
      </c>
      <c r="N453" s="9">
        <f t="shared" si="82"/>
        <v>7.5647698327090257E-3</v>
      </c>
    </row>
    <row r="454" spans="1:14" x14ac:dyDescent="0.35">
      <c r="A454" s="1">
        <v>43033</v>
      </c>
      <c r="B454" s="2" t="s">
        <v>454</v>
      </c>
      <c r="C454">
        <f t="shared" si="83"/>
        <v>80560.78</v>
      </c>
      <c r="D454">
        <f t="shared" si="84"/>
        <v>2017</v>
      </c>
      <c r="E454">
        <f t="shared" si="85"/>
        <v>10</v>
      </c>
      <c r="F454" t="str">
        <f t="shared" si="87"/>
        <v>October</v>
      </c>
      <c r="G454">
        <f t="shared" si="86"/>
        <v>25</v>
      </c>
      <c r="H454" s="7">
        <f t="shared" si="88"/>
        <v>-0.48846154131208486</v>
      </c>
      <c r="I454" s="9">
        <f t="shared" si="89"/>
        <v>-4.8965841379727528E-3</v>
      </c>
      <c r="J454" s="9">
        <f t="shared" si="78"/>
        <v>82221.827142857146</v>
      </c>
      <c r="K454" s="9">
        <f t="shared" si="81"/>
        <v>82742.699666666667</v>
      </c>
      <c r="L454" s="9">
        <f t="shared" si="80"/>
        <v>84923.265999999989</v>
      </c>
      <c r="M454" s="9">
        <f t="shared" si="79"/>
        <v>4.0843335540351093E-3</v>
      </c>
      <c r="N454" s="9">
        <f t="shared" si="82"/>
        <v>7.2509229786386084E-3</v>
      </c>
    </row>
    <row r="455" spans="1:14" x14ac:dyDescent="0.35">
      <c r="A455" s="1">
        <v>43034</v>
      </c>
      <c r="B455" s="2" t="s">
        <v>455</v>
      </c>
      <c r="C455">
        <f t="shared" si="83"/>
        <v>80739.31</v>
      </c>
      <c r="D455">
        <f t="shared" si="84"/>
        <v>2017</v>
      </c>
      <c r="E455">
        <f t="shared" si="85"/>
        <v>10</v>
      </c>
      <c r="F455" t="str">
        <f t="shared" si="87"/>
        <v>October</v>
      </c>
      <c r="G455">
        <f t="shared" si="86"/>
        <v>26</v>
      </c>
      <c r="H455" s="7">
        <f t="shared" si="88"/>
        <v>0.22160907578104239</v>
      </c>
      <c r="I455" s="9">
        <f t="shared" si="89"/>
        <v>2.2136388504515915E-3</v>
      </c>
      <c r="J455" s="9">
        <f t="shared" si="78"/>
        <v>81786.971428571429</v>
      </c>
      <c r="K455" s="9">
        <f t="shared" si="81"/>
        <v>82639.676999999996</v>
      </c>
      <c r="L455" s="9">
        <f t="shared" si="80"/>
        <v>84867.635666666669</v>
      </c>
      <c r="M455" s="9">
        <f t="shared" si="79"/>
        <v>5.072045314593536E-3</v>
      </c>
      <c r="N455" s="9">
        <f t="shared" si="82"/>
        <v>7.0539661074358441E-3</v>
      </c>
    </row>
    <row r="456" spans="1:14" x14ac:dyDescent="0.35">
      <c r="A456" s="1">
        <v>43035</v>
      </c>
      <c r="B456" s="2" t="s">
        <v>456</v>
      </c>
      <c r="C456">
        <f t="shared" si="83"/>
        <v>80364.86</v>
      </c>
      <c r="D456">
        <f t="shared" si="84"/>
        <v>2017</v>
      </c>
      <c r="E456">
        <f t="shared" si="85"/>
        <v>10</v>
      </c>
      <c r="F456" t="str">
        <f t="shared" si="87"/>
        <v>October</v>
      </c>
      <c r="G456">
        <f t="shared" si="86"/>
        <v>27</v>
      </c>
      <c r="H456" s="7">
        <f t="shared" si="88"/>
        <v>-0.46377656682971047</v>
      </c>
      <c r="I456" s="9">
        <f t="shared" si="89"/>
        <v>-4.6485534706163338E-3</v>
      </c>
      <c r="J456" s="9">
        <f t="shared" si="78"/>
        <v>81296.337142857155</v>
      </c>
      <c r="K456" s="9">
        <f t="shared" si="81"/>
        <v>82526.502999999997</v>
      </c>
      <c r="L456" s="9">
        <f t="shared" si="80"/>
        <v>84792.471333333349</v>
      </c>
      <c r="M456" s="9">
        <f t="shared" si="79"/>
        <v>4.4983126788882459E-3</v>
      </c>
      <c r="N456" s="9">
        <f t="shared" si="82"/>
        <v>7.0804989869381026E-3</v>
      </c>
    </row>
    <row r="457" spans="1:14" x14ac:dyDescent="0.35">
      <c r="A457" s="1">
        <v>43038</v>
      </c>
      <c r="B457" s="2" t="s">
        <v>457</v>
      </c>
      <c r="C457">
        <f t="shared" si="83"/>
        <v>79430.05</v>
      </c>
      <c r="D457">
        <f t="shared" si="84"/>
        <v>2017</v>
      </c>
      <c r="E457">
        <f t="shared" si="85"/>
        <v>10</v>
      </c>
      <c r="F457" t="str">
        <f t="shared" si="87"/>
        <v>October</v>
      </c>
      <c r="G457">
        <f t="shared" si="86"/>
        <v>30</v>
      </c>
      <c r="H457" s="7">
        <f t="shared" si="88"/>
        <v>-1.163207401842046</v>
      </c>
      <c r="I457" s="9">
        <f t="shared" si="89"/>
        <v>-1.1700255837774922E-2</v>
      </c>
      <c r="J457" s="9">
        <f t="shared" ref="J457:J520" si="90">AVERAGE(C451:C457)</f>
        <v>80811.424285714282</v>
      </c>
      <c r="K457" s="9">
        <f t="shared" si="81"/>
        <v>82416.885333333325</v>
      </c>
      <c r="L457" s="9">
        <f t="shared" si="80"/>
        <v>84708.745777777774</v>
      </c>
      <c r="M457" s="9">
        <f t="shared" si="79"/>
        <v>4.4980558004691475E-3</v>
      </c>
      <c r="N457" s="9">
        <f t="shared" si="82"/>
        <v>7.0378961953469201E-3</v>
      </c>
    </row>
    <row r="458" spans="1:14" x14ac:dyDescent="0.35">
      <c r="A458" s="1">
        <v>43039</v>
      </c>
      <c r="B458" s="2" t="s">
        <v>458</v>
      </c>
      <c r="C458">
        <f t="shared" si="83"/>
        <v>79577.61</v>
      </c>
      <c r="D458">
        <f t="shared" si="84"/>
        <v>2017</v>
      </c>
      <c r="E458">
        <f t="shared" si="85"/>
        <v>10</v>
      </c>
      <c r="F458" t="str">
        <f t="shared" si="87"/>
        <v>October</v>
      </c>
      <c r="G458">
        <f t="shared" si="86"/>
        <v>31</v>
      </c>
      <c r="H458" s="7">
        <f t="shared" si="88"/>
        <v>0.18577352022313678</v>
      </c>
      <c r="I458" s="9">
        <f t="shared" si="89"/>
        <v>1.8560117463435094E-3</v>
      </c>
      <c r="J458" s="9">
        <f t="shared" si="90"/>
        <v>80433.021428571432</v>
      </c>
      <c r="K458" s="9">
        <f t="shared" si="81"/>
        <v>82301.715333333312</v>
      </c>
      <c r="L458" s="9">
        <f t="shared" si="80"/>
        <v>84624.986444444454</v>
      </c>
      <c r="M458" s="9">
        <f t="shared" ref="M458:M521" si="91">STDEV(I452:I458)</f>
        <v>5.3122932430167231E-3</v>
      </c>
      <c r="N458" s="9">
        <f t="shared" si="82"/>
        <v>6.9979037631158489E-3</v>
      </c>
    </row>
    <row r="459" spans="1:14" x14ac:dyDescent="0.35">
      <c r="A459" s="1">
        <v>43040</v>
      </c>
      <c r="B459" s="2" t="s">
        <v>459</v>
      </c>
      <c r="C459">
        <f t="shared" si="83"/>
        <v>80538.570000000007</v>
      </c>
      <c r="D459">
        <f t="shared" si="84"/>
        <v>2017</v>
      </c>
      <c r="E459">
        <f t="shared" si="85"/>
        <v>11</v>
      </c>
      <c r="F459" t="str">
        <f t="shared" si="87"/>
        <v>November</v>
      </c>
      <c r="G459">
        <f t="shared" si="86"/>
        <v>1</v>
      </c>
      <c r="H459" s="7">
        <f t="shared" si="88"/>
        <v>1.2075758495385904</v>
      </c>
      <c r="I459" s="9">
        <f t="shared" si="89"/>
        <v>1.2003428236697077E-2</v>
      </c>
      <c r="J459" s="9">
        <f t="shared" si="90"/>
        <v>80309.628571428562</v>
      </c>
      <c r="K459" s="9">
        <f t="shared" si="81"/>
        <v>82252.756333333309</v>
      </c>
      <c r="L459" s="9">
        <f t="shared" si="80"/>
        <v>84550.181111111116</v>
      </c>
      <c r="M459" s="9">
        <f t="shared" si="91"/>
        <v>7.6250680671087938E-3</v>
      </c>
      <c r="N459" s="9">
        <f t="shared" si="82"/>
        <v>7.0933563349180728E-3</v>
      </c>
    </row>
    <row r="460" spans="1:14" x14ac:dyDescent="0.35">
      <c r="A460" s="1">
        <v>43041</v>
      </c>
      <c r="B460" s="2" t="s">
        <v>460</v>
      </c>
      <c r="C460">
        <f t="shared" si="83"/>
        <v>81868.820000000007</v>
      </c>
      <c r="D460">
        <f t="shared" si="84"/>
        <v>2017</v>
      </c>
      <c r="E460">
        <f t="shared" si="85"/>
        <v>11</v>
      </c>
      <c r="F460" t="str">
        <f t="shared" si="87"/>
        <v>November</v>
      </c>
      <c r="G460">
        <f t="shared" si="86"/>
        <v>2</v>
      </c>
      <c r="H460" s="7">
        <f t="shared" si="88"/>
        <v>1.651693095618658</v>
      </c>
      <c r="I460" s="9">
        <f t="shared" si="89"/>
        <v>1.6382010077593365E-2</v>
      </c>
      <c r="J460" s="9">
        <f t="shared" si="90"/>
        <v>80440</v>
      </c>
      <c r="K460" s="9">
        <f t="shared" si="81"/>
        <v>82249.09733333331</v>
      </c>
      <c r="L460" s="9">
        <f t="shared" si="80"/>
        <v>84486.026222222237</v>
      </c>
      <c r="M460" s="9">
        <f t="shared" si="91"/>
        <v>9.8769770469979111E-3</v>
      </c>
      <c r="N460" s="9">
        <f t="shared" si="82"/>
        <v>7.7420262018926579E-3</v>
      </c>
    </row>
    <row r="461" spans="1:14" x14ac:dyDescent="0.35">
      <c r="A461" s="1">
        <v>43042</v>
      </c>
      <c r="B461" s="2" t="s">
        <v>461</v>
      </c>
      <c r="C461">
        <f t="shared" si="83"/>
        <v>82765.119999999995</v>
      </c>
      <c r="D461">
        <f t="shared" si="84"/>
        <v>2017</v>
      </c>
      <c r="E461">
        <f t="shared" si="85"/>
        <v>11</v>
      </c>
      <c r="F461" t="str">
        <f t="shared" si="87"/>
        <v>November</v>
      </c>
      <c r="G461">
        <f t="shared" si="86"/>
        <v>3</v>
      </c>
      <c r="H461" s="7">
        <f t="shared" si="88"/>
        <v>1.0948001937733904</v>
      </c>
      <c r="I461" s="9">
        <f t="shared" si="89"/>
        <v>1.088850640875764E-2</v>
      </c>
      <c r="J461" s="9">
        <f t="shared" si="90"/>
        <v>80754.905714285705</v>
      </c>
      <c r="K461" s="9">
        <f t="shared" si="81"/>
        <v>82285.654999999999</v>
      </c>
      <c r="L461" s="9">
        <f t="shared" si="80"/>
        <v>84439.656000000032</v>
      </c>
      <c r="M461" s="9">
        <f t="shared" si="91"/>
        <v>9.9478598133942719E-3</v>
      </c>
      <c r="N461" s="9">
        <f t="shared" si="82"/>
        <v>7.9579619210397752E-3</v>
      </c>
    </row>
    <row r="462" spans="1:14" x14ac:dyDescent="0.35">
      <c r="A462" s="1">
        <v>43045</v>
      </c>
      <c r="B462" s="2" t="s">
        <v>462</v>
      </c>
      <c r="C462">
        <f t="shared" si="83"/>
        <v>81198.64</v>
      </c>
      <c r="D462">
        <f t="shared" si="84"/>
        <v>2017</v>
      </c>
      <c r="E462">
        <f t="shared" si="85"/>
        <v>11</v>
      </c>
      <c r="F462" t="str">
        <f t="shared" si="87"/>
        <v>November</v>
      </c>
      <c r="G462">
        <f t="shared" si="86"/>
        <v>6</v>
      </c>
      <c r="H462" s="7">
        <f t="shared" si="88"/>
        <v>-1.8926813614237445</v>
      </c>
      <c r="I462" s="9">
        <f t="shared" si="89"/>
        <v>-1.910821834041827E-2</v>
      </c>
      <c r="J462" s="9">
        <f t="shared" si="90"/>
        <v>80820.524285714288</v>
      </c>
      <c r="K462" s="9">
        <f t="shared" si="81"/>
        <v>82298.016666666663</v>
      </c>
      <c r="L462" s="9">
        <f t="shared" si="80"/>
        <v>84376.902888888915</v>
      </c>
      <c r="M462" s="9">
        <f t="shared" si="91"/>
        <v>1.3250713775119946E-2</v>
      </c>
      <c r="N462" s="9">
        <f t="shared" si="82"/>
        <v>8.5093441454488182E-3</v>
      </c>
    </row>
    <row r="463" spans="1:14" x14ac:dyDescent="0.35">
      <c r="A463" s="1">
        <v>43046</v>
      </c>
      <c r="B463" s="2" t="s">
        <v>463</v>
      </c>
      <c r="C463">
        <f t="shared" si="83"/>
        <v>81011.649999999994</v>
      </c>
      <c r="D463">
        <f t="shared" si="84"/>
        <v>2017</v>
      </c>
      <c r="E463">
        <f t="shared" si="85"/>
        <v>11</v>
      </c>
      <c r="F463" t="str">
        <f t="shared" si="87"/>
        <v>November</v>
      </c>
      <c r="G463">
        <f t="shared" si="86"/>
        <v>7</v>
      </c>
      <c r="H463" s="7">
        <f t="shared" si="88"/>
        <v>-0.23028710825699203</v>
      </c>
      <c r="I463" s="9">
        <f t="shared" si="89"/>
        <v>-2.3055267680990093E-3</v>
      </c>
      <c r="J463" s="9">
        <f t="shared" si="90"/>
        <v>80912.922857142868</v>
      </c>
      <c r="K463" s="9">
        <f t="shared" si="81"/>
        <v>82277.008333333346</v>
      </c>
      <c r="L463" s="9">
        <f t="shared" si="80"/>
        <v>84317.982222222257</v>
      </c>
      <c r="M463" s="9">
        <f t="shared" si="91"/>
        <v>1.3118771412538364E-2</v>
      </c>
      <c r="N463" s="9">
        <f t="shared" si="82"/>
        <v>8.3116772983639637E-3</v>
      </c>
    </row>
    <row r="464" spans="1:14" x14ac:dyDescent="0.35">
      <c r="A464" s="1">
        <v>43047</v>
      </c>
      <c r="B464" s="2" t="s">
        <v>464</v>
      </c>
      <c r="C464">
        <f t="shared" si="83"/>
        <v>81120.509999999995</v>
      </c>
      <c r="D464">
        <f t="shared" si="84"/>
        <v>2017</v>
      </c>
      <c r="E464">
        <f t="shared" si="85"/>
        <v>11</v>
      </c>
      <c r="F464" t="str">
        <f t="shared" si="87"/>
        <v>November</v>
      </c>
      <c r="G464">
        <f t="shared" si="86"/>
        <v>8</v>
      </c>
      <c r="H464" s="7">
        <f t="shared" si="88"/>
        <v>0.13437573484801332</v>
      </c>
      <c r="I464" s="9">
        <f t="shared" si="89"/>
        <v>1.3428553145602754E-3</v>
      </c>
      <c r="J464" s="9">
        <f t="shared" si="90"/>
        <v>81154.417142857143</v>
      </c>
      <c r="K464" s="9">
        <f t="shared" si="81"/>
        <v>82266.304333333348</v>
      </c>
      <c r="L464" s="9">
        <f t="shared" si="80"/>
        <v>84265.779000000024</v>
      </c>
      <c r="M464" s="9">
        <f t="shared" si="91"/>
        <v>1.185569285750152E-2</v>
      </c>
      <c r="N464" s="9">
        <f t="shared" si="82"/>
        <v>8.3059765278614313E-3</v>
      </c>
    </row>
    <row r="465" spans="1:14" x14ac:dyDescent="0.35">
      <c r="A465" s="1">
        <v>43048</v>
      </c>
      <c r="B465" s="2" t="s">
        <v>465</v>
      </c>
      <c r="C465">
        <f t="shared" si="83"/>
        <v>80678.2</v>
      </c>
      <c r="D465">
        <f t="shared" si="84"/>
        <v>2017</v>
      </c>
      <c r="E465">
        <f t="shared" si="85"/>
        <v>11</v>
      </c>
      <c r="F465" t="str">
        <f t="shared" si="87"/>
        <v>November</v>
      </c>
      <c r="G465">
        <f t="shared" si="86"/>
        <v>9</v>
      </c>
      <c r="H465" s="7">
        <f t="shared" si="88"/>
        <v>-0.54525051679285264</v>
      </c>
      <c r="I465" s="9">
        <f t="shared" si="89"/>
        <v>-5.4674243301509615E-3</v>
      </c>
      <c r="J465" s="9">
        <f t="shared" si="90"/>
        <v>81311.644285714283</v>
      </c>
      <c r="K465" s="9">
        <f t="shared" si="81"/>
        <v>82243.414666666678</v>
      </c>
      <c r="L465" s="9">
        <f t="shared" si="80"/>
        <v>84209.631111111128</v>
      </c>
      <c r="M465" s="9">
        <f t="shared" si="91"/>
        <v>1.2289528466711502E-2</v>
      </c>
      <c r="N465" s="9">
        <f t="shared" si="82"/>
        <v>8.3621025061692469E-3</v>
      </c>
    </row>
    <row r="466" spans="1:14" x14ac:dyDescent="0.35">
      <c r="A466" s="1">
        <v>43049</v>
      </c>
      <c r="B466" s="2" t="s">
        <v>466</v>
      </c>
      <c r="C466">
        <f t="shared" si="83"/>
        <v>80595.14</v>
      </c>
      <c r="D466">
        <f t="shared" si="84"/>
        <v>2017</v>
      </c>
      <c r="E466">
        <f t="shared" si="85"/>
        <v>11</v>
      </c>
      <c r="F466" t="str">
        <f t="shared" si="87"/>
        <v>November</v>
      </c>
      <c r="G466">
        <f t="shared" si="86"/>
        <v>10</v>
      </c>
      <c r="H466" s="7">
        <f t="shared" si="88"/>
        <v>-0.1029522225334696</v>
      </c>
      <c r="I466" s="9">
        <f t="shared" si="89"/>
        <v>-1.0300525473577137E-3</v>
      </c>
      <c r="J466" s="9">
        <f t="shared" si="90"/>
        <v>81319.725714285712</v>
      </c>
      <c r="K466" s="9">
        <f t="shared" si="81"/>
        <v>82191.69166666668</v>
      </c>
      <c r="L466" s="9">
        <f t="shared" si="80"/>
        <v>84166.127777777787</v>
      </c>
      <c r="M466" s="9">
        <f t="shared" si="91"/>
        <v>1.1475015284291288E-2</v>
      </c>
      <c r="N466" s="9">
        <f t="shared" si="82"/>
        <v>8.1530057940067523E-3</v>
      </c>
    </row>
    <row r="467" spans="1:14" x14ac:dyDescent="0.35">
      <c r="A467" s="1">
        <v>43052</v>
      </c>
      <c r="B467" s="2" t="s">
        <v>467</v>
      </c>
      <c r="C467">
        <f t="shared" si="83"/>
        <v>80706.44</v>
      </c>
      <c r="D467">
        <f t="shared" si="84"/>
        <v>2017</v>
      </c>
      <c r="E467">
        <f t="shared" si="85"/>
        <v>11</v>
      </c>
      <c r="F467" t="str">
        <f t="shared" si="87"/>
        <v>November</v>
      </c>
      <c r="G467">
        <f t="shared" si="86"/>
        <v>13</v>
      </c>
      <c r="H467" s="7">
        <f t="shared" si="88"/>
        <v>0.13809765700512824</v>
      </c>
      <c r="I467" s="9">
        <f t="shared" si="89"/>
        <v>1.3800238988845371E-3</v>
      </c>
      <c r="J467" s="9">
        <f t="shared" si="90"/>
        <v>81153.671428571426</v>
      </c>
      <c r="K467" s="9">
        <f t="shared" si="81"/>
        <v>82151.393666666685</v>
      </c>
      <c r="L467" s="9">
        <f t="shared" si="80"/>
        <v>84120.783666666684</v>
      </c>
      <c r="M467" s="9">
        <f t="shared" si="91"/>
        <v>9.0778880480230275E-3</v>
      </c>
      <c r="N467" s="9">
        <f t="shared" si="82"/>
        <v>8.150249252250821E-3</v>
      </c>
    </row>
    <row r="468" spans="1:14" x14ac:dyDescent="0.35">
      <c r="A468" s="1">
        <v>43053</v>
      </c>
      <c r="B468" s="2" t="s">
        <v>468</v>
      </c>
      <c r="C468">
        <f t="shared" si="83"/>
        <v>80492.09</v>
      </c>
      <c r="D468">
        <f t="shared" si="84"/>
        <v>2017</v>
      </c>
      <c r="E468">
        <f t="shared" si="85"/>
        <v>11</v>
      </c>
      <c r="F468" t="str">
        <f t="shared" si="87"/>
        <v>November</v>
      </c>
      <c r="G468">
        <f t="shared" si="86"/>
        <v>14</v>
      </c>
      <c r="H468" s="7">
        <f t="shared" si="88"/>
        <v>-0.26559218818226377</v>
      </c>
      <c r="I468" s="9">
        <f t="shared" si="89"/>
        <v>-2.6594550996974818E-3</v>
      </c>
      <c r="J468" s="9">
        <f t="shared" si="90"/>
        <v>80828.952857142867</v>
      </c>
      <c r="K468" s="9">
        <f t="shared" si="81"/>
        <v>82095.904666666684</v>
      </c>
      <c r="L468" s="9">
        <f t="shared" si="80"/>
        <v>84069.558666666679</v>
      </c>
      <c r="M468" s="9">
        <f t="shared" si="91"/>
        <v>7.0874058997961653E-3</v>
      </c>
      <c r="N468" s="9">
        <f t="shared" si="82"/>
        <v>8.132919102137778E-3</v>
      </c>
    </row>
    <row r="469" spans="1:14" x14ac:dyDescent="0.35">
      <c r="A469" s="1">
        <v>43054</v>
      </c>
      <c r="B469" s="2" t="s">
        <v>469</v>
      </c>
      <c r="C469">
        <f t="shared" si="83"/>
        <v>79922.67</v>
      </c>
      <c r="D469">
        <f t="shared" si="84"/>
        <v>2017</v>
      </c>
      <c r="E469">
        <f t="shared" si="85"/>
        <v>11</v>
      </c>
      <c r="F469" t="str">
        <f t="shared" si="87"/>
        <v>November</v>
      </c>
      <c r="G469">
        <f t="shared" si="86"/>
        <v>15</v>
      </c>
      <c r="H469" s="7">
        <f t="shared" si="88"/>
        <v>-0.7074235493201857</v>
      </c>
      <c r="I469" s="9">
        <f t="shared" si="89"/>
        <v>-7.0993765363788928E-3</v>
      </c>
      <c r="J469" s="9">
        <f t="shared" si="90"/>
        <v>80646.671428571441</v>
      </c>
      <c r="K469" s="9">
        <f t="shared" si="81"/>
        <v>81977.215000000011</v>
      </c>
      <c r="L469" s="9">
        <f t="shared" si="80"/>
        <v>84008.727222222238</v>
      </c>
      <c r="M469" s="9">
        <f t="shared" si="91"/>
        <v>3.2044716923630397E-3</v>
      </c>
      <c r="N469" s="9">
        <f t="shared" si="82"/>
        <v>7.5718239352441886E-3</v>
      </c>
    </row>
    <row r="470" spans="1:14" x14ac:dyDescent="0.35">
      <c r="A470" s="1">
        <v>43055</v>
      </c>
      <c r="B470" s="2" t="s">
        <v>470</v>
      </c>
      <c r="C470">
        <f t="shared" si="83"/>
        <v>80334.259999999995</v>
      </c>
      <c r="D470">
        <f t="shared" si="84"/>
        <v>2017</v>
      </c>
      <c r="E470">
        <f t="shared" si="85"/>
        <v>11</v>
      </c>
      <c r="F470" t="str">
        <f t="shared" si="87"/>
        <v>November</v>
      </c>
      <c r="G470">
        <f t="shared" si="86"/>
        <v>16</v>
      </c>
      <c r="H470" s="7">
        <f t="shared" si="88"/>
        <v>0.51498529766334944</v>
      </c>
      <c r="I470" s="9">
        <f t="shared" si="89"/>
        <v>5.1366378350659533E-3</v>
      </c>
      <c r="J470" s="9">
        <f t="shared" si="90"/>
        <v>80549.901428571422</v>
      </c>
      <c r="K470" s="9">
        <f t="shared" si="81"/>
        <v>81863.361666666649</v>
      </c>
      <c r="L470" s="9">
        <f t="shared" si="80"/>
        <v>83958.271888888892</v>
      </c>
      <c r="M470" s="9">
        <f t="shared" si="91"/>
        <v>4.2514322941011309E-3</v>
      </c>
      <c r="N470" s="9">
        <f t="shared" si="82"/>
        <v>7.6212231077895836E-3</v>
      </c>
    </row>
    <row r="471" spans="1:14" x14ac:dyDescent="0.35">
      <c r="A471" s="1">
        <v>43056</v>
      </c>
      <c r="B471" s="2" t="s">
        <v>471</v>
      </c>
      <c r="C471">
        <f t="shared" si="83"/>
        <v>80452.58</v>
      </c>
      <c r="D471">
        <f t="shared" si="84"/>
        <v>2017</v>
      </c>
      <c r="E471">
        <f t="shared" si="85"/>
        <v>11</v>
      </c>
      <c r="F471" t="str">
        <f t="shared" si="87"/>
        <v>November</v>
      </c>
      <c r="G471">
        <f t="shared" si="86"/>
        <v>17</v>
      </c>
      <c r="H471" s="7">
        <f t="shared" si="88"/>
        <v>0.14728460808627225</v>
      </c>
      <c r="I471" s="9">
        <f t="shared" si="89"/>
        <v>1.4717625069016222E-3</v>
      </c>
      <c r="J471" s="9">
        <f t="shared" si="90"/>
        <v>80454.482857142852</v>
      </c>
      <c r="K471" s="9">
        <f t="shared" si="81"/>
        <v>81737.133666666661</v>
      </c>
      <c r="L471" s="9">
        <f t="shared" si="80"/>
        <v>83900.984222222236</v>
      </c>
      <c r="M471" s="9">
        <f t="shared" si="91"/>
        <v>4.2645392289551269E-3</v>
      </c>
      <c r="N471" s="9">
        <f t="shared" si="82"/>
        <v>7.5198051172147805E-3</v>
      </c>
    </row>
    <row r="472" spans="1:14" x14ac:dyDescent="0.35">
      <c r="A472" s="1">
        <v>43059</v>
      </c>
      <c r="B472" s="2" t="s">
        <v>472</v>
      </c>
      <c r="C472">
        <f t="shared" si="83"/>
        <v>81124.08</v>
      </c>
      <c r="D472">
        <f t="shared" si="84"/>
        <v>2017</v>
      </c>
      <c r="E472">
        <f t="shared" si="85"/>
        <v>11</v>
      </c>
      <c r="F472" t="str">
        <f t="shared" si="87"/>
        <v>November</v>
      </c>
      <c r="G472">
        <f t="shared" si="86"/>
        <v>20</v>
      </c>
      <c r="H472" s="7">
        <f t="shared" si="88"/>
        <v>0.83465315841953114</v>
      </c>
      <c r="I472" s="9">
        <f t="shared" si="89"/>
        <v>8.3118919034411536E-3</v>
      </c>
      <c r="J472" s="9">
        <f t="shared" si="90"/>
        <v>80518.180000000008</v>
      </c>
      <c r="K472" s="9">
        <f t="shared" si="81"/>
        <v>81640.648000000001</v>
      </c>
      <c r="L472" s="9">
        <f t="shared" si="80"/>
        <v>83852.112111111113</v>
      </c>
      <c r="M472" s="9">
        <f t="shared" si="91"/>
        <v>5.0619263663967606E-3</v>
      </c>
      <c r="N472" s="9">
        <f t="shared" si="82"/>
        <v>7.7273024597493013E-3</v>
      </c>
    </row>
    <row r="473" spans="1:14" x14ac:dyDescent="0.35">
      <c r="A473" s="1">
        <v>43060</v>
      </c>
      <c r="B473" s="2" t="s">
        <v>473</v>
      </c>
      <c r="C473">
        <f t="shared" si="83"/>
        <v>82154.070000000007</v>
      </c>
      <c r="D473">
        <f t="shared" si="84"/>
        <v>2017</v>
      </c>
      <c r="E473">
        <f t="shared" si="85"/>
        <v>11</v>
      </c>
      <c r="F473" t="str">
        <f t="shared" si="87"/>
        <v>November</v>
      </c>
      <c r="G473">
        <f t="shared" si="86"/>
        <v>21</v>
      </c>
      <c r="H473" s="7">
        <f t="shared" si="88"/>
        <v>1.2696476804421144</v>
      </c>
      <c r="I473" s="9">
        <f t="shared" si="89"/>
        <v>1.2616552337925571E-2</v>
      </c>
      <c r="J473" s="9">
        <f t="shared" si="90"/>
        <v>80740.884285714288</v>
      </c>
      <c r="K473" s="9">
        <f t="shared" si="81"/>
        <v>81560.665666666668</v>
      </c>
      <c r="L473" s="9">
        <f t="shared" si="80"/>
        <v>83817.437000000005</v>
      </c>
      <c r="M473" s="9">
        <f t="shared" si="91"/>
        <v>6.6302523431268851E-3</v>
      </c>
      <c r="N473" s="9">
        <f t="shared" si="82"/>
        <v>8.0169512830177651E-3</v>
      </c>
    </row>
    <row r="474" spans="1:14" x14ac:dyDescent="0.35">
      <c r="A474" s="1">
        <v>43061</v>
      </c>
      <c r="B474" s="2" t="s">
        <v>474</v>
      </c>
      <c r="C474">
        <f t="shared" si="83"/>
        <v>81686.490000000005</v>
      </c>
      <c r="D474">
        <f t="shared" si="84"/>
        <v>2017</v>
      </c>
      <c r="E474">
        <f t="shared" si="85"/>
        <v>11</v>
      </c>
      <c r="F474" t="str">
        <f t="shared" si="87"/>
        <v>November</v>
      </c>
      <c r="G474">
        <f t="shared" si="86"/>
        <v>22</v>
      </c>
      <c r="H474" s="7">
        <f t="shared" si="88"/>
        <v>-0.56915013461901731</v>
      </c>
      <c r="I474" s="9">
        <f t="shared" si="89"/>
        <v>-5.7077596587969725E-3</v>
      </c>
      <c r="J474" s="9">
        <f t="shared" si="90"/>
        <v>80880.891428571442</v>
      </c>
      <c r="K474" s="9">
        <f t="shared" si="81"/>
        <v>81477.083666666673</v>
      </c>
      <c r="L474" s="9">
        <f t="shared" si="80"/>
        <v>83785.878555555566</v>
      </c>
      <c r="M474" s="9">
        <f t="shared" si="91"/>
        <v>7.3717415392237232E-3</v>
      </c>
      <c r="N474" s="9">
        <f t="shared" si="82"/>
        <v>8.0417959350472835E-3</v>
      </c>
    </row>
    <row r="475" spans="1:14" x14ac:dyDescent="0.35">
      <c r="A475" s="1">
        <v>43062</v>
      </c>
      <c r="B475" s="2" t="s">
        <v>475</v>
      </c>
      <c r="C475">
        <f t="shared" si="83"/>
        <v>81093.990000000005</v>
      </c>
      <c r="D475">
        <f t="shared" si="84"/>
        <v>2017</v>
      </c>
      <c r="E475">
        <f t="shared" si="85"/>
        <v>11</v>
      </c>
      <c r="F475" t="str">
        <f t="shared" si="87"/>
        <v>November</v>
      </c>
      <c r="G475">
        <f t="shared" si="86"/>
        <v>23</v>
      </c>
      <c r="H475" s="7">
        <f t="shared" si="88"/>
        <v>-0.72533414032112287</v>
      </c>
      <c r="I475" s="9">
        <f t="shared" si="89"/>
        <v>-7.2797747817401753E-3</v>
      </c>
      <c r="J475" s="9">
        <f t="shared" si="90"/>
        <v>80966.877142857149</v>
      </c>
      <c r="K475" s="9">
        <f t="shared" si="81"/>
        <v>81368.497666666677</v>
      </c>
      <c r="L475" s="9">
        <f t="shared" si="80"/>
        <v>83748.867333333343</v>
      </c>
      <c r="M475" s="9">
        <f t="shared" si="91"/>
        <v>8.0089749051467114E-3</v>
      </c>
      <c r="N475" s="9">
        <f t="shared" si="82"/>
        <v>8.1021639583759124E-3</v>
      </c>
    </row>
    <row r="476" spans="1:14" x14ac:dyDescent="0.35">
      <c r="A476" s="1">
        <v>43063</v>
      </c>
      <c r="B476" s="2" t="s">
        <v>476</v>
      </c>
      <c r="C476">
        <f t="shared" si="83"/>
        <v>80445.31</v>
      </c>
      <c r="D476">
        <f t="shared" si="84"/>
        <v>2017</v>
      </c>
      <c r="E476">
        <f t="shared" si="85"/>
        <v>11</v>
      </c>
      <c r="F476" t="str">
        <f t="shared" si="87"/>
        <v>November</v>
      </c>
      <c r="G476">
        <f t="shared" si="86"/>
        <v>24</v>
      </c>
      <c r="H476" s="7">
        <f t="shared" si="88"/>
        <v>-0.79991131278656713</v>
      </c>
      <c r="I476" s="9">
        <f t="shared" si="89"/>
        <v>-8.0312776733349866E-3</v>
      </c>
      <c r="J476" s="9">
        <f t="shared" si="90"/>
        <v>81041.540000000008</v>
      </c>
      <c r="K476" s="9">
        <f t="shared" si="81"/>
        <v>81262.647666666671</v>
      </c>
      <c r="L476" s="9">
        <f t="shared" ref="L476:L539" si="92">AVERAGE(C387:C476)</f>
        <v>83710.784777777793</v>
      </c>
      <c r="M476" s="9">
        <f t="shared" si="91"/>
        <v>8.1733498404539771E-3</v>
      </c>
      <c r="N476" s="9">
        <f t="shared" si="82"/>
        <v>8.0820024508641269E-3</v>
      </c>
    </row>
    <row r="477" spans="1:14" x14ac:dyDescent="0.35">
      <c r="A477" s="1">
        <v>43066</v>
      </c>
      <c r="B477" s="2" t="s">
        <v>477</v>
      </c>
      <c r="C477">
        <f t="shared" si="83"/>
        <v>80620.02</v>
      </c>
      <c r="D477">
        <f t="shared" si="84"/>
        <v>2017</v>
      </c>
      <c r="E477">
        <f t="shared" si="85"/>
        <v>11</v>
      </c>
      <c r="F477" t="str">
        <f t="shared" si="87"/>
        <v>November</v>
      </c>
      <c r="G477">
        <f t="shared" si="86"/>
        <v>27</v>
      </c>
      <c r="H477" s="7">
        <f t="shared" si="88"/>
        <v>0.21717860245675777</v>
      </c>
      <c r="I477" s="9">
        <f t="shared" si="89"/>
        <v>2.169431106268732E-3</v>
      </c>
      <c r="J477" s="9">
        <f t="shared" si="90"/>
        <v>81082.362857142856</v>
      </c>
      <c r="K477" s="9">
        <f t="shared" si="81"/>
        <v>81149.109000000011</v>
      </c>
      <c r="L477" s="9">
        <f t="shared" si="92"/>
        <v>83675.070444444456</v>
      </c>
      <c r="M477" s="9">
        <f t="shared" si="91"/>
        <v>7.9938656021988595E-3</v>
      </c>
      <c r="N477" s="9">
        <f t="shared" si="82"/>
        <v>8.0267746355009665E-3</v>
      </c>
    </row>
    <row r="478" spans="1:14" x14ac:dyDescent="0.35">
      <c r="A478" s="1">
        <v>43067</v>
      </c>
      <c r="B478" s="2" t="s">
        <v>478</v>
      </c>
      <c r="C478">
        <f t="shared" si="83"/>
        <v>80783.509999999995</v>
      </c>
      <c r="D478">
        <f t="shared" si="84"/>
        <v>2017</v>
      </c>
      <c r="E478">
        <f t="shared" si="85"/>
        <v>11</v>
      </c>
      <c r="F478" t="str">
        <f t="shared" si="87"/>
        <v>November</v>
      </c>
      <c r="G478">
        <f t="shared" si="86"/>
        <v>28</v>
      </c>
      <c r="H478" s="7">
        <f t="shared" si="88"/>
        <v>0.20279082044384347</v>
      </c>
      <c r="I478" s="9">
        <f t="shared" si="89"/>
        <v>2.0258547742390606E-3</v>
      </c>
      <c r="J478" s="9">
        <f t="shared" si="90"/>
        <v>81129.638571428572</v>
      </c>
      <c r="K478" s="9">
        <f t="shared" si="81"/>
        <v>81049.115999999995</v>
      </c>
      <c r="L478" s="9">
        <f t="shared" si="92"/>
        <v>83641.519333333345</v>
      </c>
      <c r="M478" s="9">
        <f t="shared" si="91"/>
        <v>8.0077392558818173E-3</v>
      </c>
      <c r="N478" s="9">
        <f t="shared" si="82"/>
        <v>8.0449953312190514E-3</v>
      </c>
    </row>
    <row r="479" spans="1:14" x14ac:dyDescent="0.35">
      <c r="A479" s="1">
        <v>43068</v>
      </c>
      <c r="B479" s="2" t="s">
        <v>479</v>
      </c>
      <c r="C479">
        <f t="shared" si="83"/>
        <v>80797.38</v>
      </c>
      <c r="D479">
        <f t="shared" si="84"/>
        <v>2017</v>
      </c>
      <c r="E479">
        <f t="shared" si="85"/>
        <v>11</v>
      </c>
      <c r="F479" t="str">
        <f t="shared" si="87"/>
        <v>November</v>
      </c>
      <c r="G479">
        <f t="shared" si="86"/>
        <v>29</v>
      </c>
      <c r="H479" s="7">
        <f t="shared" si="88"/>
        <v>1.7169345575613011E-2</v>
      </c>
      <c r="I479" s="9">
        <f t="shared" si="89"/>
        <v>1.7167871812157705E-4</v>
      </c>
      <c r="J479" s="9">
        <f t="shared" si="90"/>
        <v>81082.967142857146</v>
      </c>
      <c r="K479" s="9">
        <f t="shared" si="81"/>
        <v>80949.051999999996</v>
      </c>
      <c r="L479" s="9">
        <f t="shared" si="92"/>
        <v>83603.692999999999</v>
      </c>
      <c r="M479" s="9">
        <f t="shared" si="91"/>
        <v>7.2544953653492688E-3</v>
      </c>
      <c r="N479" s="9">
        <f t="shared" si="82"/>
        <v>8.0448799329507891E-3</v>
      </c>
    </row>
    <row r="480" spans="1:14" x14ac:dyDescent="0.35">
      <c r="A480" s="1">
        <v>43069</v>
      </c>
      <c r="B480" s="2" t="s">
        <v>480</v>
      </c>
      <c r="C480">
        <f t="shared" si="83"/>
        <v>81155.28</v>
      </c>
      <c r="D480">
        <f t="shared" si="84"/>
        <v>2017</v>
      </c>
      <c r="E480">
        <f t="shared" si="85"/>
        <v>11</v>
      </c>
      <c r="F480" t="str">
        <f t="shared" si="87"/>
        <v>November</v>
      </c>
      <c r="G480">
        <f t="shared" si="86"/>
        <v>30</v>
      </c>
      <c r="H480" s="7">
        <f t="shared" si="88"/>
        <v>0.44295990785839112</v>
      </c>
      <c r="I480" s="9">
        <f t="shared" si="89"/>
        <v>4.4198172802442067E-3</v>
      </c>
      <c r="J480" s="9">
        <f t="shared" si="90"/>
        <v>80940.282857142854</v>
      </c>
      <c r="K480" s="9">
        <f t="shared" ref="K480:K543" si="93">AVERAGE(C451:C480)</f>
        <v>80893.413333333316</v>
      </c>
      <c r="L480" s="9">
        <f t="shared" si="92"/>
        <v>83563.512444444452</v>
      </c>
      <c r="M480" s="9">
        <f t="shared" si="91"/>
        <v>5.1165611428798646E-3</v>
      </c>
      <c r="N480" s="9">
        <f t="shared" si="82"/>
        <v>7.8565523768924072E-3</v>
      </c>
    </row>
    <row r="481" spans="1:14" x14ac:dyDescent="0.35">
      <c r="A481" s="1">
        <v>43070</v>
      </c>
      <c r="B481" s="2" t="s">
        <v>481</v>
      </c>
      <c r="C481">
        <f t="shared" si="83"/>
        <v>80772.78</v>
      </c>
      <c r="D481">
        <f t="shared" si="84"/>
        <v>2017</v>
      </c>
      <c r="E481">
        <f t="shared" si="85"/>
        <v>12</v>
      </c>
      <c r="F481" t="str">
        <f t="shared" si="87"/>
        <v>December</v>
      </c>
      <c r="G481">
        <f t="shared" si="86"/>
        <v>1</v>
      </c>
      <c r="H481" s="7">
        <f t="shared" si="88"/>
        <v>-0.47131868684329598</v>
      </c>
      <c r="I481" s="9">
        <f t="shared" si="89"/>
        <v>-4.7243289572778489E-3</v>
      </c>
      <c r="J481" s="9">
        <f t="shared" si="90"/>
        <v>80809.752857142856</v>
      </c>
      <c r="K481" s="9">
        <f t="shared" si="93"/>
        <v>80844.958333333299</v>
      </c>
      <c r="L481" s="9">
        <f t="shared" si="92"/>
        <v>83515.159777777793</v>
      </c>
      <c r="M481" s="9">
        <f t="shared" si="91"/>
        <v>5.0019120906623403E-3</v>
      </c>
      <c r="N481" s="9">
        <f t="shared" ref="N481:N544" si="94">STDEV(I452:I481)</f>
        <v>7.7971193413256838E-3</v>
      </c>
    </row>
    <row r="482" spans="1:14" x14ac:dyDescent="0.35">
      <c r="A482" s="1">
        <v>43073</v>
      </c>
      <c r="B482" s="2" t="s">
        <v>482</v>
      </c>
      <c r="C482">
        <f t="shared" si="83"/>
        <v>79435.12</v>
      </c>
      <c r="D482">
        <f t="shared" si="84"/>
        <v>2017</v>
      </c>
      <c r="E482">
        <f t="shared" si="85"/>
        <v>12</v>
      </c>
      <c r="F482" t="str">
        <f t="shared" si="87"/>
        <v>December</v>
      </c>
      <c r="G482">
        <f t="shared" si="86"/>
        <v>4</v>
      </c>
      <c r="H482" s="7">
        <f t="shared" si="88"/>
        <v>-1.6560777034045424</v>
      </c>
      <c r="I482" s="9">
        <f t="shared" si="89"/>
        <v>-1.6699439741769878E-2</v>
      </c>
      <c r="J482" s="9">
        <f t="shared" si="90"/>
        <v>80572.771428571432</v>
      </c>
      <c r="K482" s="9">
        <f t="shared" si="93"/>
        <v>80779.384999999995</v>
      </c>
      <c r="L482" s="9">
        <f t="shared" si="92"/>
        <v>83442.236444444454</v>
      </c>
      <c r="M482" s="9">
        <f t="shared" si="91"/>
        <v>7.4502959890673315E-3</v>
      </c>
      <c r="N482" s="9">
        <f t="shared" si="94"/>
        <v>8.1602897728677622E-3</v>
      </c>
    </row>
    <row r="483" spans="1:14" x14ac:dyDescent="0.35">
      <c r="A483" s="1">
        <v>43074</v>
      </c>
      <c r="B483" s="2" t="s">
        <v>483</v>
      </c>
      <c r="C483">
        <f t="shared" si="83"/>
        <v>79853.83</v>
      </c>
      <c r="D483">
        <f t="shared" si="84"/>
        <v>2017</v>
      </c>
      <c r="E483">
        <f t="shared" si="85"/>
        <v>12</v>
      </c>
      <c r="F483" t="str">
        <f t="shared" si="87"/>
        <v>December</v>
      </c>
      <c r="G483">
        <f t="shared" si="86"/>
        <v>5</v>
      </c>
      <c r="H483" s="7">
        <f t="shared" si="88"/>
        <v>0.52710941961188762</v>
      </c>
      <c r="I483" s="9">
        <f t="shared" si="89"/>
        <v>5.2572506050463054E-3</v>
      </c>
      <c r="J483" s="9">
        <f t="shared" si="90"/>
        <v>80488.274285714273</v>
      </c>
      <c r="K483" s="9">
        <f t="shared" si="93"/>
        <v>80742.638666666666</v>
      </c>
      <c r="L483" s="9">
        <f t="shared" si="92"/>
        <v>83381.392888888877</v>
      </c>
      <c r="M483" s="9">
        <f t="shared" si="91"/>
        <v>7.6313384649730944E-3</v>
      </c>
      <c r="N483" s="9">
        <f t="shared" si="94"/>
        <v>8.183757079719545E-3</v>
      </c>
    </row>
    <row r="484" spans="1:14" x14ac:dyDescent="0.35">
      <c r="A484" s="1">
        <v>43075</v>
      </c>
      <c r="B484" s="2" t="s">
        <v>484</v>
      </c>
      <c r="C484">
        <f t="shared" si="83"/>
        <v>79707.11</v>
      </c>
      <c r="D484">
        <f t="shared" si="84"/>
        <v>2017</v>
      </c>
      <c r="E484">
        <f t="shared" si="85"/>
        <v>12</v>
      </c>
      <c r="F484" t="str">
        <f t="shared" si="87"/>
        <v>December</v>
      </c>
      <c r="G484">
        <f t="shared" si="86"/>
        <v>6</v>
      </c>
      <c r="H484" s="7">
        <f t="shared" si="88"/>
        <v>-0.18373570810567402</v>
      </c>
      <c r="I484" s="9">
        <f t="shared" si="89"/>
        <v>-1.8390470919980061E-3</v>
      </c>
      <c r="J484" s="9">
        <f t="shared" si="90"/>
        <v>80357.858571428573</v>
      </c>
      <c r="K484" s="9">
        <f t="shared" si="93"/>
        <v>80714.18299999999</v>
      </c>
      <c r="L484" s="9">
        <f t="shared" si="92"/>
        <v>83304.328999999998</v>
      </c>
      <c r="M484" s="9">
        <f t="shared" si="91"/>
        <v>7.4983592546012121E-3</v>
      </c>
      <c r="N484" s="9">
        <f t="shared" si="94"/>
        <v>8.1455111081840861E-3</v>
      </c>
    </row>
    <row r="485" spans="1:14" x14ac:dyDescent="0.35">
      <c r="A485" s="1">
        <v>43076</v>
      </c>
      <c r="B485" s="2" t="s">
        <v>485</v>
      </c>
      <c r="C485">
        <f t="shared" si="83"/>
        <v>78969.33</v>
      </c>
      <c r="D485">
        <f t="shared" si="84"/>
        <v>2017</v>
      </c>
      <c r="E485">
        <f t="shared" si="85"/>
        <v>12</v>
      </c>
      <c r="F485" t="str">
        <f t="shared" si="87"/>
        <v>December</v>
      </c>
      <c r="G485">
        <f t="shared" si="86"/>
        <v>7</v>
      </c>
      <c r="H485" s="7">
        <f t="shared" si="88"/>
        <v>-0.92561378777878023</v>
      </c>
      <c r="I485" s="9">
        <f t="shared" si="89"/>
        <v>-9.299242114015574E-3</v>
      </c>
      <c r="J485" s="9">
        <f t="shared" si="90"/>
        <v>80098.689999999988</v>
      </c>
      <c r="K485" s="9">
        <f t="shared" si="93"/>
        <v>80655.183666666693</v>
      </c>
      <c r="L485" s="9">
        <f t="shared" si="92"/>
        <v>83223.725999999995</v>
      </c>
      <c r="M485" s="9">
        <f t="shared" si="91"/>
        <v>7.794787750257816E-3</v>
      </c>
      <c r="N485" s="9">
        <f t="shared" si="94"/>
        <v>8.2902354754845285E-3</v>
      </c>
    </row>
    <row r="486" spans="1:14" x14ac:dyDescent="0.35">
      <c r="A486" s="1">
        <v>43077</v>
      </c>
      <c r="B486" s="2" t="s">
        <v>486</v>
      </c>
      <c r="C486">
        <f t="shared" si="83"/>
        <v>79252.39</v>
      </c>
      <c r="D486">
        <f t="shared" si="84"/>
        <v>2017</v>
      </c>
      <c r="E486">
        <f t="shared" si="85"/>
        <v>12</v>
      </c>
      <c r="F486" t="str">
        <f t="shared" si="87"/>
        <v>December</v>
      </c>
      <c r="G486">
        <f t="shared" si="86"/>
        <v>8</v>
      </c>
      <c r="H486" s="7">
        <f t="shared" si="88"/>
        <v>0.35844295500544032</v>
      </c>
      <c r="I486" s="9">
        <f t="shared" si="89"/>
        <v>3.5780207923826282E-3</v>
      </c>
      <c r="J486" s="9">
        <f t="shared" si="90"/>
        <v>79877.97714285714</v>
      </c>
      <c r="K486" s="9">
        <f t="shared" si="93"/>
        <v>80618.101333333354</v>
      </c>
      <c r="L486" s="9">
        <f t="shared" si="92"/>
        <v>83146.546222222212</v>
      </c>
      <c r="M486" s="9">
        <f t="shared" si="91"/>
        <v>8.1422046256987273E-3</v>
      </c>
      <c r="N486" s="9">
        <f t="shared" si="94"/>
        <v>8.2925103646788317E-3</v>
      </c>
    </row>
    <row r="487" spans="1:14" x14ac:dyDescent="0.35">
      <c r="A487" s="1">
        <v>43080</v>
      </c>
      <c r="B487" s="2" t="s">
        <v>487</v>
      </c>
      <c r="C487">
        <f t="shared" si="83"/>
        <v>79577.570000000007</v>
      </c>
      <c r="D487">
        <f t="shared" si="84"/>
        <v>2017</v>
      </c>
      <c r="E487">
        <f t="shared" si="85"/>
        <v>12</v>
      </c>
      <c r="F487" t="str">
        <f t="shared" si="87"/>
        <v>December</v>
      </c>
      <c r="G487">
        <f t="shared" si="86"/>
        <v>11</v>
      </c>
      <c r="H487" s="7">
        <f t="shared" si="88"/>
        <v>0.41030939256217708</v>
      </c>
      <c r="I487" s="9">
        <f t="shared" si="89"/>
        <v>4.0946991908295616E-3</v>
      </c>
      <c r="J487" s="9">
        <f t="shared" si="90"/>
        <v>79652.59</v>
      </c>
      <c r="K487" s="9">
        <f t="shared" si="93"/>
        <v>80623.018666666685</v>
      </c>
      <c r="L487" s="9">
        <f t="shared" si="92"/>
        <v>83082.021222222218</v>
      </c>
      <c r="M487" s="9">
        <f t="shared" si="91"/>
        <v>8.0952271123831826E-3</v>
      </c>
      <c r="N487" s="9">
        <f t="shared" si="94"/>
        <v>8.0524977185897142E-3</v>
      </c>
    </row>
    <row r="488" spans="1:14" x14ac:dyDescent="0.35">
      <c r="A488" s="1">
        <v>43081</v>
      </c>
      <c r="B488" s="2" t="s">
        <v>488</v>
      </c>
      <c r="C488">
        <f t="shared" si="83"/>
        <v>80263.14</v>
      </c>
      <c r="D488">
        <f t="shared" si="84"/>
        <v>2017</v>
      </c>
      <c r="E488">
        <f t="shared" si="85"/>
        <v>12</v>
      </c>
      <c r="F488" t="str">
        <f t="shared" si="87"/>
        <v>December</v>
      </c>
      <c r="G488">
        <f t="shared" si="86"/>
        <v>12</v>
      </c>
      <c r="H488" s="7">
        <f t="shared" si="88"/>
        <v>0.86151160433774532</v>
      </c>
      <c r="I488" s="9">
        <f t="shared" si="89"/>
        <v>8.5782177020358487E-3</v>
      </c>
      <c r="J488" s="9">
        <f t="shared" si="90"/>
        <v>79579.784285714282</v>
      </c>
      <c r="K488" s="9">
        <f t="shared" si="93"/>
        <v>80645.869666666695</v>
      </c>
      <c r="L488" s="9">
        <f t="shared" si="92"/>
        <v>83009.844555555566</v>
      </c>
      <c r="M488" s="9">
        <f t="shared" si="91"/>
        <v>9.0719281767505586E-3</v>
      </c>
      <c r="N488" s="9">
        <f t="shared" si="94"/>
        <v>8.1963871260622486E-3</v>
      </c>
    </row>
    <row r="489" spans="1:14" x14ac:dyDescent="0.35">
      <c r="A489" s="1">
        <v>43082</v>
      </c>
      <c r="B489" s="2" t="s">
        <v>489</v>
      </c>
      <c r="C489">
        <f t="shared" si="83"/>
        <v>79767.56</v>
      </c>
      <c r="D489">
        <f t="shared" si="84"/>
        <v>2017</v>
      </c>
      <c r="E489">
        <f t="shared" si="85"/>
        <v>12</v>
      </c>
      <c r="F489" t="str">
        <f t="shared" si="87"/>
        <v>December</v>
      </c>
      <c r="G489">
        <f t="shared" si="86"/>
        <v>13</v>
      </c>
      <c r="H489" s="7">
        <f t="shared" si="88"/>
        <v>-0.61744407208589369</v>
      </c>
      <c r="I489" s="9">
        <f t="shared" si="89"/>
        <v>-6.1935814093379239E-3</v>
      </c>
      <c r="J489" s="9">
        <f t="shared" si="90"/>
        <v>79627.275714285715</v>
      </c>
      <c r="K489" s="9">
        <f t="shared" si="93"/>
        <v>80620.169333333353</v>
      </c>
      <c r="L489" s="9">
        <f t="shared" si="92"/>
        <v>82926.14</v>
      </c>
      <c r="M489" s="9">
        <f t="shared" si="91"/>
        <v>6.5386043944908089E-3</v>
      </c>
      <c r="N489" s="9">
        <f t="shared" si="94"/>
        <v>7.9695291886162038E-3</v>
      </c>
    </row>
    <row r="490" spans="1:14" x14ac:dyDescent="0.35">
      <c r="A490" s="1">
        <v>43083</v>
      </c>
      <c r="B490" s="2" t="s">
        <v>490</v>
      </c>
      <c r="C490">
        <f t="shared" si="83"/>
        <v>80073.05</v>
      </c>
      <c r="D490">
        <f t="shared" si="84"/>
        <v>2017</v>
      </c>
      <c r="E490">
        <f t="shared" si="85"/>
        <v>12</v>
      </c>
      <c r="F490" t="str">
        <f t="shared" si="87"/>
        <v>December</v>
      </c>
      <c r="G490">
        <f t="shared" si="86"/>
        <v>14</v>
      </c>
      <c r="H490" s="7">
        <f t="shared" si="88"/>
        <v>0.38297523454397409</v>
      </c>
      <c r="I490" s="9">
        <f t="shared" si="89"/>
        <v>3.8224375139731918E-3</v>
      </c>
      <c r="J490" s="9">
        <f t="shared" si="90"/>
        <v>79658.592857142867</v>
      </c>
      <c r="K490" s="9">
        <f t="shared" si="93"/>
        <v>80560.310333333342</v>
      </c>
      <c r="L490" s="9">
        <f t="shared" si="92"/>
        <v>82842.022222222207</v>
      </c>
      <c r="M490" s="9">
        <f t="shared" si="91"/>
        <v>6.3889278969985397E-3</v>
      </c>
      <c r="N490" s="9">
        <f t="shared" si="94"/>
        <v>7.3691268050308546E-3</v>
      </c>
    </row>
    <row r="491" spans="1:14" x14ac:dyDescent="0.35">
      <c r="A491" s="1">
        <v>43084</v>
      </c>
      <c r="B491" s="2" t="s">
        <v>491</v>
      </c>
      <c r="C491">
        <f t="shared" si="83"/>
        <v>80713.72</v>
      </c>
      <c r="D491">
        <f t="shared" si="84"/>
        <v>2017</v>
      </c>
      <c r="E491">
        <f t="shared" si="85"/>
        <v>12</v>
      </c>
      <c r="F491" t="str">
        <f t="shared" si="87"/>
        <v>December</v>
      </c>
      <c r="G491">
        <f t="shared" si="86"/>
        <v>15</v>
      </c>
      <c r="H491" s="7">
        <f t="shared" si="88"/>
        <v>0.80010690238475757</v>
      </c>
      <c r="I491" s="9">
        <f t="shared" si="89"/>
        <v>7.9692301881459232E-3</v>
      </c>
      <c r="J491" s="9">
        <f t="shared" si="90"/>
        <v>79802.394285714283</v>
      </c>
      <c r="K491" s="9">
        <f t="shared" si="93"/>
        <v>80491.930333333352</v>
      </c>
      <c r="L491" s="9">
        <f t="shared" si="92"/>
        <v>82771.998999999996</v>
      </c>
      <c r="M491" s="9">
        <f t="shared" si="91"/>
        <v>6.8752097074726215E-3</v>
      </c>
      <c r="N491" s="9">
        <f t="shared" si="94"/>
        <v>7.228214440042938E-3</v>
      </c>
    </row>
    <row r="492" spans="1:14" x14ac:dyDescent="0.35">
      <c r="A492" s="1">
        <v>43087</v>
      </c>
      <c r="B492" s="2" t="s">
        <v>492</v>
      </c>
      <c r="C492">
        <f t="shared" si="83"/>
        <v>79748.83</v>
      </c>
      <c r="D492">
        <f t="shared" si="84"/>
        <v>2017</v>
      </c>
      <c r="E492">
        <f t="shared" si="85"/>
        <v>12</v>
      </c>
      <c r="F492" t="str">
        <f t="shared" si="87"/>
        <v>December</v>
      </c>
      <c r="G492">
        <f t="shared" si="86"/>
        <v>18</v>
      </c>
      <c r="H492" s="7">
        <f t="shared" si="88"/>
        <v>-1.1954473167634938</v>
      </c>
      <c r="I492" s="9">
        <f t="shared" si="89"/>
        <v>-1.2026502506067004E-2</v>
      </c>
      <c r="J492" s="9">
        <f t="shared" si="90"/>
        <v>79913.751428571428</v>
      </c>
      <c r="K492" s="9">
        <f t="shared" si="93"/>
        <v>80443.603333333347</v>
      </c>
      <c r="L492" s="9">
        <f t="shared" si="92"/>
        <v>82692.127777777772</v>
      </c>
      <c r="M492" s="9">
        <f t="shared" si="91"/>
        <v>7.6429526597929769E-3</v>
      </c>
      <c r="N492" s="9">
        <f t="shared" si="94"/>
        <v>6.7078330299793808E-3</v>
      </c>
    </row>
    <row r="493" spans="1:14" x14ac:dyDescent="0.35">
      <c r="A493" s="1">
        <v>43088</v>
      </c>
      <c r="B493" s="2" t="s">
        <v>493</v>
      </c>
      <c r="C493">
        <f t="shared" si="83"/>
        <v>77053.78</v>
      </c>
      <c r="D493">
        <f t="shared" si="84"/>
        <v>2017</v>
      </c>
      <c r="E493">
        <f t="shared" si="85"/>
        <v>12</v>
      </c>
      <c r="F493" t="str">
        <f t="shared" si="87"/>
        <v>December</v>
      </c>
      <c r="G493">
        <f t="shared" si="86"/>
        <v>19</v>
      </c>
      <c r="H493" s="7">
        <f t="shared" si="88"/>
        <v>-3.3794226197425128</v>
      </c>
      <c r="I493" s="9">
        <f t="shared" si="89"/>
        <v>-3.4378451095609011E-2</v>
      </c>
      <c r="J493" s="9">
        <f t="shared" si="90"/>
        <v>79599.664285714287</v>
      </c>
      <c r="K493" s="9">
        <f t="shared" si="93"/>
        <v>80311.674333333329</v>
      </c>
      <c r="L493" s="9">
        <f t="shared" si="92"/>
        <v>82587.56766666667</v>
      </c>
      <c r="M493" s="9">
        <f t="shared" si="91"/>
        <v>1.5385453005514733E-2</v>
      </c>
      <c r="N493" s="9">
        <f t="shared" si="94"/>
        <v>9.1134732087068283E-3</v>
      </c>
    </row>
    <row r="494" spans="1:14" x14ac:dyDescent="0.35">
      <c r="A494" s="1">
        <v>43089</v>
      </c>
      <c r="B494" s="2" t="s">
        <v>494</v>
      </c>
      <c r="C494">
        <f t="shared" si="83"/>
        <v>76382.02</v>
      </c>
      <c r="D494">
        <f t="shared" si="84"/>
        <v>2017</v>
      </c>
      <c r="E494">
        <f t="shared" si="85"/>
        <v>12</v>
      </c>
      <c r="F494" t="str">
        <f t="shared" si="87"/>
        <v>December</v>
      </c>
      <c r="G494">
        <f t="shared" si="86"/>
        <v>20</v>
      </c>
      <c r="H494" s="7">
        <f t="shared" si="88"/>
        <v>-0.87180667840045589</v>
      </c>
      <c r="I494" s="9">
        <f t="shared" si="89"/>
        <v>-8.7562914538705846E-3</v>
      </c>
      <c r="J494" s="9">
        <f t="shared" si="90"/>
        <v>79143.157142857133</v>
      </c>
      <c r="K494" s="9">
        <f t="shared" si="93"/>
        <v>80153.724666666676</v>
      </c>
      <c r="L494" s="9">
        <f t="shared" si="92"/>
        <v>82472.335888888891</v>
      </c>
      <c r="M494" s="9">
        <f t="shared" si="91"/>
        <v>1.5018248596416555E-2</v>
      </c>
      <c r="N494" s="9">
        <f t="shared" si="94"/>
        <v>9.1846049293792999E-3</v>
      </c>
    </row>
    <row r="495" spans="1:14" x14ac:dyDescent="0.35">
      <c r="A495" s="1">
        <v>43090</v>
      </c>
      <c r="B495" s="2" t="s">
        <v>495</v>
      </c>
      <c r="C495">
        <f t="shared" si="83"/>
        <v>77050.8</v>
      </c>
      <c r="D495">
        <f t="shared" si="84"/>
        <v>2017</v>
      </c>
      <c r="E495">
        <f t="shared" si="85"/>
        <v>12</v>
      </c>
      <c r="F495" t="str">
        <f t="shared" si="87"/>
        <v>December</v>
      </c>
      <c r="G495">
        <f t="shared" si="86"/>
        <v>21</v>
      </c>
      <c r="H495" s="7">
        <f t="shared" si="88"/>
        <v>0.87557254966548259</v>
      </c>
      <c r="I495" s="9">
        <f t="shared" si="89"/>
        <v>8.7176164190290849E-3</v>
      </c>
      <c r="J495" s="9">
        <f t="shared" si="90"/>
        <v>78684.251428571428</v>
      </c>
      <c r="K495" s="9">
        <f t="shared" si="93"/>
        <v>80032.811333333346</v>
      </c>
      <c r="L495" s="9">
        <f t="shared" si="92"/>
        <v>82360.938666666654</v>
      </c>
      <c r="M495" s="9">
        <f t="shared" si="91"/>
        <v>1.5040652374684575E-2</v>
      </c>
      <c r="N495" s="9">
        <f t="shared" si="94"/>
        <v>9.3636630980551052E-3</v>
      </c>
    </row>
    <row r="496" spans="1:14" x14ac:dyDescent="0.35">
      <c r="A496" s="1">
        <v>43091</v>
      </c>
      <c r="B496" s="2" t="s">
        <v>496</v>
      </c>
      <c r="C496">
        <f t="shared" si="83"/>
        <v>76077.3</v>
      </c>
      <c r="D496">
        <f t="shared" si="84"/>
        <v>2017</v>
      </c>
      <c r="E496">
        <f t="shared" si="85"/>
        <v>12</v>
      </c>
      <c r="F496" t="str">
        <f t="shared" si="87"/>
        <v>December</v>
      </c>
      <c r="G496">
        <f t="shared" si="86"/>
        <v>22</v>
      </c>
      <c r="H496" s="7">
        <f t="shared" si="88"/>
        <v>-1.2634521640268497</v>
      </c>
      <c r="I496" s="9">
        <f t="shared" si="89"/>
        <v>-1.2715015932094148E-2</v>
      </c>
      <c r="J496" s="9">
        <f t="shared" si="90"/>
        <v>78157.071428571435</v>
      </c>
      <c r="K496" s="9">
        <f t="shared" si="93"/>
        <v>79882.21666666666</v>
      </c>
      <c r="L496" s="9">
        <f t="shared" si="92"/>
        <v>82237.33655555555</v>
      </c>
      <c r="M496" s="9">
        <f t="shared" si="91"/>
        <v>1.5266831063417231E-2</v>
      </c>
      <c r="N496" s="9">
        <f t="shared" si="94"/>
        <v>9.5824735366261769E-3</v>
      </c>
    </row>
    <row r="497" spans="1:14" x14ac:dyDescent="0.35">
      <c r="A497" s="1">
        <v>43096</v>
      </c>
      <c r="B497" s="2" t="s">
        <v>497</v>
      </c>
      <c r="C497">
        <f t="shared" si="83"/>
        <v>76188.160000000003</v>
      </c>
      <c r="D497">
        <f t="shared" si="84"/>
        <v>2017</v>
      </c>
      <c r="E497">
        <f t="shared" si="85"/>
        <v>12</v>
      </c>
      <c r="F497" t="str">
        <f t="shared" si="87"/>
        <v>December</v>
      </c>
      <c r="G497">
        <f t="shared" si="86"/>
        <v>27</v>
      </c>
      <c r="H497" s="7">
        <f t="shared" si="88"/>
        <v>0.14572020826186075</v>
      </c>
      <c r="I497" s="9">
        <f t="shared" si="89"/>
        <v>1.4561413939639999E-3</v>
      </c>
      <c r="J497" s="9">
        <f t="shared" si="90"/>
        <v>77602.087142857141</v>
      </c>
      <c r="K497" s="9">
        <f t="shared" si="93"/>
        <v>79731.607333333319</v>
      </c>
      <c r="L497" s="9">
        <f t="shared" si="92"/>
        <v>82121.845555555541</v>
      </c>
      <c r="M497" s="9">
        <f t="shared" si="91"/>
        <v>1.5017446029291382E-2</v>
      </c>
      <c r="N497" s="9">
        <f t="shared" si="94"/>
        <v>9.5833882890594448E-3</v>
      </c>
    </row>
    <row r="498" spans="1:14" x14ac:dyDescent="0.35">
      <c r="A498" s="1">
        <v>43097</v>
      </c>
      <c r="B498" s="2" t="s">
        <v>498</v>
      </c>
      <c r="C498">
        <f t="shared" si="83"/>
        <v>76851.78</v>
      </c>
      <c r="D498">
        <f t="shared" si="84"/>
        <v>2017</v>
      </c>
      <c r="E498">
        <f t="shared" si="85"/>
        <v>12</v>
      </c>
      <c r="F498" t="str">
        <f t="shared" si="87"/>
        <v>December</v>
      </c>
      <c r="G498">
        <f t="shared" si="86"/>
        <v>28</v>
      </c>
      <c r="H498" s="7">
        <f t="shared" si="88"/>
        <v>0.87102772924296279</v>
      </c>
      <c r="I498" s="9">
        <f t="shared" si="89"/>
        <v>8.6725616779132521E-3</v>
      </c>
      <c r="J498" s="9">
        <f t="shared" si="90"/>
        <v>77050.381428571432</v>
      </c>
      <c r="K498" s="9">
        <f t="shared" si="93"/>
        <v>79610.263666666666</v>
      </c>
      <c r="L498" s="9">
        <f t="shared" si="92"/>
        <v>82015.831888888875</v>
      </c>
      <c r="M498" s="9">
        <f t="shared" si="91"/>
        <v>1.5136986342846666E-2</v>
      </c>
      <c r="N498" s="9">
        <f t="shared" si="94"/>
        <v>9.774673429994123E-3</v>
      </c>
    </row>
    <row r="499" spans="1:14" x14ac:dyDescent="0.35">
      <c r="A499" s="1">
        <v>43098</v>
      </c>
      <c r="B499" s="2" t="s">
        <v>499</v>
      </c>
      <c r="C499">
        <f t="shared" si="83"/>
        <v>77123.64</v>
      </c>
      <c r="D499">
        <f t="shared" si="84"/>
        <v>2017</v>
      </c>
      <c r="E499">
        <f t="shared" si="85"/>
        <v>12</v>
      </c>
      <c r="F499" t="str">
        <f t="shared" si="87"/>
        <v>December</v>
      </c>
      <c r="G499">
        <f t="shared" si="86"/>
        <v>29</v>
      </c>
      <c r="H499" s="7">
        <f t="shared" si="88"/>
        <v>0.35374587289975662</v>
      </c>
      <c r="I499" s="9">
        <f t="shared" si="89"/>
        <v>3.5312166382953872E-3</v>
      </c>
      <c r="J499" s="9">
        <f t="shared" si="90"/>
        <v>76675.354285714289</v>
      </c>
      <c r="K499" s="9">
        <f t="shared" si="93"/>
        <v>79516.962666666674</v>
      </c>
      <c r="L499" s="9">
        <f t="shared" si="92"/>
        <v>81917.763777777756</v>
      </c>
      <c r="M499" s="9">
        <f t="shared" si="91"/>
        <v>1.5416260374868916E-2</v>
      </c>
      <c r="N499" s="9">
        <f t="shared" si="94"/>
        <v>9.7589631058510005E-3</v>
      </c>
    </row>
    <row r="500" spans="1:14" x14ac:dyDescent="0.35">
      <c r="A500" s="1">
        <v>43102</v>
      </c>
      <c r="B500" s="2" t="s">
        <v>500</v>
      </c>
      <c r="C500">
        <f t="shared" si="83"/>
        <v>76829.13</v>
      </c>
      <c r="D500">
        <f t="shared" si="84"/>
        <v>2018</v>
      </c>
      <c r="E500">
        <f t="shared" si="85"/>
        <v>1</v>
      </c>
      <c r="F500" t="str">
        <f t="shared" si="87"/>
        <v>January</v>
      </c>
      <c r="G500">
        <f t="shared" si="86"/>
        <v>2</v>
      </c>
      <c r="H500" s="7">
        <f t="shared" si="88"/>
        <v>-0.38186734962197683</v>
      </c>
      <c r="I500" s="9">
        <f t="shared" si="89"/>
        <v>-3.8259832448178789E-3</v>
      </c>
      <c r="J500" s="9">
        <f t="shared" si="90"/>
        <v>76643.261428571437</v>
      </c>
      <c r="K500" s="9">
        <f t="shared" si="93"/>
        <v>79400.125000000015</v>
      </c>
      <c r="L500" s="9">
        <f t="shared" si="92"/>
        <v>81811.435666666628</v>
      </c>
      <c r="M500" s="9">
        <f t="shared" si="91"/>
        <v>8.3423074987763798E-3</v>
      </c>
      <c r="N500" s="9">
        <f t="shared" si="94"/>
        <v>9.6956406247966712E-3</v>
      </c>
    </row>
    <row r="501" spans="1:14" x14ac:dyDescent="0.35">
      <c r="A501" s="1">
        <v>43103</v>
      </c>
      <c r="B501" s="2" t="s">
        <v>501</v>
      </c>
      <c r="C501">
        <f t="shared" si="83"/>
        <v>76832.740000000005</v>
      </c>
      <c r="D501">
        <f t="shared" si="84"/>
        <v>2018</v>
      </c>
      <c r="E501">
        <f t="shared" si="85"/>
        <v>1</v>
      </c>
      <c r="F501" t="str">
        <f t="shared" si="87"/>
        <v>January</v>
      </c>
      <c r="G501">
        <f t="shared" si="86"/>
        <v>3</v>
      </c>
      <c r="H501" s="7">
        <f t="shared" si="88"/>
        <v>4.6987386164604253E-3</v>
      </c>
      <c r="I501" s="9">
        <f t="shared" si="89"/>
        <v>4.6986282291947935E-5</v>
      </c>
      <c r="J501" s="9">
        <f t="shared" si="90"/>
        <v>76707.650000000009</v>
      </c>
      <c r="K501" s="9">
        <f t="shared" si="93"/>
        <v>79279.463666666677</v>
      </c>
      <c r="L501" s="9">
        <f t="shared" si="92"/>
        <v>81707.916666666642</v>
      </c>
      <c r="M501" s="9">
        <f t="shared" si="91"/>
        <v>7.496297593241997E-3</v>
      </c>
      <c r="N501" s="9">
        <f t="shared" si="94"/>
        <v>9.684130137084971E-3</v>
      </c>
    </row>
    <row r="502" spans="1:14" x14ac:dyDescent="0.35">
      <c r="A502" s="1">
        <v>43104</v>
      </c>
      <c r="B502" s="2" t="s">
        <v>502</v>
      </c>
      <c r="C502">
        <f t="shared" si="83"/>
        <v>77746.23</v>
      </c>
      <c r="D502">
        <f t="shared" si="84"/>
        <v>2018</v>
      </c>
      <c r="E502">
        <f t="shared" si="85"/>
        <v>1</v>
      </c>
      <c r="F502" t="str">
        <f t="shared" si="87"/>
        <v>January</v>
      </c>
      <c r="G502">
        <f t="shared" si="86"/>
        <v>4</v>
      </c>
      <c r="H502" s="7">
        <f t="shared" si="88"/>
        <v>1.1889332594412103</v>
      </c>
      <c r="I502" s="9">
        <f t="shared" si="89"/>
        <v>1.18192097417025E-2</v>
      </c>
      <c r="J502" s="9">
        <f t="shared" si="90"/>
        <v>76806.997142857144</v>
      </c>
      <c r="K502" s="9">
        <f t="shared" si="93"/>
        <v>79166.868666666662</v>
      </c>
      <c r="L502" s="9">
        <f t="shared" si="92"/>
        <v>81622.954555555538</v>
      </c>
      <c r="M502" s="9">
        <f t="shared" si="91"/>
        <v>8.1063316901906317E-3</v>
      </c>
      <c r="N502" s="9">
        <f t="shared" si="94"/>
        <v>9.8272132639780942E-3</v>
      </c>
    </row>
    <row r="503" spans="1:14" x14ac:dyDescent="0.35">
      <c r="A503" s="1">
        <v>43105</v>
      </c>
      <c r="B503" s="2" t="s">
        <v>503</v>
      </c>
      <c r="C503">
        <f t="shared" si="83"/>
        <v>76704.259999999995</v>
      </c>
      <c r="D503">
        <f t="shared" si="84"/>
        <v>2018</v>
      </c>
      <c r="E503">
        <f t="shared" si="85"/>
        <v>1</v>
      </c>
      <c r="F503" t="str">
        <f t="shared" si="87"/>
        <v>January</v>
      </c>
      <c r="G503">
        <f t="shared" si="86"/>
        <v>5</v>
      </c>
      <c r="H503" s="7">
        <f t="shared" si="88"/>
        <v>-1.3402193263904902</v>
      </c>
      <c r="I503" s="9">
        <f t="shared" si="89"/>
        <v>-1.3492813237782756E-2</v>
      </c>
      <c r="J503" s="9">
        <f t="shared" si="90"/>
        <v>76896.562857142853</v>
      </c>
      <c r="K503" s="9">
        <f t="shared" si="93"/>
        <v>78985.208333333328</v>
      </c>
      <c r="L503" s="9">
        <f t="shared" si="92"/>
        <v>81527.036888888877</v>
      </c>
      <c r="M503" s="9">
        <f t="shared" si="91"/>
        <v>8.3323703945496035E-3</v>
      </c>
      <c r="N503" s="9">
        <f t="shared" si="94"/>
        <v>9.6967403921636355E-3</v>
      </c>
    </row>
    <row r="504" spans="1:14" x14ac:dyDescent="0.35">
      <c r="A504" s="1">
        <v>43108</v>
      </c>
      <c r="B504" s="2" t="s">
        <v>504</v>
      </c>
      <c r="C504">
        <f t="shared" si="83"/>
        <v>77161.710000000006</v>
      </c>
      <c r="D504">
        <f t="shared" si="84"/>
        <v>2018</v>
      </c>
      <c r="E504">
        <f t="shared" si="85"/>
        <v>1</v>
      </c>
      <c r="F504" t="str">
        <f t="shared" si="87"/>
        <v>January</v>
      </c>
      <c r="G504">
        <f t="shared" si="86"/>
        <v>8</v>
      </c>
      <c r="H504" s="7">
        <f t="shared" si="88"/>
        <v>0.59638147868190328</v>
      </c>
      <c r="I504" s="9">
        <f t="shared" si="89"/>
        <v>5.9461016338330647E-3</v>
      </c>
      <c r="J504" s="9">
        <f t="shared" si="90"/>
        <v>77035.641428571427</v>
      </c>
      <c r="K504" s="9">
        <f t="shared" si="93"/>
        <v>78834.382333333328</v>
      </c>
      <c r="L504" s="9">
        <f t="shared" si="92"/>
        <v>81434.486777777754</v>
      </c>
      <c r="M504" s="9">
        <f t="shared" si="91"/>
        <v>8.5283592312448715E-3</v>
      </c>
      <c r="N504" s="9">
        <f t="shared" si="94"/>
        <v>9.7880193737262446E-3</v>
      </c>
    </row>
    <row r="505" spans="1:14" x14ac:dyDescent="0.35">
      <c r="A505" s="1">
        <v>43109</v>
      </c>
      <c r="B505" s="2" t="s">
        <v>505</v>
      </c>
      <c r="C505">
        <f t="shared" si="83"/>
        <v>78576.14</v>
      </c>
      <c r="D505">
        <f t="shared" si="84"/>
        <v>2018</v>
      </c>
      <c r="E505">
        <f t="shared" si="85"/>
        <v>1</v>
      </c>
      <c r="F505" t="str">
        <f t="shared" si="87"/>
        <v>January</v>
      </c>
      <c r="G505">
        <f t="shared" si="86"/>
        <v>9</v>
      </c>
      <c r="H505" s="7">
        <f t="shared" si="88"/>
        <v>1.8330723878462425</v>
      </c>
      <c r="I505" s="9">
        <f t="shared" si="89"/>
        <v>1.8164741476024197E-2</v>
      </c>
      <c r="J505" s="9">
        <f t="shared" si="90"/>
        <v>77281.978571428568</v>
      </c>
      <c r="K505" s="9">
        <f t="shared" si="93"/>
        <v>78750.453999999998</v>
      </c>
      <c r="L505" s="9">
        <f t="shared" si="92"/>
        <v>81348.566999999981</v>
      </c>
      <c r="M505" s="9">
        <f t="shared" si="91"/>
        <v>1.0358850161642301E-2</v>
      </c>
      <c r="N505" s="9">
        <f t="shared" si="94"/>
        <v>1.0389650842831491E-2</v>
      </c>
    </row>
    <row r="506" spans="1:14" x14ac:dyDescent="0.35">
      <c r="A506" s="1">
        <v>43110</v>
      </c>
      <c r="B506" s="2" t="s">
        <v>506</v>
      </c>
      <c r="C506">
        <f t="shared" si="83"/>
        <v>78920.88</v>
      </c>
      <c r="D506">
        <f t="shared" si="84"/>
        <v>2018</v>
      </c>
      <c r="E506">
        <f t="shared" si="85"/>
        <v>1</v>
      </c>
      <c r="F506" t="str">
        <f t="shared" si="87"/>
        <v>January</v>
      </c>
      <c r="G506">
        <f t="shared" si="86"/>
        <v>10</v>
      </c>
      <c r="H506" s="7">
        <f t="shared" si="88"/>
        <v>0.4387336919324431</v>
      </c>
      <c r="I506" s="9">
        <f t="shared" si="89"/>
        <v>4.3777406146124024E-3</v>
      </c>
      <c r="J506" s="9">
        <f t="shared" si="90"/>
        <v>77538.727142857155</v>
      </c>
      <c r="K506" s="9">
        <f t="shared" si="93"/>
        <v>78699.63966666667</v>
      </c>
      <c r="L506" s="9">
        <f t="shared" si="92"/>
        <v>81266.21655555554</v>
      </c>
      <c r="M506" s="9">
        <f t="shared" si="91"/>
        <v>1.0368707560928161E-2</v>
      </c>
      <c r="N506" s="9">
        <f t="shared" si="94"/>
        <v>1.0349118826460051E-2</v>
      </c>
    </row>
    <row r="507" spans="1:14" x14ac:dyDescent="0.35">
      <c r="A507" s="1">
        <v>43111</v>
      </c>
      <c r="B507" s="2" t="s">
        <v>507</v>
      </c>
      <c r="C507">
        <f t="shared" si="83"/>
        <v>79150.84</v>
      </c>
      <c r="D507">
        <f t="shared" si="84"/>
        <v>2018</v>
      </c>
      <c r="E507">
        <f t="shared" si="85"/>
        <v>1</v>
      </c>
      <c r="F507" t="str">
        <f t="shared" si="87"/>
        <v>January</v>
      </c>
      <c r="G507">
        <f t="shared" si="86"/>
        <v>11</v>
      </c>
      <c r="H507" s="7">
        <f t="shared" si="88"/>
        <v>0.29138043062874092</v>
      </c>
      <c r="I507" s="9">
        <f t="shared" si="89"/>
        <v>2.909567406855022E-3</v>
      </c>
      <c r="J507" s="9">
        <f t="shared" si="90"/>
        <v>77870.400000000009</v>
      </c>
      <c r="K507" s="9">
        <f t="shared" si="93"/>
        <v>78650.666999999987</v>
      </c>
      <c r="L507" s="9">
        <f t="shared" si="92"/>
        <v>81184.991999999969</v>
      </c>
      <c r="M507" s="9">
        <f t="shared" si="91"/>
        <v>9.9001303364316205E-3</v>
      </c>
      <c r="N507" s="9">
        <f t="shared" si="94"/>
        <v>1.0356920810633934E-2</v>
      </c>
    </row>
    <row r="508" spans="1:14" x14ac:dyDescent="0.35">
      <c r="A508" s="1">
        <v>43112</v>
      </c>
      <c r="B508" s="2" t="s">
        <v>508</v>
      </c>
      <c r="C508">
        <f t="shared" si="83"/>
        <v>78956.070000000007</v>
      </c>
      <c r="D508">
        <f t="shared" si="84"/>
        <v>2018</v>
      </c>
      <c r="E508">
        <f t="shared" si="85"/>
        <v>1</v>
      </c>
      <c r="F508" t="str">
        <f t="shared" si="87"/>
        <v>January</v>
      </c>
      <c r="G508">
        <f t="shared" si="86"/>
        <v>12</v>
      </c>
      <c r="H508" s="7">
        <f t="shared" si="88"/>
        <v>-0.24607445732728739</v>
      </c>
      <c r="I508" s="9">
        <f t="shared" si="89"/>
        <v>-2.4637771812041397E-3</v>
      </c>
      <c r="J508" s="9">
        <f t="shared" si="90"/>
        <v>78173.732857142881</v>
      </c>
      <c r="K508" s="9">
        <f t="shared" si="93"/>
        <v>78589.752333333323</v>
      </c>
      <c r="L508" s="9">
        <f t="shared" si="92"/>
        <v>81094.334777777753</v>
      </c>
      <c r="M508" s="9">
        <f t="shared" si="91"/>
        <v>1.0120934159030936E-2</v>
      </c>
      <c r="N508" s="9">
        <f t="shared" si="94"/>
        <v>1.0349909043794358E-2</v>
      </c>
    </row>
    <row r="509" spans="1:14" x14ac:dyDescent="0.35">
      <c r="A509" s="1">
        <v>43115</v>
      </c>
      <c r="B509" s="2" t="s">
        <v>509</v>
      </c>
      <c r="C509">
        <f t="shared" si="83"/>
        <v>79492.570000000007</v>
      </c>
      <c r="D509">
        <f t="shared" si="84"/>
        <v>2018</v>
      </c>
      <c r="E509">
        <f t="shared" si="85"/>
        <v>1</v>
      </c>
      <c r="F509" t="str">
        <f t="shared" si="87"/>
        <v>January</v>
      </c>
      <c r="G509">
        <f t="shared" si="86"/>
        <v>15</v>
      </c>
      <c r="H509" s="7">
        <f t="shared" si="88"/>
        <v>0.67949177308343733</v>
      </c>
      <c r="I509" s="9">
        <f t="shared" si="89"/>
        <v>6.7719363231306829E-3</v>
      </c>
      <c r="J509" s="9">
        <f t="shared" si="90"/>
        <v>78423.209999999992</v>
      </c>
      <c r="K509" s="9">
        <f t="shared" si="93"/>
        <v>78546.258666666647</v>
      </c>
      <c r="L509" s="9">
        <f t="shared" si="92"/>
        <v>81015.147888888867</v>
      </c>
      <c r="M509" s="9">
        <f t="shared" si="91"/>
        <v>9.6301447849062877E-3</v>
      </c>
      <c r="N509" s="9">
        <f t="shared" si="94"/>
        <v>1.0440213321644997E-2</v>
      </c>
    </row>
    <row r="510" spans="1:14" x14ac:dyDescent="0.35">
      <c r="A510" s="1">
        <v>43116</v>
      </c>
      <c r="B510" s="2" t="s">
        <v>510</v>
      </c>
      <c r="C510">
        <f t="shared" si="83"/>
        <v>79808.070000000007</v>
      </c>
      <c r="D510">
        <f t="shared" si="84"/>
        <v>2018</v>
      </c>
      <c r="E510">
        <f t="shared" si="85"/>
        <v>1</v>
      </c>
      <c r="F510" t="str">
        <f t="shared" si="87"/>
        <v>January</v>
      </c>
      <c r="G510">
        <f t="shared" si="86"/>
        <v>16</v>
      </c>
      <c r="H510" s="7">
        <f t="shared" si="88"/>
        <v>0.39689243912984568</v>
      </c>
      <c r="I510" s="9">
        <f t="shared" si="89"/>
        <v>3.9610689890249105E-3</v>
      </c>
      <c r="J510" s="9">
        <f t="shared" si="90"/>
        <v>78866.611428571428</v>
      </c>
      <c r="K510" s="9">
        <f t="shared" si="93"/>
        <v>78501.35166666664</v>
      </c>
      <c r="L510" s="9">
        <f t="shared" si="92"/>
        <v>80940.255111111095</v>
      </c>
      <c r="M510" s="9">
        <f t="shared" si="91"/>
        <v>6.2686745818608018E-3</v>
      </c>
      <c r="N510" s="9">
        <f t="shared" si="94"/>
        <v>1.0433027653877451E-2</v>
      </c>
    </row>
    <row r="511" spans="1:14" x14ac:dyDescent="0.35">
      <c r="A511" s="1">
        <v>43117</v>
      </c>
      <c r="B511" s="2" t="s">
        <v>511</v>
      </c>
      <c r="C511">
        <f t="shared" si="83"/>
        <v>80072.990000000005</v>
      </c>
      <c r="D511">
        <f t="shared" si="84"/>
        <v>2018</v>
      </c>
      <c r="E511">
        <f t="shared" si="85"/>
        <v>1</v>
      </c>
      <c r="F511" t="str">
        <f t="shared" si="87"/>
        <v>January</v>
      </c>
      <c r="G511">
        <f t="shared" si="86"/>
        <v>17</v>
      </c>
      <c r="H511" s="7">
        <f t="shared" si="88"/>
        <v>0.33194638086098088</v>
      </c>
      <c r="I511" s="9">
        <f t="shared" si="89"/>
        <v>3.3139665505616581E-3</v>
      </c>
      <c r="J511" s="9">
        <f t="shared" si="90"/>
        <v>79282.508571428581</v>
      </c>
      <c r="K511" s="9">
        <f t="shared" si="93"/>
        <v>78478.025333333324</v>
      </c>
      <c r="L511" s="9">
        <f t="shared" si="92"/>
        <v>80856.847111111099</v>
      </c>
      <c r="M511" s="9">
        <f t="shared" si="91"/>
        <v>6.3277905876804735E-3</v>
      </c>
      <c r="N511" s="9">
        <f t="shared" si="94"/>
        <v>1.0425555126618441E-2</v>
      </c>
    </row>
    <row r="512" spans="1:14" x14ac:dyDescent="0.35">
      <c r="A512" s="1">
        <v>43118</v>
      </c>
      <c r="B512" s="2" t="s">
        <v>512</v>
      </c>
      <c r="C512">
        <f t="shared" si="83"/>
        <v>79530.63</v>
      </c>
      <c r="D512">
        <f t="shared" si="84"/>
        <v>2018</v>
      </c>
      <c r="E512">
        <f t="shared" si="85"/>
        <v>1</v>
      </c>
      <c r="F512" t="str">
        <f t="shared" si="87"/>
        <v>January</v>
      </c>
      <c r="G512">
        <f t="shared" si="86"/>
        <v>18</v>
      </c>
      <c r="H512" s="7">
        <f t="shared" si="88"/>
        <v>-0.677332019198984</v>
      </c>
      <c r="I512" s="9">
        <f t="shared" si="89"/>
        <v>-6.7963632360898982E-3</v>
      </c>
      <c r="J512" s="9">
        <f t="shared" si="90"/>
        <v>79418.864285714299</v>
      </c>
      <c r="K512" s="9">
        <f t="shared" si="93"/>
        <v>78481.209000000003</v>
      </c>
      <c r="L512" s="9">
        <f t="shared" si="92"/>
        <v>80770.218444444428</v>
      </c>
      <c r="M512" s="9">
        <f t="shared" si="91"/>
        <v>4.6832343480296603E-3</v>
      </c>
      <c r="N512" s="9">
        <f t="shared" si="94"/>
        <v>1.0037633937795151E-2</v>
      </c>
    </row>
    <row r="513" spans="1:14" x14ac:dyDescent="0.35">
      <c r="A513" s="1">
        <v>43119</v>
      </c>
      <c r="B513" s="2" t="s">
        <v>513</v>
      </c>
      <c r="C513">
        <f t="shared" si="83"/>
        <v>79508.98</v>
      </c>
      <c r="D513">
        <f t="shared" si="84"/>
        <v>2018</v>
      </c>
      <c r="E513">
        <f t="shared" si="85"/>
        <v>1</v>
      </c>
      <c r="F513" t="str">
        <f t="shared" si="87"/>
        <v>January</v>
      </c>
      <c r="G513">
        <f t="shared" si="86"/>
        <v>19</v>
      </c>
      <c r="H513" s="7">
        <f t="shared" si="88"/>
        <v>-2.7222216144910119E-2</v>
      </c>
      <c r="I513" s="9">
        <f t="shared" si="89"/>
        <v>-2.7225922062736264E-4</v>
      </c>
      <c r="J513" s="9">
        <f t="shared" si="90"/>
        <v>79502.878571428577</v>
      </c>
      <c r="K513" s="9">
        <f t="shared" si="93"/>
        <v>78469.714000000007</v>
      </c>
      <c r="L513" s="9">
        <f t="shared" si="92"/>
        <v>80698.536888888877</v>
      </c>
      <c r="M513" s="9">
        <f t="shared" si="91"/>
        <v>4.572709695303958E-3</v>
      </c>
      <c r="N513" s="9">
        <f t="shared" si="94"/>
        <v>9.9891803223364824E-3</v>
      </c>
    </row>
    <row r="514" spans="1:14" x14ac:dyDescent="0.35">
      <c r="A514" s="1">
        <v>43122</v>
      </c>
      <c r="B514" s="2" t="s">
        <v>514</v>
      </c>
      <c r="C514">
        <f t="shared" si="83"/>
        <v>79361.570000000007</v>
      </c>
      <c r="D514">
        <f t="shared" si="84"/>
        <v>2018</v>
      </c>
      <c r="E514">
        <f t="shared" si="85"/>
        <v>1</v>
      </c>
      <c r="F514" t="str">
        <f t="shared" si="87"/>
        <v>January</v>
      </c>
      <c r="G514">
        <f t="shared" si="86"/>
        <v>22</v>
      </c>
      <c r="H514" s="7">
        <f t="shared" si="88"/>
        <v>-0.18540044156017213</v>
      </c>
      <c r="I514" s="9">
        <f t="shared" si="89"/>
        <v>-1.8557252090228868E-3</v>
      </c>
      <c r="J514" s="9">
        <f t="shared" si="90"/>
        <v>79532.982857142852</v>
      </c>
      <c r="K514" s="9">
        <f t="shared" si="93"/>
        <v>78458.196000000011</v>
      </c>
      <c r="L514" s="9">
        <f t="shared" si="92"/>
        <v>80638.359555555551</v>
      </c>
      <c r="M514" s="9">
        <f t="shared" si="91"/>
        <v>4.6061594965656491E-3</v>
      </c>
      <c r="N514" s="9">
        <f t="shared" si="94"/>
        <v>9.9892783598738554E-3</v>
      </c>
    </row>
    <row r="515" spans="1:14" x14ac:dyDescent="0.35">
      <c r="A515" s="1">
        <v>43123</v>
      </c>
      <c r="B515" s="2" t="s">
        <v>515</v>
      </c>
      <c r="C515">
        <f t="shared" ref="C515:C578" si="95">_xlfn.NUMBERVALUE(B515,".",",")</f>
        <v>78632.58</v>
      </c>
      <c r="D515">
        <f t="shared" ref="D515:D578" si="96">YEAR(A515)</f>
        <v>2018</v>
      </c>
      <c r="E515">
        <f t="shared" ref="E515:E578" si="97">MONTH(A515)</f>
        <v>1</v>
      </c>
      <c r="F515" t="str">
        <f t="shared" si="87"/>
        <v>January</v>
      </c>
      <c r="G515">
        <f t="shared" ref="G515:G578" si="98">DAY(A515)</f>
        <v>23</v>
      </c>
      <c r="H515" s="7">
        <f t="shared" si="88"/>
        <v>-0.91856801724059278</v>
      </c>
      <c r="I515" s="9">
        <f t="shared" si="89"/>
        <v>-9.2281286780808332E-3</v>
      </c>
      <c r="J515" s="9">
        <f t="shared" si="90"/>
        <v>79486.77</v>
      </c>
      <c r="K515" s="9">
        <f t="shared" si="93"/>
        <v>78446.971000000005</v>
      </c>
      <c r="L515" s="9">
        <f t="shared" si="92"/>
        <v>80580.610555555555</v>
      </c>
      <c r="M515" s="9">
        <f t="shared" si="91"/>
        <v>5.8450896152663547E-3</v>
      </c>
      <c r="N515" s="9">
        <f t="shared" si="94"/>
        <v>9.9870393007551479E-3</v>
      </c>
    </row>
    <row r="516" spans="1:14" x14ac:dyDescent="0.35">
      <c r="A516" s="1">
        <v>43124</v>
      </c>
      <c r="B516" s="2" t="s">
        <v>516</v>
      </c>
      <c r="C516">
        <f t="shared" si="95"/>
        <v>78686.89</v>
      </c>
      <c r="D516">
        <f t="shared" si="96"/>
        <v>2018</v>
      </c>
      <c r="E516">
        <f t="shared" si="97"/>
        <v>1</v>
      </c>
      <c r="F516" t="str">
        <f t="shared" ref="F516:F579" si="99">TEXT(A516,"mmmm")</f>
        <v>January</v>
      </c>
      <c r="G516">
        <f t="shared" si="98"/>
        <v>24</v>
      </c>
      <c r="H516" s="7">
        <f t="shared" ref="H516:H579" si="100">((C516-C515)/C515)*100</f>
        <v>6.9068063136167812E-2</v>
      </c>
      <c r="I516" s="9">
        <f t="shared" ref="I516:I579" si="101">LN(C516/C515)</f>
        <v>6.9044222126481223E-4</v>
      </c>
      <c r="J516" s="9">
        <f t="shared" si="90"/>
        <v>79371.672857142854</v>
      </c>
      <c r="K516" s="9">
        <f t="shared" si="93"/>
        <v>78428.121000000014</v>
      </c>
      <c r="L516" s="9">
        <f t="shared" si="92"/>
        <v>80524.241777777774</v>
      </c>
      <c r="M516" s="9">
        <f t="shared" si="91"/>
        <v>4.952960631760441E-3</v>
      </c>
      <c r="N516" s="9">
        <f t="shared" si="94"/>
        <v>9.9638338219308065E-3</v>
      </c>
    </row>
    <row r="517" spans="1:14" x14ac:dyDescent="0.35">
      <c r="A517" s="1">
        <v>43125</v>
      </c>
      <c r="B517" s="2" t="s">
        <v>517</v>
      </c>
      <c r="C517">
        <f t="shared" si="95"/>
        <v>78464.22</v>
      </c>
      <c r="D517">
        <f t="shared" si="96"/>
        <v>2018</v>
      </c>
      <c r="E517">
        <f t="shared" si="97"/>
        <v>1</v>
      </c>
      <c r="F517" t="str">
        <f t="shared" si="99"/>
        <v>January</v>
      </c>
      <c r="G517">
        <f t="shared" si="98"/>
        <v>25</v>
      </c>
      <c r="H517" s="7">
        <f t="shared" si="100"/>
        <v>-0.28298233670182954</v>
      </c>
      <c r="I517" s="9">
        <f t="shared" si="101"/>
        <v>-2.8338348868783567E-3</v>
      </c>
      <c r="J517" s="9">
        <f t="shared" si="90"/>
        <v>79179.694285714286</v>
      </c>
      <c r="K517" s="9">
        <f t="shared" si="93"/>
        <v>78391.009333333364</v>
      </c>
      <c r="L517" s="9">
        <f t="shared" si="92"/>
        <v>80476.97111111111</v>
      </c>
      <c r="M517" s="9">
        <f t="shared" si="91"/>
        <v>4.342783275430191E-3</v>
      </c>
      <c r="N517" s="9">
        <f t="shared" si="94"/>
        <v>9.94019663892819E-3</v>
      </c>
    </row>
    <row r="518" spans="1:14" x14ac:dyDescent="0.35">
      <c r="A518" s="1">
        <v>43126</v>
      </c>
      <c r="B518" s="2" t="s">
        <v>518</v>
      </c>
      <c r="C518">
        <f t="shared" si="95"/>
        <v>77539.149999999994</v>
      </c>
      <c r="D518">
        <f t="shared" si="96"/>
        <v>2018</v>
      </c>
      <c r="E518">
        <f t="shared" si="97"/>
        <v>1</v>
      </c>
      <c r="F518" t="str">
        <f t="shared" si="99"/>
        <v>January</v>
      </c>
      <c r="G518">
        <f t="shared" si="98"/>
        <v>26</v>
      </c>
      <c r="H518" s="7">
        <f t="shared" si="100"/>
        <v>-1.1789704912634154</v>
      </c>
      <c r="I518" s="9">
        <f t="shared" si="101"/>
        <v>-1.1859754604752786E-2</v>
      </c>
      <c r="J518" s="9">
        <f t="shared" si="90"/>
        <v>78817.717142857146</v>
      </c>
      <c r="K518" s="9">
        <f t="shared" si="93"/>
        <v>78300.209666666677</v>
      </c>
      <c r="L518" s="9">
        <f t="shared" si="92"/>
        <v>80415.931555555551</v>
      </c>
      <c r="M518" s="9">
        <f t="shared" si="91"/>
        <v>4.7664774660952655E-3</v>
      </c>
      <c r="N518" s="9">
        <f t="shared" si="94"/>
        <v>9.9989044042785875E-3</v>
      </c>
    </row>
    <row r="519" spans="1:14" x14ac:dyDescent="0.35">
      <c r="A519" s="1">
        <v>43129</v>
      </c>
      <c r="B519" s="2" t="s">
        <v>519</v>
      </c>
      <c r="C519">
        <f t="shared" si="95"/>
        <v>77177.429999999993</v>
      </c>
      <c r="D519">
        <f t="shared" si="96"/>
        <v>2018</v>
      </c>
      <c r="E519">
        <f t="shared" si="97"/>
        <v>1</v>
      </c>
      <c r="F519" t="str">
        <f t="shared" si="99"/>
        <v>January</v>
      </c>
      <c r="G519">
        <f t="shared" si="98"/>
        <v>29</v>
      </c>
      <c r="H519" s="7">
        <f t="shared" si="100"/>
        <v>-0.46649982621682229</v>
      </c>
      <c r="I519" s="9">
        <f t="shared" si="101"/>
        <v>-4.6759133256253551E-3</v>
      </c>
      <c r="J519" s="9">
        <f t="shared" si="90"/>
        <v>78481.545714285719</v>
      </c>
      <c r="K519" s="9">
        <f t="shared" si="93"/>
        <v>78213.872000000018</v>
      </c>
      <c r="L519" s="9">
        <f t="shared" si="92"/>
        <v>80362.265888888869</v>
      </c>
      <c r="M519" s="9">
        <f t="shared" si="91"/>
        <v>4.6695535327751746E-3</v>
      </c>
      <c r="N519" s="9">
        <f t="shared" si="94"/>
        <v>9.9763253332983051E-3</v>
      </c>
    </row>
    <row r="520" spans="1:14" x14ac:dyDescent="0.35">
      <c r="A520" s="1">
        <v>43130</v>
      </c>
      <c r="B520" s="2" t="s">
        <v>520</v>
      </c>
      <c r="C520">
        <f t="shared" si="95"/>
        <v>76929.48</v>
      </c>
      <c r="D520">
        <f t="shared" si="96"/>
        <v>2018</v>
      </c>
      <c r="E520">
        <f t="shared" si="97"/>
        <v>1</v>
      </c>
      <c r="F520" t="str">
        <f t="shared" si="99"/>
        <v>January</v>
      </c>
      <c r="G520">
        <f t="shared" si="98"/>
        <v>30</v>
      </c>
      <c r="H520" s="7">
        <f t="shared" si="100"/>
        <v>-0.32127268295924999</v>
      </c>
      <c r="I520" s="9">
        <f t="shared" si="101"/>
        <v>-3.2178987166442616E-3</v>
      </c>
      <c r="J520" s="9">
        <f t="shared" si="90"/>
        <v>78113.045714285719</v>
      </c>
      <c r="K520" s="9">
        <f t="shared" si="93"/>
        <v>78109.086333333355</v>
      </c>
      <c r="L520" s="9">
        <f t="shared" si="92"/>
        <v>80306.164666666664</v>
      </c>
      <c r="M520" s="9">
        <f t="shared" si="91"/>
        <v>4.3701953693313488E-3</v>
      </c>
      <c r="N520" s="9">
        <f t="shared" si="94"/>
        <v>9.9392694134280805E-3</v>
      </c>
    </row>
    <row r="521" spans="1:14" x14ac:dyDescent="0.35">
      <c r="A521" s="1">
        <v>43131</v>
      </c>
      <c r="B521" s="2" t="s">
        <v>521</v>
      </c>
      <c r="C521">
        <f t="shared" si="95"/>
        <v>76776.45</v>
      </c>
      <c r="D521">
        <f t="shared" si="96"/>
        <v>2018</v>
      </c>
      <c r="E521">
        <f t="shared" si="97"/>
        <v>1</v>
      </c>
      <c r="F521" t="str">
        <f t="shared" si="99"/>
        <v>January</v>
      </c>
      <c r="G521">
        <f t="shared" si="98"/>
        <v>31</v>
      </c>
      <c r="H521" s="7">
        <f t="shared" si="100"/>
        <v>-0.19892244169595172</v>
      </c>
      <c r="I521" s="9">
        <f t="shared" si="101"/>
        <v>-1.9912055515668658E-3</v>
      </c>
      <c r="J521" s="9">
        <f t="shared" ref="J521:J584" si="102">AVERAGE(C515:C521)</f>
        <v>77743.742857142846</v>
      </c>
      <c r="K521" s="9">
        <f t="shared" si="93"/>
        <v>77977.844000000026</v>
      </c>
      <c r="L521" s="9">
        <f t="shared" si="92"/>
        <v>80251.809777777773</v>
      </c>
      <c r="M521" s="9">
        <f t="shared" si="91"/>
        <v>4.3557158495229698E-3</v>
      </c>
      <c r="N521" s="9">
        <f t="shared" si="94"/>
        <v>9.7828808814451034E-3</v>
      </c>
    </row>
    <row r="522" spans="1:14" x14ac:dyDescent="0.35">
      <c r="A522" s="1">
        <v>43132</v>
      </c>
      <c r="B522" s="2" t="s">
        <v>522</v>
      </c>
      <c r="C522">
        <f t="shared" si="95"/>
        <v>76428.33</v>
      </c>
      <c r="D522">
        <f t="shared" si="96"/>
        <v>2018</v>
      </c>
      <c r="E522">
        <f t="shared" si="97"/>
        <v>2</v>
      </c>
      <c r="F522" t="str">
        <f t="shared" si="99"/>
        <v>February</v>
      </c>
      <c r="G522">
        <f t="shared" si="98"/>
        <v>1</v>
      </c>
      <c r="H522" s="7">
        <f t="shared" si="100"/>
        <v>-0.45342028708021187</v>
      </c>
      <c r="I522" s="9">
        <f t="shared" si="101"/>
        <v>-4.54451354757744E-3</v>
      </c>
      <c r="J522" s="9">
        <f t="shared" si="102"/>
        <v>77428.849999999991</v>
      </c>
      <c r="K522" s="9">
        <f t="shared" si="93"/>
        <v>77867.160666666678</v>
      </c>
      <c r="L522" s="9">
        <f t="shared" si="92"/>
        <v>80202.926888888891</v>
      </c>
      <c r="M522" s="9">
        <f t="shared" ref="M522:M585" si="103">STDEV(I516:I522)</f>
        <v>3.8839301134542324E-3</v>
      </c>
      <c r="N522" s="9">
        <f t="shared" si="94"/>
        <v>9.6033993411050456E-3</v>
      </c>
    </row>
    <row r="523" spans="1:14" x14ac:dyDescent="0.35">
      <c r="A523" s="1">
        <v>43133</v>
      </c>
      <c r="B523" s="2" t="s">
        <v>523</v>
      </c>
      <c r="C523">
        <f t="shared" si="95"/>
        <v>76046.850000000006</v>
      </c>
      <c r="D523">
        <f t="shared" si="96"/>
        <v>2018</v>
      </c>
      <c r="E523">
        <f t="shared" si="97"/>
        <v>2</v>
      </c>
      <c r="F523" t="str">
        <f t="shared" si="99"/>
        <v>February</v>
      </c>
      <c r="G523">
        <f t="shared" si="98"/>
        <v>2</v>
      </c>
      <c r="H523" s="7">
        <f t="shared" si="100"/>
        <v>-0.49913428698493861</v>
      </c>
      <c r="I523" s="9">
        <f t="shared" si="101"/>
        <v>-5.0038412280773558E-3</v>
      </c>
      <c r="J523" s="9">
        <f t="shared" si="102"/>
        <v>77051.701428571439</v>
      </c>
      <c r="K523" s="9">
        <f t="shared" si="93"/>
        <v>77833.596333333349</v>
      </c>
      <c r="L523" s="9">
        <f t="shared" si="92"/>
        <v>80140.75966666665</v>
      </c>
      <c r="M523" s="9">
        <f t="shared" si="103"/>
        <v>3.2705978888451811E-3</v>
      </c>
      <c r="N523" s="9">
        <f t="shared" si="94"/>
        <v>7.3630379079314039E-3</v>
      </c>
    </row>
    <row r="524" spans="1:14" x14ac:dyDescent="0.35">
      <c r="A524" s="1">
        <v>43136</v>
      </c>
      <c r="B524" s="2" t="s">
        <v>524</v>
      </c>
      <c r="C524">
        <f t="shared" si="95"/>
        <v>76076.17</v>
      </c>
      <c r="D524">
        <f t="shared" si="96"/>
        <v>2018</v>
      </c>
      <c r="E524">
        <f t="shared" si="97"/>
        <v>2</v>
      </c>
      <c r="F524" t="str">
        <f t="shared" si="99"/>
        <v>February</v>
      </c>
      <c r="G524">
        <f t="shared" si="98"/>
        <v>5</v>
      </c>
      <c r="H524" s="7">
        <f t="shared" si="100"/>
        <v>3.8555180129081518E-2</v>
      </c>
      <c r="I524" s="9">
        <f t="shared" si="101"/>
        <v>3.8547749529359456E-4</v>
      </c>
      <c r="J524" s="9">
        <f t="shared" si="102"/>
        <v>76710.551428571445</v>
      </c>
      <c r="K524" s="9">
        <f t="shared" si="93"/>
        <v>77823.401333333328</v>
      </c>
      <c r="L524" s="9">
        <f t="shared" si="92"/>
        <v>80081.143444444446</v>
      </c>
      <c r="M524" s="9">
        <f t="shared" si="103"/>
        <v>3.7905225855686024E-3</v>
      </c>
      <c r="N524" s="9">
        <f t="shared" si="94"/>
        <v>7.1941605788355296E-3</v>
      </c>
    </row>
    <row r="525" spans="1:14" x14ac:dyDescent="0.35">
      <c r="A525" s="1">
        <v>43137</v>
      </c>
      <c r="B525" s="2" t="s">
        <v>525</v>
      </c>
      <c r="C525">
        <f t="shared" si="95"/>
        <v>76456.149999999994</v>
      </c>
      <c r="D525">
        <f t="shared" si="96"/>
        <v>2018</v>
      </c>
      <c r="E525">
        <f t="shared" si="97"/>
        <v>2</v>
      </c>
      <c r="F525" t="str">
        <f t="shared" si="99"/>
        <v>February</v>
      </c>
      <c r="G525">
        <f t="shared" si="98"/>
        <v>6</v>
      </c>
      <c r="H525" s="7">
        <f t="shared" si="100"/>
        <v>0.49947309387419991</v>
      </c>
      <c r="I525" s="9">
        <f t="shared" si="101"/>
        <v>4.9822986502723382E-3</v>
      </c>
      <c r="J525" s="9">
        <f t="shared" si="102"/>
        <v>76555.837142857141</v>
      </c>
      <c r="K525" s="9">
        <f t="shared" si="93"/>
        <v>77803.579666666657</v>
      </c>
      <c r="L525" s="9">
        <f t="shared" si="92"/>
        <v>80026.601888888894</v>
      </c>
      <c r="M525" s="9">
        <f t="shared" si="103"/>
        <v>3.6190206017902584E-3</v>
      </c>
      <c r="N525" s="9">
        <f t="shared" si="94"/>
        <v>7.0668841297406417E-3</v>
      </c>
    </row>
    <row r="526" spans="1:14" x14ac:dyDescent="0.35">
      <c r="A526" s="1">
        <v>43138</v>
      </c>
      <c r="B526" s="2" t="s">
        <v>526</v>
      </c>
      <c r="C526">
        <f t="shared" si="95"/>
        <v>75370.990000000005</v>
      </c>
      <c r="D526">
        <f t="shared" si="96"/>
        <v>2018</v>
      </c>
      <c r="E526">
        <f t="shared" si="97"/>
        <v>2</v>
      </c>
      <c r="F526" t="str">
        <f t="shared" si="99"/>
        <v>February</v>
      </c>
      <c r="G526">
        <f t="shared" si="98"/>
        <v>7</v>
      </c>
      <c r="H526" s="7">
        <f t="shared" si="100"/>
        <v>-1.4193233637843248</v>
      </c>
      <c r="I526" s="9">
        <f t="shared" si="101"/>
        <v>-1.4294920905893804E-2</v>
      </c>
      <c r="J526" s="9">
        <f t="shared" si="102"/>
        <v>76297.774285714273</v>
      </c>
      <c r="K526" s="9">
        <f t="shared" si="93"/>
        <v>77780.035999999993</v>
      </c>
      <c r="L526" s="9">
        <f t="shared" si="92"/>
        <v>79951.314777777778</v>
      </c>
      <c r="M526" s="9">
        <f t="shared" si="103"/>
        <v>5.9046627108048748E-3</v>
      </c>
      <c r="N526" s="9">
        <f t="shared" si="94"/>
        <v>7.1680771952965195E-3</v>
      </c>
    </row>
    <row r="527" spans="1:14" x14ac:dyDescent="0.35">
      <c r="A527" s="1">
        <v>43139</v>
      </c>
      <c r="B527" s="2" t="s">
        <v>527</v>
      </c>
      <c r="C527">
        <f t="shared" si="95"/>
        <v>74329.37</v>
      </c>
      <c r="D527">
        <f t="shared" si="96"/>
        <v>2018</v>
      </c>
      <c r="E527">
        <f t="shared" si="97"/>
        <v>2</v>
      </c>
      <c r="F527" t="str">
        <f t="shared" si="99"/>
        <v>February</v>
      </c>
      <c r="G527">
        <f t="shared" si="98"/>
        <v>8</v>
      </c>
      <c r="H527" s="7">
        <f t="shared" si="100"/>
        <v>-1.381990604077258</v>
      </c>
      <c r="I527" s="9">
        <f t="shared" si="101"/>
        <v>-1.3916289983911017E-2</v>
      </c>
      <c r="J527" s="9">
        <f t="shared" si="102"/>
        <v>75926.329999999987</v>
      </c>
      <c r="K527" s="9">
        <f t="shared" si="93"/>
        <v>77718.076333333345</v>
      </c>
      <c r="L527" s="9">
        <f t="shared" si="92"/>
        <v>79867.025777777788</v>
      </c>
      <c r="M527" s="9">
        <f t="shared" si="103"/>
        <v>7.1151408700526374E-3</v>
      </c>
      <c r="N527" s="9">
        <f t="shared" si="94"/>
        <v>7.5752893392063529E-3</v>
      </c>
    </row>
    <row r="528" spans="1:14" x14ac:dyDescent="0.35">
      <c r="A528" s="1">
        <v>43140</v>
      </c>
      <c r="B528" s="2" t="s">
        <v>528</v>
      </c>
      <c r="C528">
        <f t="shared" si="95"/>
        <v>74513.929999999993</v>
      </c>
      <c r="D528">
        <f t="shared" si="96"/>
        <v>2018</v>
      </c>
      <c r="E528">
        <f t="shared" si="97"/>
        <v>2</v>
      </c>
      <c r="F528" t="str">
        <f t="shared" si="99"/>
        <v>February</v>
      </c>
      <c r="G528">
        <f t="shared" si="98"/>
        <v>9</v>
      </c>
      <c r="H528" s="7">
        <f t="shared" si="100"/>
        <v>0.24830023448335117</v>
      </c>
      <c r="I528" s="9">
        <f t="shared" si="101"/>
        <v>2.4799247878459839E-3</v>
      </c>
      <c r="J528" s="9">
        <f t="shared" si="102"/>
        <v>75603.112857142856</v>
      </c>
      <c r="K528" s="9">
        <f t="shared" si="93"/>
        <v>77640.148000000016</v>
      </c>
      <c r="L528" s="9">
        <f t="shared" si="92"/>
        <v>79782.10544444446</v>
      </c>
      <c r="M528" s="9">
        <f t="shared" si="103"/>
        <v>7.6048640972772264E-3</v>
      </c>
      <c r="N528" s="9">
        <f t="shared" si="94"/>
        <v>7.3897097311466653E-3</v>
      </c>
    </row>
    <row r="529" spans="1:14" x14ac:dyDescent="0.35">
      <c r="A529" s="1">
        <v>43143</v>
      </c>
      <c r="B529" s="2" t="s">
        <v>529</v>
      </c>
      <c r="C529">
        <f t="shared" si="95"/>
        <v>74010.83</v>
      </c>
      <c r="D529">
        <f t="shared" si="96"/>
        <v>2018</v>
      </c>
      <c r="E529">
        <f t="shared" si="97"/>
        <v>2</v>
      </c>
      <c r="F529" t="str">
        <f t="shared" si="99"/>
        <v>February</v>
      </c>
      <c r="G529">
        <f t="shared" si="98"/>
        <v>12</v>
      </c>
      <c r="H529" s="7">
        <f t="shared" si="100"/>
        <v>-0.67517576914811939</v>
      </c>
      <c r="I529" s="9">
        <f t="shared" si="101"/>
        <v>-6.7746539255222745E-3</v>
      </c>
      <c r="J529" s="9">
        <f t="shared" si="102"/>
        <v>75257.755714285726</v>
      </c>
      <c r="K529" s="9">
        <f t="shared" si="93"/>
        <v>77536.387666666677</v>
      </c>
      <c r="L529" s="9">
        <f t="shared" si="92"/>
        <v>79676.855111111116</v>
      </c>
      <c r="M529" s="9">
        <f t="shared" si="103"/>
        <v>7.6646074661724144E-3</v>
      </c>
      <c r="N529" s="9">
        <f t="shared" si="94"/>
        <v>7.409889933679796E-3</v>
      </c>
    </row>
    <row r="530" spans="1:14" x14ac:dyDescent="0.35">
      <c r="A530" s="1">
        <v>43144</v>
      </c>
      <c r="B530" s="2" t="s">
        <v>530</v>
      </c>
      <c r="C530">
        <f t="shared" si="95"/>
        <v>73551.12</v>
      </c>
      <c r="D530">
        <f t="shared" si="96"/>
        <v>2018</v>
      </c>
      <c r="E530">
        <f t="shared" si="97"/>
        <v>2</v>
      </c>
      <c r="F530" t="str">
        <f t="shared" si="99"/>
        <v>February</v>
      </c>
      <c r="G530">
        <f t="shared" si="98"/>
        <v>13</v>
      </c>
      <c r="H530" s="7">
        <f t="shared" si="100"/>
        <v>-0.62113882522329011</v>
      </c>
      <c r="I530" s="9">
        <f t="shared" si="101"/>
        <v>-6.2307591794673453E-3</v>
      </c>
      <c r="J530" s="9">
        <f t="shared" si="102"/>
        <v>74901.222857142871</v>
      </c>
      <c r="K530" s="9">
        <f t="shared" si="93"/>
        <v>77427.120666666669</v>
      </c>
      <c r="L530" s="9">
        <f t="shared" si="92"/>
        <v>79563.535777777783</v>
      </c>
      <c r="M530" s="9">
        <f t="shared" si="103"/>
        <v>7.6895905462120509E-3</v>
      </c>
      <c r="N530" s="9">
        <f t="shared" si="94"/>
        <v>7.4502353112195652E-3</v>
      </c>
    </row>
    <row r="531" spans="1:14" x14ac:dyDescent="0.35">
      <c r="A531" s="1">
        <v>43145</v>
      </c>
      <c r="B531" s="2" t="s">
        <v>531</v>
      </c>
      <c r="C531">
        <f t="shared" si="95"/>
        <v>73363.56</v>
      </c>
      <c r="D531">
        <f t="shared" si="96"/>
        <v>2018</v>
      </c>
      <c r="E531">
        <f t="shared" si="97"/>
        <v>2</v>
      </c>
      <c r="F531" t="str">
        <f t="shared" si="99"/>
        <v>February</v>
      </c>
      <c r="G531">
        <f t="shared" si="98"/>
        <v>14</v>
      </c>
      <c r="H531" s="7">
        <f t="shared" si="100"/>
        <v>-0.25500631397590912</v>
      </c>
      <c r="I531" s="9">
        <f t="shared" si="101"/>
        <v>-2.553320088896382E-3</v>
      </c>
      <c r="J531" s="9">
        <f t="shared" si="102"/>
        <v>74513.707142857151</v>
      </c>
      <c r="K531" s="9">
        <f t="shared" si="93"/>
        <v>77311.481333333344</v>
      </c>
      <c r="L531" s="9">
        <f t="shared" si="92"/>
        <v>79442.692888888894</v>
      </c>
      <c r="M531" s="9">
        <f t="shared" si="103"/>
        <v>7.4374888845230433E-3</v>
      </c>
      <c r="N531" s="9">
        <f t="shared" si="94"/>
        <v>7.4473028026132426E-3</v>
      </c>
    </row>
    <row r="532" spans="1:14" x14ac:dyDescent="0.35">
      <c r="A532" s="1">
        <v>43146</v>
      </c>
      <c r="B532" s="2" t="s">
        <v>532</v>
      </c>
      <c r="C532">
        <f t="shared" si="95"/>
        <v>73271.429999999993</v>
      </c>
      <c r="D532">
        <f t="shared" si="96"/>
        <v>2018</v>
      </c>
      <c r="E532">
        <f t="shared" si="97"/>
        <v>2</v>
      </c>
      <c r="F532" t="str">
        <f t="shared" si="99"/>
        <v>February</v>
      </c>
      <c r="G532">
        <f t="shared" si="98"/>
        <v>15</v>
      </c>
      <c r="H532" s="7">
        <f t="shared" si="100"/>
        <v>-0.12558005636586428</v>
      </c>
      <c r="I532" s="9">
        <f t="shared" si="101"/>
        <v>-1.2565897419559919E-3</v>
      </c>
      <c r="J532" s="9">
        <f t="shared" si="102"/>
        <v>74058.747142857144</v>
      </c>
      <c r="K532" s="9">
        <f t="shared" si="93"/>
        <v>77162.321333333326</v>
      </c>
      <c r="L532" s="9">
        <f t="shared" si="92"/>
        <v>79323.279333333339</v>
      </c>
      <c r="M532" s="9">
        <f t="shared" si="103"/>
        <v>6.3030770670363858E-3</v>
      </c>
      <c r="N532" s="9">
        <f t="shared" si="94"/>
        <v>7.0081647517656453E-3</v>
      </c>
    </row>
    <row r="533" spans="1:14" x14ac:dyDescent="0.35">
      <c r="A533" s="1">
        <v>43147</v>
      </c>
      <c r="B533" s="2" t="s">
        <v>533</v>
      </c>
      <c r="C533">
        <f t="shared" si="95"/>
        <v>72995.179999999993</v>
      </c>
      <c r="D533">
        <f t="shared" si="96"/>
        <v>2018</v>
      </c>
      <c r="E533">
        <f t="shared" si="97"/>
        <v>2</v>
      </c>
      <c r="F533" t="str">
        <f t="shared" si="99"/>
        <v>February</v>
      </c>
      <c r="G533">
        <f t="shared" si="98"/>
        <v>16</v>
      </c>
      <c r="H533" s="7">
        <f t="shared" si="100"/>
        <v>-0.37702280411341776</v>
      </c>
      <c r="I533" s="9">
        <f t="shared" si="101"/>
        <v>-3.777353265660895E-3</v>
      </c>
      <c r="J533" s="9">
        <f t="shared" si="102"/>
        <v>73719.345714285708</v>
      </c>
      <c r="K533" s="9">
        <f t="shared" si="93"/>
        <v>77038.685333333342</v>
      </c>
      <c r="L533" s="9">
        <f t="shared" si="92"/>
        <v>79194.853111111122</v>
      </c>
      <c r="M533" s="9">
        <f t="shared" si="103"/>
        <v>5.1695736842496459E-3</v>
      </c>
      <c r="N533" s="9">
        <f t="shared" si="94"/>
        <v>6.6741341020429036E-3</v>
      </c>
    </row>
    <row r="534" spans="1:14" x14ac:dyDescent="0.35">
      <c r="A534" s="1">
        <v>43150</v>
      </c>
      <c r="B534" s="2" t="s">
        <v>534</v>
      </c>
      <c r="C534">
        <f t="shared" si="95"/>
        <v>72999.600000000006</v>
      </c>
      <c r="D534">
        <f t="shared" si="96"/>
        <v>2018</v>
      </c>
      <c r="E534">
        <f t="shared" si="97"/>
        <v>2</v>
      </c>
      <c r="F534" t="str">
        <f t="shared" si="99"/>
        <v>February</v>
      </c>
      <c r="G534">
        <f t="shared" si="98"/>
        <v>19</v>
      </c>
      <c r="H534" s="7">
        <f t="shared" si="100"/>
        <v>6.0551943292869561E-3</v>
      </c>
      <c r="I534" s="9">
        <f t="shared" si="101"/>
        <v>6.0550110097880711E-5</v>
      </c>
      <c r="J534" s="9">
        <f t="shared" si="102"/>
        <v>73529.378571428577</v>
      </c>
      <c r="K534" s="9">
        <f t="shared" si="93"/>
        <v>76899.948333333334</v>
      </c>
      <c r="L534" s="9">
        <f t="shared" si="92"/>
        <v>79070.47144444444</v>
      </c>
      <c r="M534" s="9">
        <f t="shared" si="103"/>
        <v>3.3337736517590789E-3</v>
      </c>
      <c r="N534" s="9">
        <f t="shared" si="94"/>
        <v>6.5279859895306207E-3</v>
      </c>
    </row>
    <row r="535" spans="1:14" x14ac:dyDescent="0.35">
      <c r="A535" s="1">
        <v>43151</v>
      </c>
      <c r="B535" s="2" t="s">
        <v>535</v>
      </c>
      <c r="C535">
        <f t="shared" si="95"/>
        <v>74518.63</v>
      </c>
      <c r="D535">
        <f t="shared" si="96"/>
        <v>2018</v>
      </c>
      <c r="E535">
        <f t="shared" si="97"/>
        <v>2</v>
      </c>
      <c r="F535" t="str">
        <f t="shared" si="99"/>
        <v>February</v>
      </c>
      <c r="G535">
        <f t="shared" si="98"/>
        <v>20</v>
      </c>
      <c r="H535" s="7">
        <f t="shared" si="100"/>
        <v>2.0808744157502215</v>
      </c>
      <c r="I535" s="9">
        <f t="shared" si="101"/>
        <v>2.0595199556714475E-2</v>
      </c>
      <c r="J535" s="9">
        <f t="shared" si="102"/>
        <v>73530.05</v>
      </c>
      <c r="K535" s="9">
        <f t="shared" si="93"/>
        <v>76764.698000000004</v>
      </c>
      <c r="L535" s="9">
        <f t="shared" si="92"/>
        <v>78961.216555555555</v>
      </c>
      <c r="M535" s="9">
        <f t="shared" si="103"/>
        <v>9.4096625646746691E-3</v>
      </c>
      <c r="N535" s="9">
        <f t="shared" si="94"/>
        <v>6.794560281539604E-3</v>
      </c>
    </row>
    <row r="536" spans="1:14" x14ac:dyDescent="0.35">
      <c r="A536" s="1">
        <v>43152</v>
      </c>
      <c r="B536" s="2" t="s">
        <v>536</v>
      </c>
      <c r="C536">
        <f t="shared" si="95"/>
        <v>75311.759999999995</v>
      </c>
      <c r="D536">
        <f t="shared" si="96"/>
        <v>2018</v>
      </c>
      <c r="E536">
        <f t="shared" si="97"/>
        <v>2</v>
      </c>
      <c r="F536" t="str">
        <f t="shared" si="99"/>
        <v>February</v>
      </c>
      <c r="G536">
        <f t="shared" si="98"/>
        <v>21</v>
      </c>
      <c r="H536" s="7">
        <f t="shared" si="100"/>
        <v>1.064337870945816</v>
      </c>
      <c r="I536" s="9">
        <f t="shared" si="101"/>
        <v>1.0587136672521627E-2</v>
      </c>
      <c r="J536" s="9">
        <f t="shared" si="102"/>
        <v>73715.897142857153</v>
      </c>
      <c r="K536" s="9">
        <f t="shared" si="93"/>
        <v>76644.393999999986</v>
      </c>
      <c r="L536" s="9">
        <f t="shared" si="92"/>
        <v>78868.893777777776</v>
      </c>
      <c r="M536" s="9">
        <f t="shared" si="103"/>
        <v>9.6096086125440124E-3</v>
      </c>
      <c r="N536" s="9">
        <f t="shared" si="94"/>
        <v>7.0769191754339426E-3</v>
      </c>
    </row>
    <row r="537" spans="1:14" x14ac:dyDescent="0.35">
      <c r="A537" s="1">
        <v>43153</v>
      </c>
      <c r="B537" s="2" t="s">
        <v>537</v>
      </c>
      <c r="C537">
        <f t="shared" si="95"/>
        <v>75303.25</v>
      </c>
      <c r="D537">
        <f t="shared" si="96"/>
        <v>2018</v>
      </c>
      <c r="E537">
        <f t="shared" si="97"/>
        <v>2</v>
      </c>
      <c r="F537" t="str">
        <f t="shared" si="99"/>
        <v>February</v>
      </c>
      <c r="G537">
        <f t="shared" si="98"/>
        <v>22</v>
      </c>
      <c r="H537" s="7">
        <f t="shared" si="100"/>
        <v>-1.1299696089952967E-2</v>
      </c>
      <c r="I537" s="9">
        <f t="shared" si="101"/>
        <v>-1.1300334553705684E-4</v>
      </c>
      <c r="J537" s="9">
        <f t="shared" si="102"/>
        <v>73966.201428571439</v>
      </c>
      <c r="K537" s="9">
        <f t="shared" si="93"/>
        <v>76516.140999999989</v>
      </c>
      <c r="L537" s="9">
        <f t="shared" si="92"/>
        <v>78771.972333333324</v>
      </c>
      <c r="M537" s="9">
        <f t="shared" si="103"/>
        <v>8.9391808342173529E-3</v>
      </c>
      <c r="N537" s="9">
        <f t="shared" si="94"/>
        <v>7.0324643244044837E-3</v>
      </c>
    </row>
    <row r="538" spans="1:14" x14ac:dyDescent="0.35">
      <c r="A538" s="1">
        <v>43154</v>
      </c>
      <c r="B538" s="2" t="s">
        <v>538</v>
      </c>
      <c r="C538">
        <f t="shared" si="95"/>
        <v>75520.37</v>
      </c>
      <c r="D538">
        <f t="shared" si="96"/>
        <v>2018</v>
      </c>
      <c r="E538">
        <f t="shared" si="97"/>
        <v>2</v>
      </c>
      <c r="F538" t="str">
        <f t="shared" si="99"/>
        <v>February</v>
      </c>
      <c r="G538">
        <f t="shared" si="98"/>
        <v>23</v>
      </c>
      <c r="H538" s="7">
        <f t="shared" si="100"/>
        <v>0.28832752902430553</v>
      </c>
      <c r="I538" s="9">
        <f t="shared" si="101"/>
        <v>2.8791266246269427E-3</v>
      </c>
      <c r="J538" s="9">
        <f t="shared" si="102"/>
        <v>74274.317142857137</v>
      </c>
      <c r="K538" s="9">
        <f t="shared" si="93"/>
        <v>76401.617666666658</v>
      </c>
      <c r="L538" s="9">
        <f t="shared" si="92"/>
        <v>78680.161999999997</v>
      </c>
      <c r="M538" s="9">
        <f t="shared" si="103"/>
        <v>8.5680275283065953E-3</v>
      </c>
      <c r="N538" s="9">
        <f t="shared" si="94"/>
        <v>7.0789356638942388E-3</v>
      </c>
    </row>
    <row r="539" spans="1:14" x14ac:dyDescent="0.35">
      <c r="A539" s="1">
        <v>43157</v>
      </c>
      <c r="B539" s="2" t="s">
        <v>539</v>
      </c>
      <c r="C539">
        <f t="shared" si="95"/>
        <v>75486.92</v>
      </c>
      <c r="D539">
        <f t="shared" si="96"/>
        <v>2018</v>
      </c>
      <c r="E539">
        <f t="shared" si="97"/>
        <v>2</v>
      </c>
      <c r="F539" t="str">
        <f t="shared" si="99"/>
        <v>February</v>
      </c>
      <c r="G539">
        <f t="shared" si="98"/>
        <v>26</v>
      </c>
      <c r="H539" s="7">
        <f t="shared" si="100"/>
        <v>-4.4292685536362029E-2</v>
      </c>
      <c r="I539" s="9">
        <f t="shared" si="101"/>
        <v>-4.4302497643793353E-4</v>
      </c>
      <c r="J539" s="9">
        <f t="shared" si="102"/>
        <v>74590.815714285709</v>
      </c>
      <c r="K539" s="9">
        <f t="shared" si="93"/>
        <v>76268.09599999999</v>
      </c>
      <c r="L539" s="9">
        <f t="shared" si="92"/>
        <v>78587.802222222221</v>
      </c>
      <c r="M539" s="9">
        <f t="shared" si="103"/>
        <v>8.4877765327861752E-3</v>
      </c>
      <c r="N539" s="9">
        <f t="shared" si="94"/>
        <v>6.9093423605885483E-3</v>
      </c>
    </row>
    <row r="540" spans="1:14" x14ac:dyDescent="0.35">
      <c r="A540" s="1">
        <v>43158</v>
      </c>
      <c r="B540" s="2" t="s">
        <v>540</v>
      </c>
      <c r="C540">
        <f t="shared" si="95"/>
        <v>75334.92</v>
      </c>
      <c r="D540">
        <f t="shared" si="96"/>
        <v>2018</v>
      </c>
      <c r="E540">
        <f t="shared" si="97"/>
        <v>2</v>
      </c>
      <c r="F540" t="str">
        <f t="shared" si="99"/>
        <v>February</v>
      </c>
      <c r="G540">
        <f t="shared" si="98"/>
        <v>27</v>
      </c>
      <c r="H540" s="7">
        <f t="shared" si="100"/>
        <v>-0.2013593878250696</v>
      </c>
      <c r="I540" s="9">
        <f t="shared" si="101"/>
        <v>-2.0156238839330949E-3</v>
      </c>
      <c r="J540" s="9">
        <f t="shared" si="102"/>
        <v>74925.064285714281</v>
      </c>
      <c r="K540" s="9">
        <f t="shared" si="93"/>
        <v>76118.990999999965</v>
      </c>
      <c r="L540" s="9">
        <f t="shared" ref="L540:L603" si="104">AVERAGE(C451:C540)</f>
        <v>78504.585333333322</v>
      </c>
      <c r="M540" s="9">
        <f t="shared" si="103"/>
        <v>8.2321616797547299E-3</v>
      </c>
      <c r="N540" s="9">
        <f t="shared" si="94"/>
        <v>6.8254392160017772E-3</v>
      </c>
    </row>
    <row r="541" spans="1:14" x14ac:dyDescent="0.35">
      <c r="A541" s="1">
        <v>43159</v>
      </c>
      <c r="B541" s="2" t="s">
        <v>541</v>
      </c>
      <c r="C541">
        <f t="shared" si="95"/>
        <v>74774.720000000001</v>
      </c>
      <c r="D541">
        <f t="shared" si="96"/>
        <v>2018</v>
      </c>
      <c r="E541">
        <f t="shared" si="97"/>
        <v>2</v>
      </c>
      <c r="F541" t="str">
        <f t="shared" si="99"/>
        <v>February</v>
      </c>
      <c r="G541">
        <f t="shared" si="98"/>
        <v>28</v>
      </c>
      <c r="H541" s="7">
        <f t="shared" si="100"/>
        <v>-0.74361265665377629</v>
      </c>
      <c r="I541" s="9">
        <f t="shared" si="101"/>
        <v>-7.4639123873127804E-3</v>
      </c>
      <c r="J541" s="9">
        <f t="shared" si="102"/>
        <v>75178.65285714285</v>
      </c>
      <c r="K541" s="9">
        <f t="shared" si="93"/>
        <v>75942.381999999983</v>
      </c>
      <c r="L541" s="9">
        <f t="shared" si="104"/>
        <v>78421.78855555554</v>
      </c>
      <c r="M541" s="9">
        <f t="shared" si="103"/>
        <v>9.3278922976663091E-3</v>
      </c>
      <c r="N541" s="9">
        <f t="shared" si="94"/>
        <v>6.8239496288308166E-3</v>
      </c>
    </row>
    <row r="542" spans="1:14" x14ac:dyDescent="0.35">
      <c r="A542" s="1">
        <v>43160</v>
      </c>
      <c r="B542" s="2" t="s">
        <v>542</v>
      </c>
      <c r="C542">
        <f t="shared" si="95"/>
        <v>75372.98</v>
      </c>
      <c r="D542">
        <f t="shared" si="96"/>
        <v>2018</v>
      </c>
      <c r="E542">
        <f t="shared" si="97"/>
        <v>3</v>
      </c>
      <c r="F542" t="str">
        <f t="shared" si="99"/>
        <v>March</v>
      </c>
      <c r="G542">
        <f t="shared" si="98"/>
        <v>1</v>
      </c>
      <c r="H542" s="7">
        <f t="shared" si="100"/>
        <v>0.80008323668747239</v>
      </c>
      <c r="I542" s="9">
        <f t="shared" si="101"/>
        <v>7.9689954096243912E-3</v>
      </c>
      <c r="J542" s="9">
        <f t="shared" si="102"/>
        <v>75300.702857142853</v>
      </c>
      <c r="K542" s="9">
        <f t="shared" si="93"/>
        <v>75803.79366666665</v>
      </c>
      <c r="L542" s="9">
        <f t="shared" si="104"/>
        <v>78354.795888888882</v>
      </c>
      <c r="M542" s="9">
        <f t="shared" si="103"/>
        <v>6.1277887739854646E-3</v>
      </c>
      <c r="N542" s="9">
        <f t="shared" si="94"/>
        <v>7.0168697184913968E-3</v>
      </c>
    </row>
    <row r="543" spans="1:14" x14ac:dyDescent="0.35">
      <c r="A543" s="1">
        <v>43161</v>
      </c>
      <c r="B543" s="2" t="s">
        <v>543</v>
      </c>
      <c r="C543">
        <f t="shared" si="95"/>
        <v>74097.929999999993</v>
      </c>
      <c r="D543">
        <f t="shared" si="96"/>
        <v>2018</v>
      </c>
      <c r="E543">
        <f t="shared" si="97"/>
        <v>3</v>
      </c>
      <c r="F543" t="str">
        <f t="shared" si="99"/>
        <v>March</v>
      </c>
      <c r="G543">
        <f t="shared" si="98"/>
        <v>2</v>
      </c>
      <c r="H543" s="7">
        <f t="shared" si="100"/>
        <v>-1.6916539587528621</v>
      </c>
      <c r="I543" s="9">
        <f t="shared" si="101"/>
        <v>-1.7061258662417263E-2</v>
      </c>
      <c r="J543" s="9">
        <f t="shared" si="102"/>
        <v>75127.298571428546</v>
      </c>
      <c r="K543" s="9">
        <f t="shared" si="93"/>
        <v>75623.425333333333</v>
      </c>
      <c r="L543" s="9">
        <f t="shared" si="104"/>
        <v>78278.592666666664</v>
      </c>
      <c r="M543" s="9">
        <f t="shared" si="103"/>
        <v>8.0119222545200677E-3</v>
      </c>
      <c r="N543" s="9">
        <f t="shared" si="94"/>
        <v>7.5415558954371412E-3</v>
      </c>
    </row>
    <row r="544" spans="1:14" x14ac:dyDescent="0.35">
      <c r="A544" s="1">
        <v>43164</v>
      </c>
      <c r="B544" s="2" t="s">
        <v>544</v>
      </c>
      <c r="C544">
        <f t="shared" si="95"/>
        <v>74429.48</v>
      </c>
      <c r="D544">
        <f t="shared" si="96"/>
        <v>2018</v>
      </c>
      <c r="E544">
        <f t="shared" si="97"/>
        <v>3</v>
      </c>
      <c r="F544" t="str">
        <f t="shared" si="99"/>
        <v>March</v>
      </c>
      <c r="G544">
        <f t="shared" si="98"/>
        <v>5</v>
      </c>
      <c r="H544" s="7">
        <f t="shared" si="100"/>
        <v>0.44744839700650602</v>
      </c>
      <c r="I544" s="9">
        <f t="shared" si="101"/>
        <v>4.4645032280376789E-3</v>
      </c>
      <c r="J544" s="9">
        <f t="shared" si="102"/>
        <v>75002.474285714285</v>
      </c>
      <c r="K544" s="9">
        <f t="shared" ref="K544:K607" si="105">AVERAGE(C515:C544)</f>
        <v>75459.022333333327</v>
      </c>
      <c r="L544" s="9">
        <f t="shared" si="104"/>
        <v>78210.467111111109</v>
      </c>
      <c r="M544" s="9">
        <f t="shared" si="103"/>
        <v>8.3996235275869552E-3</v>
      </c>
      <c r="N544" s="9">
        <f t="shared" si="94"/>
        <v>7.643412996998545E-3</v>
      </c>
    </row>
    <row r="545" spans="1:14" x14ac:dyDescent="0.35">
      <c r="A545" s="1">
        <v>43165</v>
      </c>
      <c r="B545" s="2" t="s">
        <v>545</v>
      </c>
      <c r="C545">
        <f t="shared" si="95"/>
        <v>74535.990000000005</v>
      </c>
      <c r="D545">
        <f t="shared" si="96"/>
        <v>2018</v>
      </c>
      <c r="E545">
        <f t="shared" si="97"/>
        <v>3</v>
      </c>
      <c r="F545" t="str">
        <f t="shared" si="99"/>
        <v>March</v>
      </c>
      <c r="G545">
        <f t="shared" si="98"/>
        <v>6</v>
      </c>
      <c r="H545" s="7">
        <f t="shared" si="100"/>
        <v>0.14310189994610914</v>
      </c>
      <c r="I545" s="9">
        <f t="shared" si="101"/>
        <v>1.4299960675463819E-3</v>
      </c>
      <c r="J545" s="9">
        <f t="shared" si="102"/>
        <v>74861.848571428563</v>
      </c>
      <c r="K545" s="9">
        <f t="shared" si="105"/>
        <v>75322.469333333327</v>
      </c>
      <c r="L545" s="9">
        <f t="shared" si="104"/>
        <v>78141.541333333342</v>
      </c>
      <c r="M545" s="9">
        <f t="shared" si="103"/>
        <v>8.2859847942905428E-3</v>
      </c>
      <c r="N545" s="9">
        <f t="shared" ref="N545:N608" si="106">STDEV(I516:I545)</f>
        <v>7.5496540027639543E-3</v>
      </c>
    </row>
    <row r="546" spans="1:14" x14ac:dyDescent="0.35">
      <c r="A546" s="1">
        <v>43166</v>
      </c>
      <c r="B546" s="2" t="s">
        <v>546</v>
      </c>
      <c r="C546">
        <f t="shared" si="95"/>
        <v>73909.47</v>
      </c>
      <c r="D546">
        <f t="shared" si="96"/>
        <v>2018</v>
      </c>
      <c r="E546">
        <f t="shared" si="97"/>
        <v>3</v>
      </c>
      <c r="F546" t="str">
        <f t="shared" si="99"/>
        <v>March</v>
      </c>
      <c r="G546">
        <f t="shared" si="98"/>
        <v>7</v>
      </c>
      <c r="H546" s="7">
        <f t="shared" si="100"/>
        <v>-0.84056037895250868</v>
      </c>
      <c r="I546" s="9">
        <f t="shared" si="101"/>
        <v>-8.4411300971800069E-3</v>
      </c>
      <c r="J546" s="9">
        <f t="shared" si="102"/>
        <v>74636.498571428572</v>
      </c>
      <c r="K546" s="9">
        <f t="shared" si="105"/>
        <v>75163.222000000009</v>
      </c>
      <c r="L546" s="9">
        <f t="shared" si="104"/>
        <v>78069.814777777778</v>
      </c>
      <c r="M546" s="9">
        <f t="shared" si="103"/>
        <v>8.6011717444400126E-3</v>
      </c>
      <c r="N546" s="9">
        <f t="shared" si="106"/>
        <v>7.630125671217465E-3</v>
      </c>
    </row>
    <row r="547" spans="1:14" x14ac:dyDescent="0.35">
      <c r="A547" s="1">
        <v>43167</v>
      </c>
      <c r="B547" s="2" t="s">
        <v>547</v>
      </c>
      <c r="C547">
        <f t="shared" si="95"/>
        <v>73608.070000000007</v>
      </c>
      <c r="D547">
        <f t="shared" si="96"/>
        <v>2018</v>
      </c>
      <c r="E547">
        <f t="shared" si="97"/>
        <v>3</v>
      </c>
      <c r="F547" t="str">
        <f t="shared" si="99"/>
        <v>March</v>
      </c>
      <c r="G547">
        <f t="shared" si="98"/>
        <v>8</v>
      </c>
      <c r="H547" s="7">
        <f t="shared" si="100"/>
        <v>-0.40779618633443609</v>
      </c>
      <c r="I547" s="9">
        <f t="shared" si="101"/>
        <v>-4.0862994243808255E-3</v>
      </c>
      <c r="J547" s="9">
        <f t="shared" si="102"/>
        <v>74389.805714285714</v>
      </c>
      <c r="K547" s="9">
        <f t="shared" si="105"/>
        <v>75001.350333333321</v>
      </c>
      <c r="L547" s="9">
        <f t="shared" si="104"/>
        <v>78005.126111111109</v>
      </c>
      <c r="M547" s="9">
        <f t="shared" si="103"/>
        <v>8.5966019280719012E-3</v>
      </c>
      <c r="N547" s="9">
        <f t="shared" si="106"/>
        <v>7.6377707636660942E-3</v>
      </c>
    </row>
    <row r="548" spans="1:14" x14ac:dyDescent="0.35">
      <c r="A548" s="1">
        <v>43168</v>
      </c>
      <c r="B548" s="2" t="s">
        <v>548</v>
      </c>
      <c r="C548">
        <f t="shared" si="95"/>
        <v>73282.899999999994</v>
      </c>
      <c r="D548">
        <f t="shared" si="96"/>
        <v>2018</v>
      </c>
      <c r="E548">
        <f t="shared" si="97"/>
        <v>3</v>
      </c>
      <c r="F548" t="str">
        <f t="shared" si="99"/>
        <v>March</v>
      </c>
      <c r="G548">
        <f t="shared" si="98"/>
        <v>9</v>
      </c>
      <c r="H548" s="7">
        <f t="shared" si="100"/>
        <v>-0.44175862782438502</v>
      </c>
      <c r="I548" s="9">
        <f t="shared" si="101"/>
        <v>-4.4273726445535509E-3</v>
      </c>
      <c r="J548" s="9">
        <f t="shared" si="102"/>
        <v>74176.68857142856</v>
      </c>
      <c r="K548" s="9">
        <f t="shared" si="105"/>
        <v>74859.475333333306</v>
      </c>
      <c r="L548" s="9">
        <f t="shared" si="104"/>
        <v>77935.184888888878</v>
      </c>
      <c r="M548" s="9">
        <f t="shared" si="103"/>
        <v>8.4271611756554406E-3</v>
      </c>
      <c r="N548" s="9">
        <f t="shared" si="106"/>
        <v>7.428958391915483E-3</v>
      </c>
    </row>
    <row r="549" spans="1:14" x14ac:dyDescent="0.35">
      <c r="A549" s="1">
        <v>43171</v>
      </c>
      <c r="B549" s="2" t="s">
        <v>549</v>
      </c>
      <c r="C549">
        <f t="shared" si="95"/>
        <v>73254.19</v>
      </c>
      <c r="D549">
        <f t="shared" si="96"/>
        <v>2018</v>
      </c>
      <c r="E549">
        <f t="shared" si="97"/>
        <v>3</v>
      </c>
      <c r="F549" t="str">
        <f t="shared" si="99"/>
        <v>March</v>
      </c>
      <c r="G549">
        <f t="shared" si="98"/>
        <v>12</v>
      </c>
      <c r="H549" s="7">
        <f t="shared" si="100"/>
        <v>-3.9176943052187961E-2</v>
      </c>
      <c r="I549" s="9">
        <f t="shared" si="101"/>
        <v>-3.9184619221447231E-4</v>
      </c>
      <c r="J549" s="9">
        <f t="shared" si="102"/>
        <v>73874.004285714283</v>
      </c>
      <c r="K549" s="9">
        <f t="shared" si="105"/>
        <v>74728.700666666657</v>
      </c>
      <c r="L549" s="9">
        <f t="shared" si="104"/>
        <v>77854.247333333347</v>
      </c>
      <c r="M549" s="9">
        <f t="shared" si="103"/>
        <v>7.1253537934411765E-3</v>
      </c>
      <c r="N549" s="9">
        <f t="shared" si="106"/>
        <v>7.4145589733936573E-3</v>
      </c>
    </row>
    <row r="550" spans="1:14" x14ac:dyDescent="0.35">
      <c r="A550" s="1">
        <v>43172</v>
      </c>
      <c r="B550" s="2" t="s">
        <v>550</v>
      </c>
      <c r="C550">
        <f t="shared" si="95"/>
        <v>72419.7</v>
      </c>
      <c r="D550">
        <f t="shared" si="96"/>
        <v>2018</v>
      </c>
      <c r="E550">
        <f t="shared" si="97"/>
        <v>3</v>
      </c>
      <c r="F550" t="str">
        <f t="shared" si="99"/>
        <v>March</v>
      </c>
      <c r="G550">
        <f t="shared" si="98"/>
        <v>13</v>
      </c>
      <c r="H550" s="7">
        <f t="shared" si="100"/>
        <v>-1.1391703327823366</v>
      </c>
      <c r="I550" s="9">
        <f t="shared" si="101"/>
        <v>-1.1457085799585057E-2</v>
      </c>
      <c r="J550" s="9">
        <f t="shared" si="102"/>
        <v>73634.257142857154</v>
      </c>
      <c r="K550" s="9">
        <f t="shared" si="105"/>
        <v>74578.374666666656</v>
      </c>
      <c r="L550" s="9">
        <f t="shared" si="104"/>
        <v>77749.257111111103</v>
      </c>
      <c r="M550" s="9">
        <f t="shared" si="103"/>
        <v>5.5673308426151735E-3</v>
      </c>
      <c r="N550" s="9">
        <f t="shared" si="106"/>
        <v>7.6209448637166921E-3</v>
      </c>
    </row>
    <row r="551" spans="1:14" x14ac:dyDescent="0.35">
      <c r="A551" s="1">
        <v>43173</v>
      </c>
      <c r="B551" s="2" t="s">
        <v>551</v>
      </c>
      <c r="C551">
        <f t="shared" si="95"/>
        <v>71868.070000000007</v>
      </c>
      <c r="D551">
        <f t="shared" si="96"/>
        <v>2018</v>
      </c>
      <c r="E551">
        <f t="shared" si="97"/>
        <v>3</v>
      </c>
      <c r="F551" t="str">
        <f t="shared" si="99"/>
        <v>March</v>
      </c>
      <c r="G551">
        <f t="shared" si="98"/>
        <v>14</v>
      </c>
      <c r="H551" s="7">
        <f t="shared" si="100"/>
        <v>-0.76171262791752814</v>
      </c>
      <c r="I551" s="9">
        <f t="shared" si="101"/>
        <v>-7.6462847490889095E-3</v>
      </c>
      <c r="J551" s="9">
        <f t="shared" si="102"/>
        <v>73268.341428571439</v>
      </c>
      <c r="K551" s="9">
        <f t="shared" si="105"/>
        <v>74414.761999999973</v>
      </c>
      <c r="L551" s="9">
        <f t="shared" si="104"/>
        <v>77628.178777777779</v>
      </c>
      <c r="M551" s="9">
        <f t="shared" si="103"/>
        <v>4.5512046178951601E-3</v>
      </c>
      <c r="N551" s="9">
        <f t="shared" si="106"/>
        <v>7.6899952967987573E-3</v>
      </c>
    </row>
    <row r="552" spans="1:14" x14ac:dyDescent="0.35">
      <c r="A552" s="1">
        <v>43174</v>
      </c>
      <c r="B552" s="2" t="s">
        <v>552</v>
      </c>
      <c r="C552">
        <f t="shared" si="95"/>
        <v>72430.460000000006</v>
      </c>
      <c r="D552">
        <f t="shared" si="96"/>
        <v>2018</v>
      </c>
      <c r="E552">
        <f t="shared" si="97"/>
        <v>3</v>
      </c>
      <c r="F552" t="str">
        <f t="shared" si="99"/>
        <v>March</v>
      </c>
      <c r="G552">
        <f t="shared" si="98"/>
        <v>15</v>
      </c>
      <c r="H552" s="7">
        <f t="shared" si="100"/>
        <v>0.78253110178136043</v>
      </c>
      <c r="I552" s="9">
        <f t="shared" si="101"/>
        <v>7.7948520688599652E-3</v>
      </c>
      <c r="J552" s="9">
        <f t="shared" si="102"/>
        <v>72967.551428571431</v>
      </c>
      <c r="K552" s="9">
        <f t="shared" si="105"/>
        <v>74281.499666666641</v>
      </c>
      <c r="L552" s="9">
        <f t="shared" si="104"/>
        <v>77530.754555555541</v>
      </c>
      <c r="M552" s="9">
        <f t="shared" si="103"/>
        <v>6.3363138773859249E-3</v>
      </c>
      <c r="N552" s="9">
        <f t="shared" si="106"/>
        <v>7.887843081021733E-3</v>
      </c>
    </row>
    <row r="553" spans="1:14" x14ac:dyDescent="0.35">
      <c r="A553" s="1">
        <v>43175</v>
      </c>
      <c r="B553" s="2" t="s">
        <v>553</v>
      </c>
      <c r="C553">
        <f t="shared" si="95"/>
        <v>72990.7</v>
      </c>
      <c r="D553">
        <f t="shared" si="96"/>
        <v>2018</v>
      </c>
      <c r="E553">
        <f t="shared" si="97"/>
        <v>3</v>
      </c>
      <c r="F553" t="str">
        <f t="shared" si="99"/>
        <v>March</v>
      </c>
      <c r="G553">
        <f t="shared" si="98"/>
        <v>16</v>
      </c>
      <c r="H553" s="7">
        <f t="shared" si="100"/>
        <v>0.77348673472457674</v>
      </c>
      <c r="I553" s="9">
        <f t="shared" si="101"/>
        <v>7.7051066257821455E-3</v>
      </c>
      <c r="J553" s="9">
        <f t="shared" si="102"/>
        <v>72836.298571428575</v>
      </c>
      <c r="K553" s="9">
        <f t="shared" si="105"/>
        <v>74179.627999999997</v>
      </c>
      <c r="L553" s="9">
        <f t="shared" si="104"/>
        <v>77441.632888888882</v>
      </c>
      <c r="M553" s="9">
        <f t="shared" si="103"/>
        <v>7.3479992072527384E-3</v>
      </c>
      <c r="N553" s="9">
        <f t="shared" si="106"/>
        <v>8.0489682546884371E-3</v>
      </c>
    </row>
    <row r="554" spans="1:14" x14ac:dyDescent="0.35">
      <c r="A554" s="1">
        <v>43178</v>
      </c>
      <c r="B554" s="2" t="s">
        <v>554</v>
      </c>
      <c r="C554">
        <f t="shared" si="95"/>
        <v>73866.789999999994</v>
      </c>
      <c r="D554">
        <f t="shared" si="96"/>
        <v>2018</v>
      </c>
      <c r="E554">
        <f t="shared" si="97"/>
        <v>3</v>
      </c>
      <c r="F554" t="str">
        <f t="shared" si="99"/>
        <v>March</v>
      </c>
      <c r="G554">
        <f t="shared" si="98"/>
        <v>19</v>
      </c>
      <c r="H554" s="7">
        <f t="shared" si="100"/>
        <v>1.2002761995706255</v>
      </c>
      <c r="I554" s="9">
        <f t="shared" si="101"/>
        <v>1.1931300106318351E-2</v>
      </c>
      <c r="J554" s="9">
        <f t="shared" si="102"/>
        <v>72873.258571428567</v>
      </c>
      <c r="K554" s="9">
        <f t="shared" si="105"/>
        <v>74105.982000000004</v>
      </c>
      <c r="L554" s="9">
        <f t="shared" si="104"/>
        <v>77361.036000000007</v>
      </c>
      <c r="M554" s="9">
        <f t="shared" si="103"/>
        <v>8.8526011847735748E-3</v>
      </c>
      <c r="N554" s="9">
        <f t="shared" si="106"/>
        <v>8.4038716527875031E-3</v>
      </c>
    </row>
    <row r="555" spans="1:14" x14ac:dyDescent="0.35">
      <c r="A555" s="1">
        <v>43179</v>
      </c>
      <c r="B555" s="2" t="s">
        <v>555</v>
      </c>
      <c r="C555">
        <f t="shared" si="95"/>
        <v>74258.63</v>
      </c>
      <c r="D555">
        <f t="shared" si="96"/>
        <v>2018</v>
      </c>
      <c r="E555">
        <f t="shared" si="97"/>
        <v>3</v>
      </c>
      <c r="F555" t="str">
        <f t="shared" si="99"/>
        <v>March</v>
      </c>
      <c r="G555">
        <f t="shared" si="98"/>
        <v>20</v>
      </c>
      <c r="H555" s="7">
        <f t="shared" si="100"/>
        <v>0.53046842836951646</v>
      </c>
      <c r="I555" s="9">
        <f t="shared" si="101"/>
        <v>5.2906640062609861E-3</v>
      </c>
      <c r="J555" s="9">
        <f t="shared" si="102"/>
        <v>73012.648571428581</v>
      </c>
      <c r="K555" s="9">
        <f t="shared" si="105"/>
        <v>74032.731333333315</v>
      </c>
      <c r="L555" s="9">
        <f t="shared" si="104"/>
        <v>77289.707444444459</v>
      </c>
      <c r="M555" s="9">
        <f t="shared" si="103"/>
        <v>8.7117469850108882E-3</v>
      </c>
      <c r="N555" s="9">
        <f t="shared" si="106"/>
        <v>8.4116037073981437E-3</v>
      </c>
    </row>
    <row r="556" spans="1:14" x14ac:dyDescent="0.35">
      <c r="A556" s="1">
        <v>43181</v>
      </c>
      <c r="B556" s="2" t="s">
        <v>556</v>
      </c>
      <c r="C556">
        <f t="shared" si="95"/>
        <v>73484.56</v>
      </c>
      <c r="D556">
        <f t="shared" si="96"/>
        <v>2018</v>
      </c>
      <c r="E556">
        <f t="shared" si="97"/>
        <v>3</v>
      </c>
      <c r="F556" t="str">
        <f t="shared" si="99"/>
        <v>March</v>
      </c>
      <c r="G556">
        <f t="shared" si="98"/>
        <v>22</v>
      </c>
      <c r="H556" s="7">
        <f t="shared" si="100"/>
        <v>-1.0423973617611946</v>
      </c>
      <c r="I556" s="9">
        <f t="shared" si="101"/>
        <v>-1.0478683760774656E-2</v>
      </c>
      <c r="J556" s="9">
        <f t="shared" si="102"/>
        <v>73045.55857142857</v>
      </c>
      <c r="K556" s="9">
        <f t="shared" si="105"/>
        <v>73969.850333333321</v>
      </c>
      <c r="L556" s="9">
        <f t="shared" si="104"/>
        <v>77210.701000000001</v>
      </c>
      <c r="M556" s="9">
        <f t="shared" si="103"/>
        <v>9.9045472492342718E-3</v>
      </c>
      <c r="N556" s="9">
        <f t="shared" si="106"/>
        <v>8.2300740527663455E-3</v>
      </c>
    </row>
    <row r="557" spans="1:14" x14ac:dyDescent="0.35">
      <c r="A557" s="1">
        <v>43182</v>
      </c>
      <c r="B557" s="2" t="s">
        <v>557</v>
      </c>
      <c r="C557">
        <f t="shared" si="95"/>
        <v>73481.740000000005</v>
      </c>
      <c r="D557">
        <f t="shared" si="96"/>
        <v>2018</v>
      </c>
      <c r="E557">
        <f t="shared" si="97"/>
        <v>3</v>
      </c>
      <c r="F557" t="str">
        <f t="shared" si="99"/>
        <v>March</v>
      </c>
      <c r="G557">
        <f t="shared" si="98"/>
        <v>23</v>
      </c>
      <c r="H557" s="7">
        <f t="shared" si="100"/>
        <v>-3.8375408385005411E-3</v>
      </c>
      <c r="I557" s="9">
        <f t="shared" si="101"/>
        <v>-3.8376144739850429E-5</v>
      </c>
      <c r="J557" s="9">
        <f t="shared" si="102"/>
        <v>73197.278571428571</v>
      </c>
      <c r="K557" s="9">
        <f t="shared" si="105"/>
        <v>73941.596000000005</v>
      </c>
      <c r="L557" s="9">
        <f t="shared" si="104"/>
        <v>77130.426555555547</v>
      </c>
      <c r="M557" s="9">
        <f t="shared" si="103"/>
        <v>8.4505079323821258E-3</v>
      </c>
      <c r="N557" s="9">
        <f t="shared" si="106"/>
        <v>7.85133183660848E-3</v>
      </c>
    </row>
    <row r="558" spans="1:14" x14ac:dyDescent="0.35">
      <c r="A558" s="1">
        <v>43185</v>
      </c>
      <c r="B558" s="2" t="s">
        <v>558</v>
      </c>
      <c r="C558">
        <f t="shared" si="95"/>
        <v>73717.78</v>
      </c>
      <c r="D558">
        <f t="shared" si="96"/>
        <v>2018</v>
      </c>
      <c r="E558">
        <f t="shared" si="97"/>
        <v>3</v>
      </c>
      <c r="F558" t="str">
        <f t="shared" si="99"/>
        <v>March</v>
      </c>
      <c r="G558">
        <f t="shared" si="98"/>
        <v>26</v>
      </c>
      <c r="H558" s="7">
        <f t="shared" si="100"/>
        <v>0.32122266021462414</v>
      </c>
      <c r="I558" s="9">
        <f t="shared" si="101"/>
        <v>3.2070784240713075E-3</v>
      </c>
      <c r="J558" s="9">
        <f t="shared" si="102"/>
        <v>73461.52285714286</v>
      </c>
      <c r="K558" s="9">
        <f t="shared" si="105"/>
        <v>73915.05766666666</v>
      </c>
      <c r="L558" s="9">
        <f t="shared" si="104"/>
        <v>77055.156444444452</v>
      </c>
      <c r="M558" s="9">
        <f t="shared" si="103"/>
        <v>7.2836881487067752E-3</v>
      </c>
      <c r="N558" s="9">
        <f t="shared" si="106"/>
        <v>7.8615884792890105E-3</v>
      </c>
    </row>
    <row r="559" spans="1:14" x14ac:dyDescent="0.35">
      <c r="A559" s="1">
        <v>43186</v>
      </c>
      <c r="B559" s="2" t="s">
        <v>559</v>
      </c>
      <c r="C559">
        <f t="shared" si="95"/>
        <v>73604.11</v>
      </c>
      <c r="D559">
        <f t="shared" si="96"/>
        <v>2018</v>
      </c>
      <c r="E559">
        <f t="shared" si="97"/>
        <v>3</v>
      </c>
      <c r="F559" t="str">
        <f t="shared" si="99"/>
        <v>March</v>
      </c>
      <c r="G559">
        <f t="shared" si="98"/>
        <v>27</v>
      </c>
      <c r="H559" s="7">
        <f t="shared" si="100"/>
        <v>-0.15419617899507862</v>
      </c>
      <c r="I559" s="9">
        <f t="shared" si="101"/>
        <v>-1.5431518365265314E-3</v>
      </c>
      <c r="J559" s="9">
        <f t="shared" si="102"/>
        <v>73629.187142857132</v>
      </c>
      <c r="K559" s="9">
        <f t="shared" si="105"/>
        <v>73901.50033333333</v>
      </c>
      <c r="L559" s="9">
        <f t="shared" si="104"/>
        <v>76984.950222222236</v>
      </c>
      <c r="M559" s="9">
        <f t="shared" si="103"/>
        <v>7.2488672965012151E-3</v>
      </c>
      <c r="N559" s="9">
        <f t="shared" si="106"/>
        <v>7.7718594965272923E-3</v>
      </c>
    </row>
    <row r="560" spans="1:14" x14ac:dyDescent="0.35">
      <c r="A560" s="1">
        <v>43187</v>
      </c>
      <c r="B560" s="2" t="s">
        <v>560</v>
      </c>
      <c r="C560">
        <f t="shared" si="95"/>
        <v>73578.179999999993</v>
      </c>
      <c r="D560">
        <f t="shared" si="96"/>
        <v>2018</v>
      </c>
      <c r="E560">
        <f t="shared" si="97"/>
        <v>3</v>
      </c>
      <c r="F560" t="str">
        <f t="shared" si="99"/>
        <v>March</v>
      </c>
      <c r="G560">
        <f t="shared" si="98"/>
        <v>28</v>
      </c>
      <c r="H560" s="7">
        <f t="shared" si="100"/>
        <v>-3.5229010988662955E-2</v>
      </c>
      <c r="I560" s="9">
        <f t="shared" si="101"/>
        <v>-3.5235217862523565E-4</v>
      </c>
      <c r="J560" s="9">
        <f t="shared" si="102"/>
        <v>73713.112857142856</v>
      </c>
      <c r="K560" s="9">
        <f t="shared" si="105"/>
        <v>73902.402333333332</v>
      </c>
      <c r="L560" s="9">
        <f t="shared" si="104"/>
        <v>76909.882666666686</v>
      </c>
      <c r="M560" s="9">
        <f t="shared" si="103"/>
        <v>6.8770341749981234E-3</v>
      </c>
      <c r="N560" s="9">
        <f t="shared" si="106"/>
        <v>7.6877908010203324E-3</v>
      </c>
    </row>
    <row r="561" spans="1:14" x14ac:dyDescent="0.35">
      <c r="A561" s="1">
        <v>43188</v>
      </c>
      <c r="B561" s="2" t="s">
        <v>561</v>
      </c>
      <c r="C561">
        <f t="shared" si="95"/>
        <v>72241.72</v>
      </c>
      <c r="D561">
        <f t="shared" si="96"/>
        <v>2018</v>
      </c>
      <c r="E561">
        <f t="shared" si="97"/>
        <v>3</v>
      </c>
      <c r="F561" t="str">
        <f t="shared" si="99"/>
        <v>March</v>
      </c>
      <c r="G561">
        <f t="shared" si="98"/>
        <v>29</v>
      </c>
      <c r="H561" s="7">
        <f t="shared" si="100"/>
        <v>-1.8163808890081161</v>
      </c>
      <c r="I561" s="9">
        <f t="shared" si="101"/>
        <v>-1.8330796039284041E-2</v>
      </c>
      <c r="J561" s="9">
        <f t="shared" si="102"/>
        <v>73480.959999999992</v>
      </c>
      <c r="K561" s="9">
        <f t="shared" si="105"/>
        <v>73865.007666666672</v>
      </c>
      <c r="L561" s="9">
        <f t="shared" si="104"/>
        <v>76818.650888888893</v>
      </c>
      <c r="M561" s="9">
        <f t="shared" si="103"/>
        <v>8.3257528165639541E-3</v>
      </c>
      <c r="N561" s="9">
        <f t="shared" si="106"/>
        <v>8.3780287681167586E-3</v>
      </c>
    </row>
    <row r="562" spans="1:14" x14ac:dyDescent="0.35">
      <c r="A562" s="1">
        <v>43193</v>
      </c>
      <c r="B562" s="2" t="s">
        <v>562</v>
      </c>
      <c r="C562">
        <f t="shared" si="95"/>
        <v>72633.149999999994</v>
      </c>
      <c r="D562">
        <f t="shared" si="96"/>
        <v>2018</v>
      </c>
      <c r="E562">
        <f t="shared" si="97"/>
        <v>4</v>
      </c>
      <c r="F562" t="str">
        <f t="shared" si="99"/>
        <v>April</v>
      </c>
      <c r="G562">
        <f t="shared" si="98"/>
        <v>3</v>
      </c>
      <c r="H562" s="7">
        <f t="shared" si="100"/>
        <v>0.54183372156697407</v>
      </c>
      <c r="I562" s="9">
        <f t="shared" si="101"/>
        <v>5.4037108365606705E-3</v>
      </c>
      <c r="J562" s="9">
        <f t="shared" si="102"/>
        <v>73248.748571428572</v>
      </c>
      <c r="K562" s="9">
        <f t="shared" si="105"/>
        <v>73843.731666666674</v>
      </c>
      <c r="L562" s="9">
        <f t="shared" si="104"/>
        <v>76724.307222222225</v>
      </c>
      <c r="M562" s="9">
        <f t="shared" si="103"/>
        <v>8.3450046195111139E-3</v>
      </c>
      <c r="N562" s="9">
        <f t="shared" si="106"/>
        <v>8.4456359307757828E-3</v>
      </c>
    </row>
    <row r="563" spans="1:14" x14ac:dyDescent="0.35">
      <c r="A563" s="1">
        <v>43194</v>
      </c>
      <c r="B563" s="2" t="s">
        <v>563</v>
      </c>
      <c r="C563">
        <f t="shared" si="95"/>
        <v>72775.490000000005</v>
      </c>
      <c r="D563">
        <f t="shared" si="96"/>
        <v>2018</v>
      </c>
      <c r="E563">
        <f t="shared" si="97"/>
        <v>4</v>
      </c>
      <c r="F563" t="str">
        <f t="shared" si="99"/>
        <v>April</v>
      </c>
      <c r="G563">
        <f t="shared" si="98"/>
        <v>4</v>
      </c>
      <c r="H563" s="7">
        <f t="shared" si="100"/>
        <v>0.19597112337825232</v>
      </c>
      <c r="I563" s="9">
        <f t="shared" si="101"/>
        <v>1.9577935047773178E-3</v>
      </c>
      <c r="J563" s="9">
        <f t="shared" si="102"/>
        <v>73147.452857142867</v>
      </c>
      <c r="K563" s="9">
        <f t="shared" si="105"/>
        <v>73836.40866666667</v>
      </c>
      <c r="L563" s="9">
        <f t="shared" si="104"/>
        <v>76620.100777777785</v>
      </c>
      <c r="M563" s="9">
        <f t="shared" si="103"/>
        <v>7.8359515488866695E-3</v>
      </c>
      <c r="N563" s="9">
        <f t="shared" si="106"/>
        <v>8.4289068113927688E-3</v>
      </c>
    </row>
    <row r="564" spans="1:14" x14ac:dyDescent="0.35">
      <c r="A564" s="1">
        <v>43195</v>
      </c>
      <c r="B564" s="2" t="s">
        <v>564</v>
      </c>
      <c r="C564">
        <f t="shared" si="95"/>
        <v>72729.73</v>
      </c>
      <c r="D564">
        <f t="shared" si="96"/>
        <v>2018</v>
      </c>
      <c r="E564">
        <f t="shared" si="97"/>
        <v>4</v>
      </c>
      <c r="F564" t="str">
        <f t="shared" si="99"/>
        <v>April</v>
      </c>
      <c r="G564">
        <f t="shared" si="98"/>
        <v>5</v>
      </c>
      <c r="H564" s="7">
        <f t="shared" si="100"/>
        <v>-6.2878312464827529E-2</v>
      </c>
      <c r="I564" s="9">
        <f t="shared" si="101"/>
        <v>-6.2898089166328771E-4</v>
      </c>
      <c r="J564" s="9">
        <f t="shared" si="102"/>
        <v>73040.02285714286</v>
      </c>
      <c r="K564" s="9">
        <f t="shared" si="105"/>
        <v>73827.413</v>
      </c>
      <c r="L564" s="9">
        <f t="shared" si="104"/>
        <v>76520.581222222245</v>
      </c>
      <c r="M564" s="9">
        <f t="shared" si="103"/>
        <v>7.8222010336633438E-3</v>
      </c>
      <c r="N564" s="9">
        <f t="shared" si="106"/>
        <v>8.429392694586214E-3</v>
      </c>
    </row>
    <row r="565" spans="1:14" x14ac:dyDescent="0.35">
      <c r="A565" s="1">
        <v>43196</v>
      </c>
      <c r="B565" s="2" t="s">
        <v>565</v>
      </c>
      <c r="C565">
        <f t="shared" si="95"/>
        <v>72204.53</v>
      </c>
      <c r="D565">
        <f t="shared" si="96"/>
        <v>2018</v>
      </c>
      <c r="E565">
        <f t="shared" si="97"/>
        <v>4</v>
      </c>
      <c r="F565" t="str">
        <f t="shared" si="99"/>
        <v>April</v>
      </c>
      <c r="G565">
        <f t="shared" si="98"/>
        <v>6</v>
      </c>
      <c r="H565" s="7">
        <f t="shared" si="100"/>
        <v>-0.72212560118124614</v>
      </c>
      <c r="I565" s="9">
        <f t="shared" si="101"/>
        <v>-7.2474554859409054E-3</v>
      </c>
      <c r="J565" s="9">
        <f t="shared" si="102"/>
        <v>72823.84428571428</v>
      </c>
      <c r="K565" s="9">
        <f t="shared" si="105"/>
        <v>73750.276333333313</v>
      </c>
      <c r="L565" s="9">
        <f t="shared" si="104"/>
        <v>76421.809444444458</v>
      </c>
      <c r="M565" s="9">
        <f t="shared" si="103"/>
        <v>7.7783981737917108E-3</v>
      </c>
      <c r="N565" s="9">
        <f t="shared" si="106"/>
        <v>7.5572147153460641E-3</v>
      </c>
    </row>
    <row r="566" spans="1:14" x14ac:dyDescent="0.35">
      <c r="A566" s="1">
        <v>43199</v>
      </c>
      <c r="B566" s="2" t="s">
        <v>566</v>
      </c>
      <c r="C566">
        <f t="shared" si="95"/>
        <v>73142.11</v>
      </c>
      <c r="D566">
        <f t="shared" si="96"/>
        <v>2018</v>
      </c>
      <c r="E566">
        <f t="shared" si="97"/>
        <v>4</v>
      </c>
      <c r="F566" t="str">
        <f t="shared" si="99"/>
        <v>April</v>
      </c>
      <c r="G566">
        <f t="shared" si="98"/>
        <v>9</v>
      </c>
      <c r="H566" s="7">
        <f t="shared" si="100"/>
        <v>1.298505786271307</v>
      </c>
      <c r="I566" s="9">
        <f t="shared" si="101"/>
        <v>1.2901474775441577E-2</v>
      </c>
      <c r="J566" s="9">
        <f t="shared" si="102"/>
        <v>72757.84428571428</v>
      </c>
      <c r="K566" s="9">
        <f t="shared" si="105"/>
        <v>73677.954666666657</v>
      </c>
      <c r="L566" s="9">
        <f t="shared" si="104"/>
        <v>76340.662777777805</v>
      </c>
      <c r="M566" s="9">
        <f t="shared" si="103"/>
        <v>9.8563065222257648E-3</v>
      </c>
      <c r="N566" s="9">
        <f t="shared" si="106"/>
        <v>7.6907527282636728E-3</v>
      </c>
    </row>
    <row r="567" spans="1:14" x14ac:dyDescent="0.35">
      <c r="A567" s="1">
        <v>43200</v>
      </c>
      <c r="B567" s="2" t="s">
        <v>567</v>
      </c>
      <c r="C567">
        <f t="shared" si="95"/>
        <v>73621.240000000005</v>
      </c>
      <c r="D567">
        <f t="shared" si="96"/>
        <v>2018</v>
      </c>
      <c r="E567">
        <f t="shared" si="97"/>
        <v>4</v>
      </c>
      <c r="F567" t="str">
        <f t="shared" si="99"/>
        <v>April</v>
      </c>
      <c r="G567">
        <f t="shared" si="98"/>
        <v>10</v>
      </c>
      <c r="H567" s="7">
        <f t="shared" si="100"/>
        <v>0.6550672382844912</v>
      </c>
      <c r="I567" s="9">
        <f t="shared" si="101"/>
        <v>6.529309969873786E-3</v>
      </c>
      <c r="J567" s="9">
        <f t="shared" si="102"/>
        <v>72763.995714285717</v>
      </c>
      <c r="K567" s="9">
        <f t="shared" si="105"/>
        <v>73621.887666666677</v>
      </c>
      <c r="L567" s="9">
        <f t="shared" si="104"/>
        <v>76262.898555555585</v>
      </c>
      <c r="M567" s="9">
        <f t="shared" si="103"/>
        <v>1.0255107661835672E-2</v>
      </c>
      <c r="N567" s="9">
        <f t="shared" si="106"/>
        <v>7.8110788829923996E-3</v>
      </c>
    </row>
    <row r="568" spans="1:14" x14ac:dyDescent="0.35">
      <c r="A568" s="1">
        <v>43201</v>
      </c>
      <c r="B568" s="2" t="s">
        <v>568</v>
      </c>
      <c r="C568">
        <f t="shared" si="95"/>
        <v>74213.39</v>
      </c>
      <c r="D568">
        <f t="shared" si="96"/>
        <v>2018</v>
      </c>
      <c r="E568">
        <f t="shared" si="97"/>
        <v>4</v>
      </c>
      <c r="F568" t="str">
        <f t="shared" si="99"/>
        <v>April</v>
      </c>
      <c r="G568">
        <f t="shared" si="98"/>
        <v>11</v>
      </c>
      <c r="H568" s="7">
        <f t="shared" si="100"/>
        <v>0.80431951431406778</v>
      </c>
      <c r="I568" s="9">
        <f t="shared" si="101"/>
        <v>8.0110210555866673E-3</v>
      </c>
      <c r="J568" s="9">
        <f t="shared" si="102"/>
        <v>73045.662857142859</v>
      </c>
      <c r="K568" s="9">
        <f t="shared" si="105"/>
        <v>73578.321666666685</v>
      </c>
      <c r="L568" s="9">
        <f t="shared" si="104"/>
        <v>76189.897222222251</v>
      </c>
      <c r="M568" s="9">
        <f t="shared" si="103"/>
        <v>6.5272654843795772E-3</v>
      </c>
      <c r="N568" s="9">
        <f t="shared" si="106"/>
        <v>7.9483535376146351E-3</v>
      </c>
    </row>
    <row r="569" spans="1:14" x14ac:dyDescent="0.35">
      <c r="A569" s="1">
        <v>43202</v>
      </c>
      <c r="B569" s="2" t="s">
        <v>569</v>
      </c>
      <c r="C569">
        <f t="shared" si="95"/>
        <v>74112.740000000005</v>
      </c>
      <c r="D569">
        <f t="shared" si="96"/>
        <v>2018</v>
      </c>
      <c r="E569">
        <f t="shared" si="97"/>
        <v>4</v>
      </c>
      <c r="F569" t="str">
        <f t="shared" si="99"/>
        <v>April</v>
      </c>
      <c r="G569">
        <f t="shared" si="98"/>
        <v>12</v>
      </c>
      <c r="H569" s="7">
        <f t="shared" si="100"/>
        <v>-0.13562242608779113</v>
      </c>
      <c r="I569" s="9">
        <f t="shared" si="101"/>
        <v>-1.357144765368601E-3</v>
      </c>
      <c r="J569" s="9">
        <f t="shared" si="102"/>
        <v>73257.032857142854</v>
      </c>
      <c r="K569" s="9">
        <f t="shared" si="105"/>
        <v>73532.515666666673</v>
      </c>
      <c r="L569" s="9">
        <f t="shared" si="104"/>
        <v>76115.623444444485</v>
      </c>
      <c r="M569" s="9">
        <f t="shared" si="103"/>
        <v>6.7547138346757451E-3</v>
      </c>
      <c r="N569" s="9">
        <f t="shared" si="106"/>
        <v>7.9495547665925023E-3</v>
      </c>
    </row>
    <row r="570" spans="1:14" x14ac:dyDescent="0.35">
      <c r="A570" s="1">
        <v>43203</v>
      </c>
      <c r="B570" s="2" t="s">
        <v>570</v>
      </c>
      <c r="C570">
        <f t="shared" si="95"/>
        <v>73029.61</v>
      </c>
      <c r="D570">
        <f t="shared" si="96"/>
        <v>2018</v>
      </c>
      <c r="E570">
        <f t="shared" si="97"/>
        <v>4</v>
      </c>
      <c r="F570" t="str">
        <f t="shared" si="99"/>
        <v>April</v>
      </c>
      <c r="G570">
        <f t="shared" si="98"/>
        <v>13</v>
      </c>
      <c r="H570" s="7">
        <f t="shared" si="100"/>
        <v>-1.4614626311211873</v>
      </c>
      <c r="I570" s="9">
        <f t="shared" si="101"/>
        <v>-1.472247200172664E-2</v>
      </c>
      <c r="J570" s="9">
        <f t="shared" si="102"/>
        <v>73293.335714285713</v>
      </c>
      <c r="K570" s="9">
        <f t="shared" si="105"/>
        <v>73455.672000000006</v>
      </c>
      <c r="L570" s="9">
        <f t="shared" si="104"/>
        <v>76025.338222222272</v>
      </c>
      <c r="M570" s="9">
        <f t="shared" si="103"/>
        <v>9.5134542316075398E-3</v>
      </c>
      <c r="N570" s="9">
        <f t="shared" si="106"/>
        <v>8.3550732339558002E-3</v>
      </c>
    </row>
    <row r="571" spans="1:14" x14ac:dyDescent="0.35">
      <c r="A571" s="1">
        <v>43206</v>
      </c>
      <c r="B571" s="2" t="s">
        <v>571</v>
      </c>
      <c r="C571">
        <f t="shared" si="95"/>
        <v>72946.009999999995</v>
      </c>
      <c r="D571">
        <f t="shared" si="96"/>
        <v>2018</v>
      </c>
      <c r="E571">
        <f t="shared" si="97"/>
        <v>4</v>
      </c>
      <c r="F571" t="str">
        <f t="shared" si="99"/>
        <v>April</v>
      </c>
      <c r="G571">
        <f t="shared" si="98"/>
        <v>16</v>
      </c>
      <c r="H571" s="7">
        <f t="shared" si="100"/>
        <v>-0.11447411536225625</v>
      </c>
      <c r="I571" s="9">
        <f t="shared" si="101"/>
        <v>-1.1453968702418728E-3</v>
      </c>
      <c r="J571" s="9">
        <f t="shared" si="102"/>
        <v>73324.232857142852</v>
      </c>
      <c r="K571" s="9">
        <f t="shared" si="105"/>
        <v>73394.714999999997</v>
      </c>
      <c r="L571" s="9">
        <f t="shared" si="104"/>
        <v>75938.374111111159</v>
      </c>
      <c r="M571" s="9">
        <f t="shared" si="103"/>
        <v>9.5256443476375869E-3</v>
      </c>
      <c r="N571" s="9">
        <f t="shared" si="106"/>
        <v>8.2666192667017208E-3</v>
      </c>
    </row>
    <row r="572" spans="1:14" x14ac:dyDescent="0.35">
      <c r="A572" s="1">
        <v>43207</v>
      </c>
      <c r="B572" s="2" t="s">
        <v>572</v>
      </c>
      <c r="C572">
        <f t="shared" si="95"/>
        <v>73580.88</v>
      </c>
      <c r="D572">
        <f t="shared" si="96"/>
        <v>2018</v>
      </c>
      <c r="E572">
        <f t="shared" si="97"/>
        <v>4</v>
      </c>
      <c r="F572" t="str">
        <f t="shared" si="99"/>
        <v>April</v>
      </c>
      <c r="G572">
        <f t="shared" si="98"/>
        <v>17</v>
      </c>
      <c r="H572" s="7">
        <f t="shared" si="100"/>
        <v>0.87032861701415876</v>
      </c>
      <c r="I572" s="9">
        <f t="shared" si="101"/>
        <v>8.6656309003921364E-3</v>
      </c>
      <c r="J572" s="9">
        <f t="shared" si="102"/>
        <v>73520.854285714289</v>
      </c>
      <c r="K572" s="9">
        <f t="shared" si="105"/>
        <v>73334.978333333318</v>
      </c>
      <c r="L572" s="9">
        <f t="shared" si="104"/>
        <v>75873.327000000063</v>
      </c>
      <c r="M572" s="9">
        <f t="shared" si="103"/>
        <v>9.2854670173717398E-3</v>
      </c>
      <c r="N572" s="9">
        <f t="shared" si="106"/>
        <v>8.2931106624629762E-3</v>
      </c>
    </row>
    <row r="573" spans="1:14" x14ac:dyDescent="0.35">
      <c r="A573" s="1">
        <v>43208</v>
      </c>
      <c r="B573" s="2" t="s">
        <v>573</v>
      </c>
      <c r="C573">
        <f t="shared" si="95"/>
        <v>73616.06</v>
      </c>
      <c r="D573">
        <f t="shared" si="96"/>
        <v>2018</v>
      </c>
      <c r="E573">
        <f t="shared" si="97"/>
        <v>4</v>
      </c>
      <c r="F573" t="str">
        <f t="shared" si="99"/>
        <v>April</v>
      </c>
      <c r="G573">
        <f t="shared" si="98"/>
        <v>18</v>
      </c>
      <c r="H573" s="7">
        <f t="shared" si="100"/>
        <v>4.7811333596435662E-2</v>
      </c>
      <c r="I573" s="9">
        <f t="shared" si="101"/>
        <v>4.7799907620131647E-4</v>
      </c>
      <c r="J573" s="9">
        <f t="shared" si="102"/>
        <v>73588.561428571425</v>
      </c>
      <c r="K573" s="9">
        <f t="shared" si="105"/>
        <v>73318.915999999997</v>
      </c>
      <c r="L573" s="9">
        <f t="shared" si="104"/>
        <v>75804.018444444504</v>
      </c>
      <c r="M573" s="9">
        <f t="shared" si="103"/>
        <v>8.1248100733023257E-3</v>
      </c>
      <c r="N573" s="9">
        <f t="shared" si="106"/>
        <v>7.7047227623560817E-3</v>
      </c>
    </row>
    <row r="574" spans="1:14" x14ac:dyDescent="0.35">
      <c r="A574" s="1">
        <v>43209</v>
      </c>
      <c r="B574" s="2" t="s">
        <v>574</v>
      </c>
      <c r="C574">
        <f t="shared" si="95"/>
        <v>73218.44</v>
      </c>
      <c r="D574">
        <f t="shared" si="96"/>
        <v>2018</v>
      </c>
      <c r="E574">
        <f t="shared" si="97"/>
        <v>4</v>
      </c>
      <c r="F574" t="str">
        <f t="shared" si="99"/>
        <v>April</v>
      </c>
      <c r="G574">
        <f t="shared" si="98"/>
        <v>19</v>
      </c>
      <c r="H574" s="7">
        <f t="shared" si="100"/>
        <v>-0.54012670604755997</v>
      </c>
      <c r="I574" s="9">
        <f t="shared" si="101"/>
        <v>-5.4159066420606068E-3</v>
      </c>
      <c r="J574" s="9">
        <f t="shared" si="102"/>
        <v>73531.018571428576</v>
      </c>
      <c r="K574" s="9">
        <f t="shared" si="105"/>
        <v>73278.547999999995</v>
      </c>
      <c r="L574" s="9">
        <f t="shared" si="104"/>
        <v>75731.922111111169</v>
      </c>
      <c r="M574" s="9">
        <f t="shared" si="103"/>
        <v>8.0045323022422225E-3</v>
      </c>
      <c r="N574" s="9">
        <f t="shared" si="106"/>
        <v>7.708858383090017E-3</v>
      </c>
    </row>
    <row r="575" spans="1:14" x14ac:dyDescent="0.35">
      <c r="A575" s="1">
        <v>43210</v>
      </c>
      <c r="B575" s="2" t="s">
        <v>575</v>
      </c>
      <c r="C575">
        <f t="shared" si="95"/>
        <v>73009.740000000005</v>
      </c>
      <c r="D575">
        <f t="shared" si="96"/>
        <v>2018</v>
      </c>
      <c r="E575">
        <f t="shared" si="97"/>
        <v>4</v>
      </c>
      <c r="F575" t="str">
        <f t="shared" si="99"/>
        <v>April</v>
      </c>
      <c r="G575">
        <f t="shared" si="98"/>
        <v>20</v>
      </c>
      <c r="H575" s="7">
        <f t="shared" si="100"/>
        <v>-0.28503748509254923</v>
      </c>
      <c r="I575" s="9">
        <f t="shared" si="101"/>
        <v>-2.8544449052812135E-3</v>
      </c>
      <c r="J575" s="9">
        <f t="shared" si="102"/>
        <v>73359.068571428565</v>
      </c>
      <c r="K575" s="9">
        <f t="shared" si="105"/>
        <v>73227.67300000001</v>
      </c>
      <c r="L575" s="9">
        <f t="shared" si="104"/>
        <v>75665.704444444505</v>
      </c>
      <c r="M575" s="9">
        <f t="shared" si="103"/>
        <v>7.0060624382916013E-3</v>
      </c>
      <c r="N575" s="9">
        <f t="shared" si="106"/>
        <v>7.7106594886578363E-3</v>
      </c>
    </row>
    <row r="576" spans="1:14" x14ac:dyDescent="0.35">
      <c r="A576" s="1">
        <v>43213</v>
      </c>
      <c r="B576" s="2" t="s">
        <v>576</v>
      </c>
      <c r="C576">
        <f t="shared" si="95"/>
        <v>73062.59</v>
      </c>
      <c r="D576">
        <f t="shared" si="96"/>
        <v>2018</v>
      </c>
      <c r="E576">
        <f t="shared" si="97"/>
        <v>4</v>
      </c>
      <c r="F576" t="str">
        <f t="shared" si="99"/>
        <v>April</v>
      </c>
      <c r="G576">
        <f t="shared" si="98"/>
        <v>23</v>
      </c>
      <c r="H576" s="7">
        <f t="shared" si="100"/>
        <v>7.2387601982956337E-2</v>
      </c>
      <c r="I576" s="9">
        <f t="shared" si="101"/>
        <v>7.2361414795111406E-4</v>
      </c>
      <c r="J576" s="9">
        <f t="shared" si="102"/>
        <v>73209.047142857133</v>
      </c>
      <c r="K576" s="9">
        <f t="shared" si="105"/>
        <v>73199.443666666673</v>
      </c>
      <c r="L576" s="9">
        <f t="shared" si="104"/>
        <v>75596.928888888942</v>
      </c>
      <c r="M576" s="9">
        <f t="shared" si="103"/>
        <v>7.0980499768536504E-3</v>
      </c>
      <c r="N576" s="9">
        <f t="shared" si="106"/>
        <v>7.5732874107105504E-3</v>
      </c>
    </row>
    <row r="577" spans="1:14" x14ac:dyDescent="0.35">
      <c r="A577" s="1">
        <v>43214</v>
      </c>
      <c r="B577" s="2" t="s">
        <v>577</v>
      </c>
      <c r="C577">
        <f t="shared" si="95"/>
        <v>73722.100000000006</v>
      </c>
      <c r="D577">
        <f t="shared" si="96"/>
        <v>2018</v>
      </c>
      <c r="E577">
        <f t="shared" si="97"/>
        <v>4</v>
      </c>
      <c r="F577" t="str">
        <f t="shared" si="99"/>
        <v>April</v>
      </c>
      <c r="G577">
        <f t="shared" si="98"/>
        <v>24</v>
      </c>
      <c r="H577" s="7">
        <f t="shared" si="100"/>
        <v>0.90266441416874121</v>
      </c>
      <c r="I577" s="9">
        <f t="shared" si="101"/>
        <v>8.9861475061643464E-3</v>
      </c>
      <c r="J577" s="9">
        <f t="shared" si="102"/>
        <v>73307.974285714285</v>
      </c>
      <c r="K577" s="9">
        <f t="shared" si="105"/>
        <v>73203.24466666668</v>
      </c>
      <c r="L577" s="9">
        <f t="shared" si="104"/>
        <v>75531.868111111165</v>
      </c>
      <c r="M577" s="9">
        <f t="shared" si="103"/>
        <v>5.517604891484164E-3</v>
      </c>
      <c r="N577" s="9">
        <f t="shared" si="106"/>
        <v>7.7274389048509872E-3</v>
      </c>
    </row>
    <row r="578" spans="1:14" x14ac:dyDescent="0.35">
      <c r="A578" s="1">
        <v>43215</v>
      </c>
      <c r="B578" s="2" t="s">
        <v>578</v>
      </c>
      <c r="C578">
        <f t="shared" si="95"/>
        <v>73423.3</v>
      </c>
      <c r="D578">
        <f t="shared" si="96"/>
        <v>2018</v>
      </c>
      <c r="E578">
        <f t="shared" si="97"/>
        <v>4</v>
      </c>
      <c r="F578" t="str">
        <f t="shared" si="99"/>
        <v>April</v>
      </c>
      <c r="G578">
        <f t="shared" si="98"/>
        <v>25</v>
      </c>
      <c r="H578" s="7">
        <f t="shared" si="100"/>
        <v>-0.40530587164500592</v>
      </c>
      <c r="I578" s="9">
        <f t="shared" si="101"/>
        <v>-4.0612946201964133E-3</v>
      </c>
      <c r="J578" s="9">
        <f t="shared" si="102"/>
        <v>73376.158571428561</v>
      </c>
      <c r="K578" s="9">
        <f t="shared" si="105"/>
        <v>73207.924666666673</v>
      </c>
      <c r="L578" s="9">
        <f t="shared" si="104"/>
        <v>75455.869888888934</v>
      </c>
      <c r="M578" s="9">
        <f t="shared" si="103"/>
        <v>5.8380070037027413E-3</v>
      </c>
      <c r="N578" s="9">
        <f t="shared" si="106"/>
        <v>7.7204079959394562E-3</v>
      </c>
    </row>
    <row r="579" spans="1:14" x14ac:dyDescent="0.35">
      <c r="A579" s="1">
        <v>43216</v>
      </c>
      <c r="B579" s="2" t="s">
        <v>579</v>
      </c>
      <c r="C579">
        <f t="shared" ref="C579:C642" si="107">_xlfn.NUMBERVALUE(B579,".",",")</f>
        <v>73725.38</v>
      </c>
      <c r="D579">
        <f t="shared" ref="D579:D642" si="108">YEAR(A579)</f>
        <v>2018</v>
      </c>
      <c r="E579">
        <f t="shared" ref="E579:E642" si="109">MONTH(A579)</f>
        <v>4</v>
      </c>
      <c r="F579" t="str">
        <f t="shared" si="99"/>
        <v>April</v>
      </c>
      <c r="G579">
        <f t="shared" ref="G579:G642" si="110">DAY(A579)</f>
        <v>26</v>
      </c>
      <c r="H579" s="7">
        <f t="shared" si="100"/>
        <v>0.41142253208450413</v>
      </c>
      <c r="I579" s="9">
        <f t="shared" si="101"/>
        <v>4.1057850380800398E-3</v>
      </c>
      <c r="J579" s="9">
        <f t="shared" si="102"/>
        <v>73396.801428571416</v>
      </c>
      <c r="K579" s="9">
        <f t="shared" si="105"/>
        <v>73223.631000000008</v>
      </c>
      <c r="L579" s="9">
        <f t="shared" si="104"/>
        <v>75388.734555555609</v>
      </c>
      <c r="M579" s="9">
        <f t="shared" si="103"/>
        <v>5.0296548673225729E-3</v>
      </c>
      <c r="N579" s="9">
        <f t="shared" si="106"/>
        <v>7.7548472496509532E-3</v>
      </c>
    </row>
    <row r="580" spans="1:14" x14ac:dyDescent="0.35">
      <c r="A580" s="1">
        <v>43220</v>
      </c>
      <c r="B580" s="2" t="s">
        <v>580</v>
      </c>
      <c r="C580">
        <f t="shared" si="107"/>
        <v>74313.440000000002</v>
      </c>
      <c r="D580">
        <f t="shared" si="108"/>
        <v>2018</v>
      </c>
      <c r="E580">
        <f t="shared" si="109"/>
        <v>4</v>
      </c>
      <c r="F580" t="str">
        <f t="shared" ref="F580:F643" si="111">TEXT(A580,"mmmm")</f>
        <v>April</v>
      </c>
      <c r="G580">
        <f t="shared" si="110"/>
        <v>30</v>
      </c>
      <c r="H580" s="7">
        <f t="shared" ref="H580:H643" si="112">((C580-C579)/C579)*100</f>
        <v>0.7976357666789885</v>
      </c>
      <c r="I580" s="9">
        <f t="shared" ref="I580:I643" si="113">LN(C580/C579)</f>
        <v>7.9447146784663043E-3</v>
      </c>
      <c r="J580" s="9">
        <f t="shared" si="102"/>
        <v>73496.427142857137</v>
      </c>
      <c r="K580" s="9">
        <f t="shared" si="105"/>
        <v>73286.755666666679</v>
      </c>
      <c r="L580" s="9">
        <f t="shared" si="104"/>
        <v>75324.73888888894</v>
      </c>
      <c r="M580" s="9">
        <f t="shared" si="103"/>
        <v>5.809828090188921E-3</v>
      </c>
      <c r="N580" s="9">
        <f t="shared" si="106"/>
        <v>7.5544114752616595E-3</v>
      </c>
    </row>
    <row r="581" spans="1:14" x14ac:dyDescent="0.35">
      <c r="A581" s="1">
        <v>43222</v>
      </c>
      <c r="B581" s="2" t="s">
        <v>581</v>
      </c>
      <c r="C581">
        <f t="shared" si="107"/>
        <v>74558.52</v>
      </c>
      <c r="D581">
        <f t="shared" si="108"/>
        <v>2018</v>
      </c>
      <c r="E581">
        <f t="shared" si="109"/>
        <v>5</v>
      </c>
      <c r="F581" t="str">
        <f t="shared" si="111"/>
        <v>May</v>
      </c>
      <c r="G581">
        <f t="shared" si="110"/>
        <v>2</v>
      </c>
      <c r="H581" s="7">
        <f t="shared" si="112"/>
        <v>0.3297922959830708</v>
      </c>
      <c r="I581" s="9">
        <f t="shared" si="113"/>
        <v>3.2924967388058032E-3</v>
      </c>
      <c r="J581" s="9">
        <f t="shared" si="102"/>
        <v>73687.867142857154</v>
      </c>
      <c r="K581" s="9">
        <f t="shared" si="105"/>
        <v>73376.437333333335</v>
      </c>
      <c r="L581" s="9">
        <f t="shared" si="104"/>
        <v>75256.347777777832</v>
      </c>
      <c r="M581" s="9">
        <f t="shared" si="103"/>
        <v>4.9956625806944141E-3</v>
      </c>
      <c r="N581" s="9">
        <f t="shared" si="106"/>
        <v>7.3919029041627487E-3</v>
      </c>
    </row>
    <row r="582" spans="1:14" x14ac:dyDescent="0.35">
      <c r="A582" s="1">
        <v>43223</v>
      </c>
      <c r="B582" s="2" t="s">
        <v>582</v>
      </c>
      <c r="C582">
        <f t="shared" si="107"/>
        <v>74033.919999999998</v>
      </c>
      <c r="D582">
        <f t="shared" si="108"/>
        <v>2018</v>
      </c>
      <c r="E582">
        <f t="shared" si="109"/>
        <v>5</v>
      </c>
      <c r="F582" t="str">
        <f t="shared" si="111"/>
        <v>May</v>
      </c>
      <c r="G582">
        <f t="shared" si="110"/>
        <v>3</v>
      </c>
      <c r="H582" s="7">
        <f t="shared" si="112"/>
        <v>-0.70360838707636064</v>
      </c>
      <c r="I582" s="9">
        <f t="shared" si="113"/>
        <v>-7.0609538356468677E-3</v>
      </c>
      <c r="J582" s="9">
        <f t="shared" si="102"/>
        <v>73834.178571428565</v>
      </c>
      <c r="K582" s="9">
        <f t="shared" si="105"/>
        <v>73429.885999999999</v>
      </c>
      <c r="L582" s="9">
        <f t="shared" si="104"/>
        <v>75192.848777777821</v>
      </c>
      <c r="M582" s="9">
        <f t="shared" si="103"/>
        <v>5.9262047427296226E-3</v>
      </c>
      <c r="N582" s="9">
        <f t="shared" si="106"/>
        <v>7.4340930048441296E-3</v>
      </c>
    </row>
    <row r="583" spans="1:14" x14ac:dyDescent="0.35">
      <c r="A583" s="1">
        <v>43224</v>
      </c>
      <c r="B583" s="2" t="s">
        <v>583</v>
      </c>
      <c r="C583">
        <f t="shared" si="107"/>
        <v>74381.960000000006</v>
      </c>
      <c r="D583">
        <f t="shared" si="108"/>
        <v>2018</v>
      </c>
      <c r="E583">
        <f t="shared" si="109"/>
        <v>5</v>
      </c>
      <c r="F583" t="str">
        <f t="shared" si="111"/>
        <v>May</v>
      </c>
      <c r="G583">
        <f t="shared" si="110"/>
        <v>4</v>
      </c>
      <c r="H583" s="7">
        <f t="shared" si="112"/>
        <v>0.47010883659815411</v>
      </c>
      <c r="I583" s="9">
        <f t="shared" si="113"/>
        <v>4.6900727601357104E-3</v>
      </c>
      <c r="J583" s="9">
        <f t="shared" si="102"/>
        <v>74022.66</v>
      </c>
      <c r="K583" s="9">
        <f t="shared" si="105"/>
        <v>73476.261333333343</v>
      </c>
      <c r="L583" s="9">
        <f t="shared" si="104"/>
        <v>75163.161888888935</v>
      </c>
      <c r="M583" s="9">
        <f t="shared" si="103"/>
        <v>5.9743612787510163E-3</v>
      </c>
      <c r="N583" s="9">
        <f t="shared" si="106"/>
        <v>7.3565189452548356E-3</v>
      </c>
    </row>
    <row r="584" spans="1:14" x14ac:dyDescent="0.35">
      <c r="A584" s="1">
        <v>43227</v>
      </c>
      <c r="B584" s="2" t="s">
        <v>584</v>
      </c>
      <c r="C584">
        <f t="shared" si="107"/>
        <v>74469.95</v>
      </c>
      <c r="D584">
        <f t="shared" si="108"/>
        <v>2018</v>
      </c>
      <c r="E584">
        <f t="shared" si="109"/>
        <v>5</v>
      </c>
      <c r="F584" t="str">
        <f t="shared" si="111"/>
        <v>May</v>
      </c>
      <c r="G584">
        <f t="shared" si="110"/>
        <v>7</v>
      </c>
      <c r="H584" s="7">
        <f t="shared" si="112"/>
        <v>0.11829481234427094</v>
      </c>
      <c r="I584" s="9">
        <f t="shared" si="113"/>
        <v>1.1822489916147548E-3</v>
      </c>
      <c r="J584" s="9">
        <f t="shared" si="102"/>
        <v>74129.495714285717</v>
      </c>
      <c r="K584" s="9">
        <f t="shared" si="105"/>
        <v>73496.366666666683</v>
      </c>
      <c r="L584" s="9">
        <f t="shared" si="104"/>
        <v>75141.916666666701</v>
      </c>
      <c r="M584" s="9">
        <f t="shared" si="103"/>
        <v>5.2600587738266648E-3</v>
      </c>
      <c r="N584" s="9">
        <f t="shared" si="106"/>
        <v>7.0421235629752089E-3</v>
      </c>
    </row>
    <row r="585" spans="1:14" x14ac:dyDescent="0.35">
      <c r="A585" s="1">
        <v>43228</v>
      </c>
      <c r="B585" s="2" t="s">
        <v>585</v>
      </c>
      <c r="C585">
        <f t="shared" si="107"/>
        <v>74555.87</v>
      </c>
      <c r="D585">
        <f t="shared" si="108"/>
        <v>2018</v>
      </c>
      <c r="E585">
        <f t="shared" si="109"/>
        <v>5</v>
      </c>
      <c r="F585" t="str">
        <f t="shared" si="111"/>
        <v>May</v>
      </c>
      <c r="G585">
        <f t="shared" si="110"/>
        <v>8</v>
      </c>
      <c r="H585" s="7">
        <f t="shared" si="112"/>
        <v>0.1153753963847139</v>
      </c>
      <c r="I585" s="9">
        <f t="shared" si="113"/>
        <v>1.1530889012391402E-3</v>
      </c>
      <c r="J585" s="9">
        <f t="shared" ref="J585:J648" si="114">AVERAGE(C579:C585)</f>
        <v>74291.291428571436</v>
      </c>
      <c r="K585" s="9">
        <f t="shared" si="105"/>
        <v>73506.274666666694</v>
      </c>
      <c r="L585" s="9">
        <f t="shared" si="104"/>
        <v>75114.195222222246</v>
      </c>
      <c r="M585" s="9">
        <f t="shared" si="103"/>
        <v>4.6890592015973922E-3</v>
      </c>
      <c r="N585" s="9">
        <f t="shared" si="106"/>
        <v>6.9806744957926258E-3</v>
      </c>
    </row>
    <row r="586" spans="1:14" x14ac:dyDescent="0.35">
      <c r="A586" s="1">
        <v>43229</v>
      </c>
      <c r="B586" s="2" t="s">
        <v>586</v>
      </c>
      <c r="C586">
        <f t="shared" si="107"/>
        <v>74611.45</v>
      </c>
      <c r="D586">
        <f t="shared" si="108"/>
        <v>2018</v>
      </c>
      <c r="E586">
        <f t="shared" si="109"/>
        <v>5</v>
      </c>
      <c r="F586" t="str">
        <f t="shared" si="111"/>
        <v>May</v>
      </c>
      <c r="G586">
        <f t="shared" si="110"/>
        <v>9</v>
      </c>
      <c r="H586" s="7">
        <f t="shared" si="112"/>
        <v>7.4548120758300779E-2</v>
      </c>
      <c r="I586" s="9">
        <f t="shared" si="113"/>
        <v>7.452034744889767E-4</v>
      </c>
      <c r="J586" s="9">
        <f t="shared" si="114"/>
        <v>74417.872857142866</v>
      </c>
      <c r="K586" s="9">
        <f t="shared" si="105"/>
        <v>73543.837666666674</v>
      </c>
      <c r="L586" s="9">
        <f t="shared" si="104"/>
        <v>75097.908000000025</v>
      </c>
      <c r="M586" s="9">
        <f t="shared" ref="M586:M649" si="115">STDEV(I580:I586)</f>
        <v>4.6315198173411736E-3</v>
      </c>
      <c r="N586" s="9">
        <f t="shared" si="106"/>
        <v>6.6869117507082822E-3</v>
      </c>
    </row>
    <row r="587" spans="1:14" x14ac:dyDescent="0.35">
      <c r="A587" s="1">
        <v>43230</v>
      </c>
      <c r="B587" s="2" t="s">
        <v>587</v>
      </c>
      <c r="C587">
        <f t="shared" si="107"/>
        <v>74370.53</v>
      </c>
      <c r="D587">
        <f t="shared" si="108"/>
        <v>2018</v>
      </c>
      <c r="E587">
        <f t="shared" si="109"/>
        <v>5</v>
      </c>
      <c r="F587" t="str">
        <f t="shared" si="111"/>
        <v>May</v>
      </c>
      <c r="G587">
        <f t="shared" si="110"/>
        <v>10</v>
      </c>
      <c r="H587" s="7">
        <f t="shared" si="112"/>
        <v>-0.32289950134999151</v>
      </c>
      <c r="I587" s="9">
        <f t="shared" si="113"/>
        <v>-3.2342194674204387E-3</v>
      </c>
      <c r="J587" s="9">
        <f t="shared" si="114"/>
        <v>74426.028571428586</v>
      </c>
      <c r="K587" s="9">
        <f t="shared" si="105"/>
        <v>73573.463999999993</v>
      </c>
      <c r="L587" s="9">
        <f t="shared" si="104"/>
        <v>75077.712111111134</v>
      </c>
      <c r="M587" s="9">
        <f t="shared" si="115"/>
        <v>4.0073467935394496E-3</v>
      </c>
      <c r="N587" s="9">
        <f t="shared" si="106"/>
        <v>6.7212723573348383E-3</v>
      </c>
    </row>
    <row r="588" spans="1:14" x14ac:dyDescent="0.35">
      <c r="A588" s="1">
        <v>43231</v>
      </c>
      <c r="B588" s="2" t="s">
        <v>588</v>
      </c>
      <c r="C588">
        <f t="shared" si="107"/>
        <v>75084.38</v>
      </c>
      <c r="D588">
        <f t="shared" si="108"/>
        <v>2018</v>
      </c>
      <c r="E588">
        <f t="shared" si="109"/>
        <v>5</v>
      </c>
      <c r="F588" t="str">
        <f t="shared" si="111"/>
        <v>May</v>
      </c>
      <c r="G588">
        <f t="shared" si="110"/>
        <v>11</v>
      </c>
      <c r="H588" s="7">
        <f t="shared" si="112"/>
        <v>0.95985600748039013</v>
      </c>
      <c r="I588" s="9">
        <f t="shared" si="113"/>
        <v>9.5527865704386674E-3</v>
      </c>
      <c r="J588" s="9">
        <f t="shared" si="114"/>
        <v>74501.151428571437</v>
      </c>
      <c r="K588" s="9">
        <f t="shared" si="105"/>
        <v>73619.017333333322</v>
      </c>
      <c r="L588" s="9">
        <f t="shared" si="104"/>
        <v>75058.074333333352</v>
      </c>
      <c r="M588" s="9">
        <f t="shared" si="115"/>
        <v>5.3197093385945081E-3</v>
      </c>
      <c r="N588" s="9">
        <f t="shared" si="106"/>
        <v>6.9098416872512142E-3</v>
      </c>
    </row>
    <row r="589" spans="1:14" x14ac:dyDescent="0.35">
      <c r="A589" s="1">
        <v>43234</v>
      </c>
      <c r="B589" s="2" t="s">
        <v>589</v>
      </c>
      <c r="C589">
        <f t="shared" si="107"/>
        <v>74040.539999999994</v>
      </c>
      <c r="D589">
        <f t="shared" si="108"/>
        <v>2018</v>
      </c>
      <c r="E589">
        <f t="shared" si="109"/>
        <v>5</v>
      </c>
      <c r="F589" t="str">
        <f t="shared" si="111"/>
        <v>May</v>
      </c>
      <c r="G589">
        <f t="shared" si="110"/>
        <v>14</v>
      </c>
      <c r="H589" s="7">
        <f t="shared" si="112"/>
        <v>-1.3902225735898877</v>
      </c>
      <c r="I589" s="9">
        <f t="shared" si="113"/>
        <v>-1.399976675612491E-2</v>
      </c>
      <c r="J589" s="9">
        <f t="shared" si="114"/>
        <v>74502.097142857136</v>
      </c>
      <c r="K589" s="9">
        <f t="shared" si="105"/>
        <v>73633.564999999988</v>
      </c>
      <c r="L589" s="9">
        <f t="shared" si="104"/>
        <v>75023.817666666699</v>
      </c>
      <c r="M589" s="9">
        <f t="shared" si="115"/>
        <v>7.3369802066918319E-3</v>
      </c>
      <c r="N589" s="9">
        <f t="shared" si="106"/>
        <v>7.4006647924834759E-3</v>
      </c>
    </row>
    <row r="590" spans="1:14" x14ac:dyDescent="0.35">
      <c r="A590" s="1">
        <v>43235</v>
      </c>
      <c r="B590" s="2" t="s">
        <v>590</v>
      </c>
      <c r="C590">
        <f t="shared" si="107"/>
        <v>74320.11</v>
      </c>
      <c r="D590">
        <f t="shared" si="108"/>
        <v>2018</v>
      </c>
      <c r="E590">
        <f t="shared" si="109"/>
        <v>5</v>
      </c>
      <c r="F590" t="str">
        <f t="shared" si="111"/>
        <v>May</v>
      </c>
      <c r="G590">
        <f t="shared" si="110"/>
        <v>15</v>
      </c>
      <c r="H590" s="7">
        <f t="shared" si="112"/>
        <v>0.3775904389676345</v>
      </c>
      <c r="I590" s="9">
        <f t="shared" si="113"/>
        <v>3.7687935569582988E-3</v>
      </c>
      <c r="J590" s="9">
        <f t="shared" si="114"/>
        <v>74493.261428571437</v>
      </c>
      <c r="K590" s="9">
        <f t="shared" si="105"/>
        <v>73658.295999999988</v>
      </c>
      <c r="L590" s="9">
        <f t="shared" si="104"/>
        <v>74995.939666666702</v>
      </c>
      <c r="M590" s="9">
        <f t="shared" si="115"/>
        <v>7.2468036499527952E-3</v>
      </c>
      <c r="N590" s="9">
        <f t="shared" si="106"/>
        <v>7.4283116592207508E-3</v>
      </c>
    </row>
    <row r="591" spans="1:14" x14ac:dyDescent="0.35">
      <c r="A591" s="1">
        <v>43236</v>
      </c>
      <c r="B591" s="2" t="s">
        <v>591</v>
      </c>
      <c r="C591">
        <f t="shared" si="107"/>
        <v>73337.19</v>
      </c>
      <c r="D591">
        <f t="shared" si="108"/>
        <v>2018</v>
      </c>
      <c r="E591">
        <f t="shared" si="109"/>
        <v>5</v>
      </c>
      <c r="F591" t="str">
        <f t="shared" si="111"/>
        <v>May</v>
      </c>
      <c r="G591">
        <f t="shared" si="110"/>
        <v>16</v>
      </c>
      <c r="H591" s="7">
        <f t="shared" si="112"/>
        <v>-1.3225491727609098</v>
      </c>
      <c r="I591" s="9">
        <f t="shared" si="113"/>
        <v>-1.3313727380112468E-2</v>
      </c>
      <c r="J591" s="9">
        <f t="shared" si="114"/>
        <v>74331.43857142856</v>
      </c>
      <c r="K591" s="9">
        <f t="shared" si="105"/>
        <v>73694.811666666661</v>
      </c>
      <c r="L591" s="9">
        <f t="shared" si="104"/>
        <v>74957.10022222226</v>
      </c>
      <c r="M591" s="9">
        <f t="shared" si="115"/>
        <v>8.7320312186703764E-3</v>
      </c>
      <c r="N591" s="9">
        <f t="shared" si="106"/>
        <v>7.0399281434492976E-3</v>
      </c>
    </row>
    <row r="592" spans="1:14" x14ac:dyDescent="0.35">
      <c r="A592" s="1">
        <v>43237</v>
      </c>
      <c r="B592" s="2" t="s">
        <v>592</v>
      </c>
      <c r="C592">
        <f t="shared" si="107"/>
        <v>72351.5</v>
      </c>
      <c r="D592">
        <f t="shared" si="108"/>
        <v>2018</v>
      </c>
      <c r="E592">
        <f t="shared" si="109"/>
        <v>5</v>
      </c>
      <c r="F592" t="str">
        <f t="shared" si="111"/>
        <v>May</v>
      </c>
      <c r="G592">
        <f t="shared" si="110"/>
        <v>17</v>
      </c>
      <c r="H592" s="7">
        <f t="shared" si="112"/>
        <v>-1.3440520423539577</v>
      </c>
      <c r="I592" s="9">
        <f t="shared" si="113"/>
        <v>-1.3531661797809255E-2</v>
      </c>
      <c r="J592" s="9">
        <f t="shared" si="114"/>
        <v>74016.528571428571</v>
      </c>
      <c r="K592" s="9">
        <f t="shared" si="105"/>
        <v>73685.423333333325</v>
      </c>
      <c r="L592" s="9">
        <f t="shared" si="104"/>
        <v>74897.158777777804</v>
      </c>
      <c r="M592" s="9">
        <f t="shared" si="115"/>
        <v>9.523220183431394E-3</v>
      </c>
      <c r="N592" s="9">
        <f t="shared" si="106"/>
        <v>7.4236571568097294E-3</v>
      </c>
    </row>
    <row r="593" spans="1:14" x14ac:dyDescent="0.35">
      <c r="A593" s="1">
        <v>43238</v>
      </c>
      <c r="B593" s="2" t="s">
        <v>593</v>
      </c>
      <c r="C593">
        <f t="shared" si="107"/>
        <v>72660.91</v>
      </c>
      <c r="D593">
        <f t="shared" si="108"/>
        <v>2018</v>
      </c>
      <c r="E593">
        <f t="shared" si="109"/>
        <v>5</v>
      </c>
      <c r="F593" t="str">
        <f t="shared" si="111"/>
        <v>May</v>
      </c>
      <c r="G593">
        <f t="shared" si="110"/>
        <v>18</v>
      </c>
      <c r="H593" s="7">
        <f t="shared" si="112"/>
        <v>0.42764835559733178</v>
      </c>
      <c r="I593" s="9">
        <f t="shared" si="113"/>
        <v>4.2673653867283659E-3</v>
      </c>
      <c r="J593" s="9">
        <f t="shared" si="114"/>
        <v>73737.88</v>
      </c>
      <c r="K593" s="9">
        <f t="shared" si="105"/>
        <v>73681.604000000007</v>
      </c>
      <c r="L593" s="9">
        <f t="shared" si="104"/>
        <v>74852.232666666692</v>
      </c>
      <c r="M593" s="9">
        <f t="shared" si="115"/>
        <v>9.9182980209970018E-3</v>
      </c>
      <c r="N593" s="9">
        <f t="shared" si="106"/>
        <v>7.4579458815362742E-3</v>
      </c>
    </row>
    <row r="594" spans="1:14" x14ac:dyDescent="0.35">
      <c r="A594" s="1">
        <v>43241</v>
      </c>
      <c r="B594" s="2" t="s">
        <v>594</v>
      </c>
      <c r="C594">
        <f t="shared" si="107"/>
        <v>72344.399999999994</v>
      </c>
      <c r="D594">
        <f t="shared" si="108"/>
        <v>2018</v>
      </c>
      <c r="E594">
        <f t="shared" si="109"/>
        <v>5</v>
      </c>
      <c r="F594" t="str">
        <f t="shared" si="111"/>
        <v>May</v>
      </c>
      <c r="G594">
        <f t="shared" si="110"/>
        <v>21</v>
      </c>
      <c r="H594" s="7">
        <f t="shared" si="112"/>
        <v>-0.43559872839468883</v>
      </c>
      <c r="I594" s="9">
        <f t="shared" si="113"/>
        <v>-4.3655022379551758E-3</v>
      </c>
      <c r="J594" s="9">
        <f t="shared" si="114"/>
        <v>73448.432857142863</v>
      </c>
      <c r="K594" s="9">
        <f t="shared" si="105"/>
        <v>73668.75966666665</v>
      </c>
      <c r="L594" s="9">
        <f t="shared" si="104"/>
        <v>74798.707000000024</v>
      </c>
      <c r="M594" s="9">
        <f t="shared" si="115"/>
        <v>9.9170567369990838E-3</v>
      </c>
      <c r="N594" s="9">
        <f t="shared" si="106"/>
        <v>7.4989926926096132E-3</v>
      </c>
    </row>
    <row r="595" spans="1:14" x14ac:dyDescent="0.35">
      <c r="A595" s="1">
        <v>43242</v>
      </c>
      <c r="B595" s="2" t="s">
        <v>595</v>
      </c>
      <c r="C595">
        <f t="shared" si="107"/>
        <v>71693.09</v>
      </c>
      <c r="D595">
        <f t="shared" si="108"/>
        <v>2018</v>
      </c>
      <c r="E595">
        <f t="shared" si="109"/>
        <v>5</v>
      </c>
      <c r="F595" t="str">
        <f t="shared" si="111"/>
        <v>May</v>
      </c>
      <c r="G595">
        <f t="shared" si="110"/>
        <v>22</v>
      </c>
      <c r="H595" s="7">
        <f t="shared" si="112"/>
        <v>-0.90029083108021868</v>
      </c>
      <c r="I595" s="9">
        <f t="shared" si="113"/>
        <v>-9.0436793797673727E-3</v>
      </c>
      <c r="J595" s="9">
        <f t="shared" si="114"/>
        <v>72963.962857142862</v>
      </c>
      <c r="K595" s="9">
        <f t="shared" si="105"/>
        <v>73651.711666666655</v>
      </c>
      <c r="L595" s="9">
        <f t="shared" si="104"/>
        <v>74722.228666666691</v>
      </c>
      <c r="M595" s="9">
        <f t="shared" si="115"/>
        <v>8.0047343375141567E-3</v>
      </c>
      <c r="N595" s="9">
        <f t="shared" si="106"/>
        <v>7.5642778974292614E-3</v>
      </c>
    </row>
    <row r="596" spans="1:14" x14ac:dyDescent="0.35">
      <c r="A596" s="1">
        <v>43243</v>
      </c>
      <c r="B596" s="2" t="s">
        <v>596</v>
      </c>
      <c r="C596">
        <f t="shared" si="107"/>
        <v>73007.62</v>
      </c>
      <c r="D596">
        <f t="shared" si="108"/>
        <v>2018</v>
      </c>
      <c r="E596">
        <f t="shared" si="109"/>
        <v>5</v>
      </c>
      <c r="F596" t="str">
        <f t="shared" si="111"/>
        <v>May</v>
      </c>
      <c r="G596">
        <f t="shared" si="110"/>
        <v>23</v>
      </c>
      <c r="H596" s="7">
        <f t="shared" si="112"/>
        <v>1.8335518806624165</v>
      </c>
      <c r="I596" s="9">
        <f t="shared" si="113"/>
        <v>1.8169450080763795E-2</v>
      </c>
      <c r="J596" s="9">
        <f t="shared" si="114"/>
        <v>72816.40285714285</v>
      </c>
      <c r="K596" s="9">
        <f t="shared" si="105"/>
        <v>73647.228666666648</v>
      </c>
      <c r="L596" s="9">
        <f t="shared" si="104"/>
        <v>74656.525777777817</v>
      </c>
      <c r="M596" s="9">
        <f t="shared" si="115"/>
        <v>1.1514873665411131E-2</v>
      </c>
      <c r="N596" s="9">
        <f t="shared" si="106"/>
        <v>7.9320019221551536E-3</v>
      </c>
    </row>
    <row r="597" spans="1:14" x14ac:dyDescent="0.35">
      <c r="A597" s="1">
        <v>43244</v>
      </c>
      <c r="B597" s="2" t="s">
        <v>597</v>
      </c>
      <c r="C597">
        <f t="shared" si="107"/>
        <v>73675.740000000005</v>
      </c>
      <c r="D597">
        <f t="shared" si="108"/>
        <v>2018</v>
      </c>
      <c r="E597">
        <f t="shared" si="109"/>
        <v>5</v>
      </c>
      <c r="F597" t="str">
        <f t="shared" si="111"/>
        <v>May</v>
      </c>
      <c r="G597">
        <f t="shared" si="110"/>
        <v>24</v>
      </c>
      <c r="H597" s="7">
        <f t="shared" si="112"/>
        <v>0.91513735141620822</v>
      </c>
      <c r="I597" s="9">
        <f t="shared" si="113"/>
        <v>9.1097534235237421E-3</v>
      </c>
      <c r="J597" s="9">
        <f t="shared" si="114"/>
        <v>72724.349999999991</v>
      </c>
      <c r="K597" s="9">
        <f t="shared" si="105"/>
        <v>73649.045333333328</v>
      </c>
      <c r="L597" s="9">
        <f t="shared" si="104"/>
        <v>74595.691333333365</v>
      </c>
      <c r="M597" s="9">
        <f t="shared" si="115"/>
        <v>1.2122301270494323E-2</v>
      </c>
      <c r="N597" s="9">
        <f t="shared" si="106"/>
        <v>8.0194448023007976E-3</v>
      </c>
    </row>
    <row r="598" spans="1:14" x14ac:dyDescent="0.35">
      <c r="A598" s="1">
        <v>43245</v>
      </c>
      <c r="B598" s="2" t="s">
        <v>598</v>
      </c>
      <c r="C598">
        <f t="shared" si="107"/>
        <v>74240.759999999995</v>
      </c>
      <c r="D598">
        <f t="shared" si="108"/>
        <v>2018</v>
      </c>
      <c r="E598">
        <f t="shared" si="109"/>
        <v>5</v>
      </c>
      <c r="F598" t="str">
        <f t="shared" si="111"/>
        <v>May</v>
      </c>
      <c r="G598">
        <f t="shared" si="110"/>
        <v>25</v>
      </c>
      <c r="H598" s="7">
        <f t="shared" si="112"/>
        <v>0.76690101789271403</v>
      </c>
      <c r="I598" s="9">
        <f t="shared" si="113"/>
        <v>7.6397528085385214E-3</v>
      </c>
      <c r="J598" s="9">
        <f t="shared" si="114"/>
        <v>72853.431428571435</v>
      </c>
      <c r="K598" s="9">
        <f t="shared" si="105"/>
        <v>73649.957666666669</v>
      </c>
      <c r="L598" s="9">
        <f t="shared" si="104"/>
        <v>74543.299000000028</v>
      </c>
      <c r="M598" s="9">
        <f t="shared" si="115"/>
        <v>1.1196894618622142E-2</v>
      </c>
      <c r="N598" s="9">
        <f t="shared" si="106"/>
        <v>8.0069720461132931E-3</v>
      </c>
    </row>
    <row r="599" spans="1:14" x14ac:dyDescent="0.35">
      <c r="A599" s="1">
        <v>43248</v>
      </c>
      <c r="B599" s="2" t="s">
        <v>599</v>
      </c>
      <c r="C599">
        <f t="shared" si="107"/>
        <v>73834.28</v>
      </c>
      <c r="D599">
        <f t="shared" si="108"/>
        <v>2018</v>
      </c>
      <c r="E599">
        <f t="shared" si="109"/>
        <v>5</v>
      </c>
      <c r="F599" t="str">
        <f t="shared" si="111"/>
        <v>May</v>
      </c>
      <c r="G599">
        <f t="shared" si="110"/>
        <v>28</v>
      </c>
      <c r="H599" s="7">
        <f t="shared" si="112"/>
        <v>-0.54751594676562565</v>
      </c>
      <c r="I599" s="9">
        <f t="shared" si="113"/>
        <v>-5.490203089199599E-3</v>
      </c>
      <c r="J599" s="9">
        <f t="shared" si="114"/>
        <v>73065.257142857154</v>
      </c>
      <c r="K599" s="9">
        <f t="shared" si="105"/>
        <v>73640.675666666648</v>
      </c>
      <c r="L599" s="9">
        <f t="shared" si="104"/>
        <v>74480.429111111138</v>
      </c>
      <c r="M599" s="9">
        <f t="shared" si="115"/>
        <v>9.6771773737124121E-3</v>
      </c>
      <c r="N599" s="9">
        <f t="shared" si="106"/>
        <v>8.0666814122257006E-3</v>
      </c>
    </row>
    <row r="600" spans="1:14" x14ac:dyDescent="0.35">
      <c r="A600" s="1">
        <v>43249</v>
      </c>
      <c r="B600" s="2" t="s">
        <v>600</v>
      </c>
      <c r="C600">
        <f t="shared" si="107"/>
        <v>73586.98</v>
      </c>
      <c r="D600">
        <f t="shared" si="108"/>
        <v>2018</v>
      </c>
      <c r="E600">
        <f t="shared" si="109"/>
        <v>5</v>
      </c>
      <c r="F600" t="str">
        <f t="shared" si="111"/>
        <v>May</v>
      </c>
      <c r="G600">
        <f t="shared" si="110"/>
        <v>29</v>
      </c>
      <c r="H600" s="7">
        <f t="shared" si="112"/>
        <v>-0.33493927211046537</v>
      </c>
      <c r="I600" s="9">
        <f t="shared" si="113"/>
        <v>-3.355014493430336E-3</v>
      </c>
      <c r="J600" s="9">
        <f t="shared" si="114"/>
        <v>73197.552857142859</v>
      </c>
      <c r="K600" s="9">
        <f t="shared" si="105"/>
        <v>73659.25466666666</v>
      </c>
      <c r="L600" s="9">
        <f t="shared" si="104"/>
        <v>74411.305888888906</v>
      </c>
      <c r="M600" s="9">
        <f t="shared" si="115"/>
        <v>9.9231509142043445E-3</v>
      </c>
      <c r="N600" s="9">
        <f t="shared" si="106"/>
        <v>7.611514595850832E-3</v>
      </c>
    </row>
    <row r="601" spans="1:14" x14ac:dyDescent="0.35">
      <c r="A601" s="1">
        <v>43250</v>
      </c>
      <c r="B601" s="2" t="s">
        <v>601</v>
      </c>
      <c r="C601">
        <f t="shared" si="107"/>
        <v>73826.149999999994</v>
      </c>
      <c r="D601">
        <f t="shared" si="108"/>
        <v>2018</v>
      </c>
      <c r="E601">
        <f t="shared" si="109"/>
        <v>5</v>
      </c>
      <c r="F601" t="str">
        <f t="shared" si="111"/>
        <v>May</v>
      </c>
      <c r="G601">
        <f t="shared" si="110"/>
        <v>30</v>
      </c>
      <c r="H601" s="7">
        <f t="shared" si="112"/>
        <v>0.32501673529746467</v>
      </c>
      <c r="I601" s="9">
        <f t="shared" si="113"/>
        <v>3.2448969757144777E-3</v>
      </c>
      <c r="J601" s="9">
        <f t="shared" si="114"/>
        <v>73409.231428571424</v>
      </c>
      <c r="K601" s="9">
        <f t="shared" si="105"/>
        <v>73688.592666666664</v>
      </c>
      <c r="L601" s="9">
        <f t="shared" si="104"/>
        <v>74341.896555555577</v>
      </c>
      <c r="M601" s="9">
        <f t="shared" si="115"/>
        <v>9.5435270880283359E-3</v>
      </c>
      <c r="N601" s="9">
        <f t="shared" si="106"/>
        <v>7.6258839611815137E-3</v>
      </c>
    </row>
    <row r="602" spans="1:14" x14ac:dyDescent="0.35">
      <c r="A602" s="1">
        <v>43251</v>
      </c>
      <c r="B602" s="2" t="s">
        <v>602</v>
      </c>
      <c r="C602">
        <f t="shared" si="107"/>
        <v>74103.23</v>
      </c>
      <c r="D602">
        <f t="shared" si="108"/>
        <v>2018</v>
      </c>
      <c r="E602">
        <f t="shared" si="109"/>
        <v>5</v>
      </c>
      <c r="F602" t="str">
        <f t="shared" si="111"/>
        <v>May</v>
      </c>
      <c r="G602">
        <f t="shared" si="110"/>
        <v>31</v>
      </c>
      <c r="H602" s="7">
        <f t="shared" si="112"/>
        <v>0.37531416713454757</v>
      </c>
      <c r="I602" s="9">
        <f t="shared" si="113"/>
        <v>3.7461162080287352E-3</v>
      </c>
      <c r="J602" s="9">
        <f t="shared" si="114"/>
        <v>73753.537142857138</v>
      </c>
      <c r="K602" s="9">
        <f t="shared" si="105"/>
        <v>73706.004333333331</v>
      </c>
      <c r="L602" s="9">
        <f t="shared" si="104"/>
        <v>74281.592111111138</v>
      </c>
      <c r="M602" s="9">
        <f t="shared" si="115"/>
        <v>7.9714176520358504E-3</v>
      </c>
      <c r="N602" s="9">
        <f t="shared" si="106"/>
        <v>7.4937584194827338E-3</v>
      </c>
    </row>
    <row r="603" spans="1:14" x14ac:dyDescent="0.35">
      <c r="A603" s="1">
        <v>43252</v>
      </c>
      <c r="B603" s="2" t="s">
        <v>603</v>
      </c>
      <c r="C603">
        <f t="shared" si="107"/>
        <v>74488.2</v>
      </c>
      <c r="D603">
        <f t="shared" si="108"/>
        <v>2018</v>
      </c>
      <c r="E603">
        <f t="shared" si="109"/>
        <v>6</v>
      </c>
      <c r="F603" t="str">
        <f t="shared" si="111"/>
        <v>June</v>
      </c>
      <c r="G603">
        <f t="shared" si="110"/>
        <v>1</v>
      </c>
      <c r="H603" s="7">
        <f t="shared" si="112"/>
        <v>0.51950502022651535</v>
      </c>
      <c r="I603" s="9">
        <f t="shared" si="113"/>
        <v>5.1816024832393318E-3</v>
      </c>
      <c r="J603" s="9">
        <f t="shared" si="114"/>
        <v>73965.048571428575</v>
      </c>
      <c r="K603" s="9">
        <f t="shared" si="105"/>
        <v>73735.075666666671</v>
      </c>
      <c r="L603" s="9">
        <f t="shared" si="104"/>
        <v>74225.805666666711</v>
      </c>
      <c r="M603" s="9">
        <f t="shared" si="115"/>
        <v>5.4249496874832119E-3</v>
      </c>
      <c r="N603" s="9">
        <f t="shared" si="106"/>
        <v>7.5480093491187431E-3</v>
      </c>
    </row>
    <row r="604" spans="1:14" x14ac:dyDescent="0.35">
      <c r="A604" s="1">
        <v>43255</v>
      </c>
      <c r="B604" s="2" t="s">
        <v>604</v>
      </c>
      <c r="C604">
        <f t="shared" si="107"/>
        <v>74522.490000000005</v>
      </c>
      <c r="D604">
        <f t="shared" si="108"/>
        <v>2018</v>
      </c>
      <c r="E604">
        <f t="shared" si="109"/>
        <v>6</v>
      </c>
      <c r="F604" t="str">
        <f t="shared" si="111"/>
        <v>June</v>
      </c>
      <c r="G604">
        <f t="shared" si="110"/>
        <v>4</v>
      </c>
      <c r="H604" s="7">
        <f t="shared" si="112"/>
        <v>4.6034136950561501E-2</v>
      </c>
      <c r="I604" s="9">
        <f t="shared" si="113"/>
        <v>4.6023544492383782E-4</v>
      </c>
      <c r="J604" s="9">
        <f t="shared" si="114"/>
        <v>74086.01285714285</v>
      </c>
      <c r="K604" s="9">
        <f t="shared" si="105"/>
        <v>73778.543999999994</v>
      </c>
      <c r="L604" s="9">
        <f t="shared" ref="L604:L667" si="116">AVERAGE(C515:C604)</f>
        <v>74172.038111111149</v>
      </c>
      <c r="M604" s="9">
        <f t="shared" si="115"/>
        <v>4.7034174903056395E-3</v>
      </c>
      <c r="N604" s="9">
        <f t="shared" si="106"/>
        <v>7.4678990162525263E-3</v>
      </c>
    </row>
    <row r="605" spans="1:14" x14ac:dyDescent="0.35">
      <c r="A605" s="1">
        <v>43256</v>
      </c>
      <c r="B605" s="2" t="s">
        <v>605</v>
      </c>
      <c r="C605">
        <f t="shared" si="107"/>
        <v>74510.720000000001</v>
      </c>
      <c r="D605">
        <f t="shared" si="108"/>
        <v>2018</v>
      </c>
      <c r="E605">
        <f t="shared" si="109"/>
        <v>6</v>
      </c>
      <c r="F605" t="str">
        <f t="shared" si="111"/>
        <v>June</v>
      </c>
      <c r="G605">
        <f t="shared" si="110"/>
        <v>5</v>
      </c>
      <c r="H605" s="7">
        <f t="shared" si="112"/>
        <v>-1.5793889871371817E-2</v>
      </c>
      <c r="I605" s="9">
        <f t="shared" si="113"/>
        <v>-1.5795137237500364E-4</v>
      </c>
      <c r="J605" s="9">
        <f t="shared" si="114"/>
        <v>74124.578571428574</v>
      </c>
      <c r="K605" s="9">
        <f t="shared" si="105"/>
        <v>73828.576666666675</v>
      </c>
      <c r="L605" s="9">
        <f t="shared" si="116"/>
        <v>74126.239666666705</v>
      </c>
      <c r="M605" s="9">
        <f t="shared" si="115"/>
        <v>3.8979669953815971E-3</v>
      </c>
      <c r="N605" s="9">
        <f t="shared" si="106"/>
        <v>7.4412113121359921E-3</v>
      </c>
    </row>
    <row r="606" spans="1:14" x14ac:dyDescent="0.35">
      <c r="A606" s="1">
        <v>43257</v>
      </c>
      <c r="B606" s="2" t="s">
        <v>606</v>
      </c>
      <c r="C606">
        <f t="shared" si="107"/>
        <v>75709.14</v>
      </c>
      <c r="D606">
        <f t="shared" si="108"/>
        <v>2018</v>
      </c>
      <c r="E606">
        <f t="shared" si="109"/>
        <v>6</v>
      </c>
      <c r="F606" t="str">
        <f t="shared" si="111"/>
        <v>June</v>
      </c>
      <c r="G606">
        <f t="shared" si="110"/>
        <v>6</v>
      </c>
      <c r="H606" s="7">
        <f t="shared" si="112"/>
        <v>1.6083860147908895</v>
      </c>
      <c r="I606" s="9">
        <f t="shared" si="113"/>
        <v>1.5955885265750189E-2</v>
      </c>
      <c r="J606" s="9">
        <f t="shared" si="114"/>
        <v>74392.415714285715</v>
      </c>
      <c r="K606" s="9">
        <f t="shared" si="105"/>
        <v>73916.794999999998</v>
      </c>
      <c r="L606" s="9">
        <f t="shared" si="116"/>
        <v>74093.153555555589</v>
      </c>
      <c r="M606" s="9">
        <f t="shared" si="115"/>
        <v>6.1599128388362939E-3</v>
      </c>
      <c r="N606" s="9">
        <f t="shared" si="106"/>
        <v>7.9469023853205364E-3</v>
      </c>
    </row>
    <row r="607" spans="1:14" x14ac:dyDescent="0.35">
      <c r="A607" s="1">
        <v>43258</v>
      </c>
      <c r="B607" s="2" t="s">
        <v>607</v>
      </c>
      <c r="C607">
        <f t="shared" si="107"/>
        <v>76893.149999999994</v>
      </c>
      <c r="D607">
        <f t="shared" si="108"/>
        <v>2018</v>
      </c>
      <c r="E607">
        <f t="shared" si="109"/>
        <v>6</v>
      </c>
      <c r="F607" t="str">
        <f t="shared" si="111"/>
        <v>June</v>
      </c>
      <c r="G607">
        <f t="shared" si="110"/>
        <v>7</v>
      </c>
      <c r="H607" s="7">
        <f t="shared" si="112"/>
        <v>1.5638930781673055</v>
      </c>
      <c r="I607" s="9">
        <f t="shared" si="113"/>
        <v>1.5517902903850512E-2</v>
      </c>
      <c r="J607" s="9">
        <f t="shared" si="114"/>
        <v>74864.725714285727</v>
      </c>
      <c r="K607" s="9">
        <f t="shared" si="105"/>
        <v>74022.496666666659</v>
      </c>
      <c r="L607" s="9">
        <f t="shared" si="116"/>
        <v>74075.697222222254</v>
      </c>
      <c r="M607" s="9">
        <f t="shared" si="115"/>
        <v>6.7220701095979298E-3</v>
      </c>
      <c r="N607" s="9">
        <f t="shared" si="106"/>
        <v>8.2516088831199267E-3</v>
      </c>
    </row>
    <row r="608" spans="1:14" x14ac:dyDescent="0.35">
      <c r="A608" s="1">
        <v>43259</v>
      </c>
      <c r="B608" s="2" t="s">
        <v>608</v>
      </c>
      <c r="C608">
        <f t="shared" si="107"/>
        <v>76485.73</v>
      </c>
      <c r="D608">
        <f t="shared" si="108"/>
        <v>2018</v>
      </c>
      <c r="E608">
        <f t="shared" si="109"/>
        <v>6</v>
      </c>
      <c r="F608" t="str">
        <f t="shared" si="111"/>
        <v>June</v>
      </c>
      <c r="G608">
        <f t="shared" si="110"/>
        <v>8</v>
      </c>
      <c r="H608" s="7">
        <f t="shared" si="112"/>
        <v>-0.52985213897466588</v>
      </c>
      <c r="I608" s="9">
        <f t="shared" si="113"/>
        <v>-5.3126083362304323E-3</v>
      </c>
      <c r="J608" s="9">
        <f t="shared" si="114"/>
        <v>75244.665714285715</v>
      </c>
      <c r="K608" s="9">
        <f t="shared" ref="K608:K671" si="117">AVERAGE(C579:C608)</f>
        <v>74124.57766666665</v>
      </c>
      <c r="L608" s="9">
        <f t="shared" si="116"/>
        <v>74063.992555555582</v>
      </c>
      <c r="M608" s="9">
        <f t="shared" si="115"/>
        <v>8.0187786081823993E-3</v>
      </c>
      <c r="N608" s="9">
        <f t="shared" si="106"/>
        <v>8.2832883885129091E-3</v>
      </c>
    </row>
    <row r="609" spans="1:14" x14ac:dyDescent="0.35">
      <c r="A609" s="1">
        <v>43262</v>
      </c>
      <c r="B609" s="2" t="s">
        <v>609</v>
      </c>
      <c r="C609">
        <f t="shared" si="107"/>
        <v>76657.94</v>
      </c>
      <c r="D609">
        <f t="shared" si="108"/>
        <v>2018</v>
      </c>
      <c r="E609">
        <f t="shared" si="109"/>
        <v>6</v>
      </c>
      <c r="F609" t="str">
        <f t="shared" si="111"/>
        <v>June</v>
      </c>
      <c r="G609">
        <f t="shared" si="110"/>
        <v>11</v>
      </c>
      <c r="H609" s="7">
        <f t="shared" si="112"/>
        <v>0.22515311025992224</v>
      </c>
      <c r="I609" s="9">
        <f t="shared" si="113"/>
        <v>2.2490002046645988E-3</v>
      </c>
      <c r="J609" s="9">
        <f t="shared" si="114"/>
        <v>75609.624285714264</v>
      </c>
      <c r="K609" s="9">
        <f t="shared" si="117"/>
        <v>74222.329666666672</v>
      </c>
      <c r="L609" s="9">
        <f t="shared" si="116"/>
        <v>74058.22044444448</v>
      </c>
      <c r="M609" s="9">
        <f t="shared" si="115"/>
        <v>8.0792715338056948E-3</v>
      </c>
      <c r="N609" s="9">
        <f t="shared" ref="N609:N672" si="118">STDEV(I580:I609)</f>
        <v>8.2690052254158729E-3</v>
      </c>
    </row>
    <row r="610" spans="1:14" x14ac:dyDescent="0.35">
      <c r="A610" s="1">
        <v>43263</v>
      </c>
      <c r="B610" s="2" t="s">
        <v>610</v>
      </c>
      <c r="C610">
        <f t="shared" si="107"/>
        <v>74379.570000000007</v>
      </c>
      <c r="D610">
        <f t="shared" si="108"/>
        <v>2018</v>
      </c>
      <c r="E610">
        <f t="shared" si="109"/>
        <v>6</v>
      </c>
      <c r="F610" t="str">
        <f t="shared" si="111"/>
        <v>June</v>
      </c>
      <c r="G610">
        <f t="shared" si="110"/>
        <v>12</v>
      </c>
      <c r="H610" s="7">
        <f t="shared" si="112"/>
        <v>-2.9721252619102407</v>
      </c>
      <c r="I610" s="9">
        <f t="shared" si="113"/>
        <v>-3.0171880333193263E-2</v>
      </c>
      <c r="J610" s="9">
        <f t="shared" si="114"/>
        <v>75594.105714285717</v>
      </c>
      <c r="K610" s="9">
        <f t="shared" si="117"/>
        <v>74224.534</v>
      </c>
      <c r="L610" s="9">
        <f t="shared" si="116"/>
        <v>74029.888111111155</v>
      </c>
      <c r="M610" s="9">
        <f t="shared" si="115"/>
        <v>1.5486296370917663E-2</v>
      </c>
      <c r="N610" s="9">
        <f t="shared" si="118"/>
        <v>9.9668939577966537E-3</v>
      </c>
    </row>
    <row r="611" spans="1:14" x14ac:dyDescent="0.35">
      <c r="A611" s="1">
        <v>43264</v>
      </c>
      <c r="B611" s="2" t="s">
        <v>611</v>
      </c>
      <c r="C611">
        <f t="shared" si="107"/>
        <v>75412.929999999993</v>
      </c>
      <c r="D611">
        <f t="shared" si="108"/>
        <v>2018</v>
      </c>
      <c r="E611">
        <f t="shared" si="109"/>
        <v>6</v>
      </c>
      <c r="F611" t="str">
        <f t="shared" si="111"/>
        <v>June</v>
      </c>
      <c r="G611">
        <f t="shared" si="110"/>
        <v>13</v>
      </c>
      <c r="H611" s="7">
        <f t="shared" si="112"/>
        <v>1.3893062301919545</v>
      </c>
      <c r="I611" s="9">
        <f t="shared" si="113"/>
        <v>1.3797438366853265E-2</v>
      </c>
      <c r="J611" s="9">
        <f t="shared" si="114"/>
        <v>75721.311428571425</v>
      </c>
      <c r="K611" s="9">
        <f t="shared" si="117"/>
        <v>74253.014333333325</v>
      </c>
      <c r="L611" s="9">
        <f t="shared" si="116"/>
        <v>74014.737888888936</v>
      </c>
      <c r="M611" s="9">
        <f t="shared" si="115"/>
        <v>1.6377115466903683E-2</v>
      </c>
      <c r="N611" s="9">
        <f t="shared" si="118"/>
        <v>1.0265539371334448E-2</v>
      </c>
    </row>
    <row r="612" spans="1:14" x14ac:dyDescent="0.35">
      <c r="A612" s="1">
        <v>43265</v>
      </c>
      <c r="B612" s="2" t="s">
        <v>612</v>
      </c>
      <c r="C612">
        <f t="shared" si="107"/>
        <v>74893.5</v>
      </c>
      <c r="D612">
        <f t="shared" si="108"/>
        <v>2018</v>
      </c>
      <c r="E612">
        <f t="shared" si="109"/>
        <v>6</v>
      </c>
      <c r="F612" t="str">
        <f t="shared" si="111"/>
        <v>June</v>
      </c>
      <c r="G612">
        <f t="shared" si="110"/>
        <v>14</v>
      </c>
      <c r="H612" s="7">
        <f t="shared" si="112"/>
        <v>-0.68878108833590346</v>
      </c>
      <c r="I612" s="9">
        <f t="shared" si="113"/>
        <v>-6.9116413422449898E-3</v>
      </c>
      <c r="J612" s="9">
        <f t="shared" si="114"/>
        <v>75775.994285714274</v>
      </c>
      <c r="K612" s="9">
        <f t="shared" si="117"/>
        <v>74281.666999999987</v>
      </c>
      <c r="L612" s="9">
        <f t="shared" si="116"/>
        <v>73997.684222222262</v>
      </c>
      <c r="M612" s="9">
        <f t="shared" si="115"/>
        <v>1.6700344004241901E-2</v>
      </c>
      <c r="N612" s="9">
        <f t="shared" si="118"/>
        <v>1.026184296612076E-2</v>
      </c>
    </row>
    <row r="613" spans="1:14" x14ac:dyDescent="0.35">
      <c r="A613" s="1">
        <v>43266</v>
      </c>
      <c r="B613" s="2" t="s">
        <v>613</v>
      </c>
      <c r="C613">
        <f t="shared" si="107"/>
        <v>74842.59</v>
      </c>
      <c r="D613">
        <f t="shared" si="108"/>
        <v>2018</v>
      </c>
      <c r="E613">
        <f t="shared" si="109"/>
        <v>6</v>
      </c>
      <c r="F613" t="str">
        <f t="shared" si="111"/>
        <v>June</v>
      </c>
      <c r="G613">
        <f t="shared" si="110"/>
        <v>15</v>
      </c>
      <c r="H613" s="7">
        <f t="shared" si="112"/>
        <v>-6.797652666787303E-2</v>
      </c>
      <c r="I613" s="9">
        <f t="shared" si="113"/>
        <v>-6.799964118431415E-4</v>
      </c>
      <c r="J613" s="9">
        <f t="shared" si="114"/>
        <v>75652.201428571439</v>
      </c>
      <c r="K613" s="9">
        <f t="shared" si="117"/>
        <v>74297.021333333323</v>
      </c>
      <c r="L613" s="9">
        <f t="shared" si="116"/>
        <v>73984.303555555598</v>
      </c>
      <c r="M613" s="9">
        <f t="shared" si="115"/>
        <v>1.5297605315449726E-2</v>
      </c>
      <c r="N613" s="9">
        <f t="shared" si="118"/>
        <v>1.0230944069448031E-2</v>
      </c>
    </row>
    <row r="614" spans="1:14" x14ac:dyDescent="0.35">
      <c r="A614" s="1">
        <v>43269</v>
      </c>
      <c r="B614" s="2" t="s">
        <v>614</v>
      </c>
      <c r="C614">
        <f t="shared" si="107"/>
        <v>74301.59</v>
      </c>
      <c r="D614">
        <f t="shared" si="108"/>
        <v>2018</v>
      </c>
      <c r="E614">
        <f t="shared" si="109"/>
        <v>6</v>
      </c>
      <c r="F614" t="str">
        <f t="shared" si="111"/>
        <v>June</v>
      </c>
      <c r="G614">
        <f t="shared" si="110"/>
        <v>18</v>
      </c>
      <c r="H614" s="7">
        <f t="shared" si="112"/>
        <v>-0.72285045186170072</v>
      </c>
      <c r="I614" s="9">
        <f t="shared" si="113"/>
        <v>-7.2547567434568336E-3</v>
      </c>
      <c r="J614" s="9">
        <f t="shared" si="114"/>
        <v>75281.978571428568</v>
      </c>
      <c r="K614" s="9">
        <f t="shared" si="117"/>
        <v>74291.409333333315</v>
      </c>
      <c r="L614" s="9">
        <f t="shared" si="116"/>
        <v>73964.586000000039</v>
      </c>
      <c r="M614" s="9">
        <f t="shared" si="115"/>
        <v>1.3335045072730034E-2</v>
      </c>
      <c r="N614" s="9">
        <f t="shared" si="118"/>
        <v>1.0318760582933833E-2</v>
      </c>
    </row>
    <row r="615" spans="1:14" x14ac:dyDescent="0.35">
      <c r="A615" s="1">
        <v>43270</v>
      </c>
      <c r="B615" s="2" t="s">
        <v>615</v>
      </c>
      <c r="C615">
        <f t="shared" si="107"/>
        <v>75289.86</v>
      </c>
      <c r="D615">
        <f t="shared" si="108"/>
        <v>2018</v>
      </c>
      <c r="E615">
        <f t="shared" si="109"/>
        <v>6</v>
      </c>
      <c r="F615" t="str">
        <f t="shared" si="111"/>
        <v>June</v>
      </c>
      <c r="G615">
        <f t="shared" si="110"/>
        <v>19</v>
      </c>
      <c r="H615" s="7">
        <f t="shared" si="112"/>
        <v>1.3300792082645931</v>
      </c>
      <c r="I615" s="9">
        <f t="shared" si="113"/>
        <v>1.3213113158048587E-2</v>
      </c>
      <c r="J615" s="9">
        <f t="shared" si="114"/>
        <v>75111.14</v>
      </c>
      <c r="K615" s="9">
        <f t="shared" si="117"/>
        <v>74315.875666666645</v>
      </c>
      <c r="L615" s="9">
        <f t="shared" si="116"/>
        <v>73951.627222222261</v>
      </c>
      <c r="M615" s="9">
        <f t="shared" si="115"/>
        <v>1.497633656428634E-2</v>
      </c>
      <c r="N615" s="9">
        <f t="shared" si="118"/>
        <v>1.0599375569696513E-2</v>
      </c>
    </row>
    <row r="616" spans="1:14" x14ac:dyDescent="0.35">
      <c r="A616" s="1">
        <v>43271</v>
      </c>
      <c r="B616" s="2" t="s">
        <v>616</v>
      </c>
      <c r="C616">
        <f t="shared" si="107"/>
        <v>72640.509999999995</v>
      </c>
      <c r="D616">
        <f t="shared" si="108"/>
        <v>2018</v>
      </c>
      <c r="E616">
        <f t="shared" si="109"/>
        <v>6</v>
      </c>
      <c r="F616" t="str">
        <f t="shared" si="111"/>
        <v>June</v>
      </c>
      <c r="G616">
        <f t="shared" si="110"/>
        <v>20</v>
      </c>
      <c r="H616" s="7">
        <f t="shared" si="112"/>
        <v>-3.5188669496795528</v>
      </c>
      <c r="I616" s="9">
        <f t="shared" si="113"/>
        <v>-3.5822709190110658E-2</v>
      </c>
      <c r="J616" s="9">
        <f t="shared" si="114"/>
        <v>74537.221428571414</v>
      </c>
      <c r="K616" s="9">
        <f t="shared" si="117"/>
        <v>74250.177666666656</v>
      </c>
      <c r="L616" s="9">
        <f t="shared" si="116"/>
        <v>73921.288555555599</v>
      </c>
      <c r="M616" s="9">
        <f t="shared" si="115"/>
        <v>1.9345412230167041E-2</v>
      </c>
      <c r="N616" s="9">
        <f t="shared" si="118"/>
        <v>1.2484578757611574E-2</v>
      </c>
    </row>
    <row r="617" spans="1:14" x14ac:dyDescent="0.35">
      <c r="A617" s="1">
        <v>43272</v>
      </c>
      <c r="B617" s="2" t="s">
        <v>617</v>
      </c>
      <c r="C617">
        <f t="shared" si="107"/>
        <v>72621.84</v>
      </c>
      <c r="D617">
        <f t="shared" si="108"/>
        <v>2018</v>
      </c>
      <c r="E617">
        <f t="shared" si="109"/>
        <v>6</v>
      </c>
      <c r="F617" t="str">
        <f t="shared" si="111"/>
        <v>June</v>
      </c>
      <c r="G617">
        <f t="shared" si="110"/>
        <v>21</v>
      </c>
      <c r="H617" s="7">
        <f t="shared" si="112"/>
        <v>-2.5701912059811052E-2</v>
      </c>
      <c r="I617" s="9">
        <f t="shared" si="113"/>
        <v>-2.5705215567278485E-4</v>
      </c>
      <c r="J617" s="9">
        <f t="shared" si="114"/>
        <v>74286.11714285714</v>
      </c>
      <c r="K617" s="9">
        <f t="shared" si="117"/>
        <v>74191.887999999992</v>
      </c>
      <c r="L617" s="9">
        <f t="shared" si="116"/>
        <v>73902.31600000005</v>
      </c>
      <c r="M617" s="9">
        <f t="shared" si="115"/>
        <v>1.6670557340991956E-2</v>
      </c>
      <c r="N617" s="9">
        <f t="shared" si="118"/>
        <v>1.247715213942171E-2</v>
      </c>
    </row>
    <row r="618" spans="1:14" x14ac:dyDescent="0.35">
      <c r="A618" s="1">
        <v>43273</v>
      </c>
      <c r="B618" s="2" t="s">
        <v>618</v>
      </c>
      <c r="C618">
        <f t="shared" si="107"/>
        <v>73892.3</v>
      </c>
      <c r="D618">
        <f t="shared" si="108"/>
        <v>2018</v>
      </c>
      <c r="E618">
        <f t="shared" si="109"/>
        <v>6</v>
      </c>
      <c r="F618" t="str">
        <f t="shared" si="111"/>
        <v>June</v>
      </c>
      <c r="G618">
        <f t="shared" si="110"/>
        <v>22</v>
      </c>
      <c r="H618" s="7">
        <f t="shared" si="112"/>
        <v>1.7494186321910961</v>
      </c>
      <c r="I618" s="9">
        <f t="shared" si="113"/>
        <v>1.7342924629750175E-2</v>
      </c>
      <c r="J618" s="9">
        <f t="shared" si="114"/>
        <v>74068.884285714288</v>
      </c>
      <c r="K618" s="9">
        <f t="shared" si="117"/>
        <v>74152.151999999987</v>
      </c>
      <c r="L618" s="9">
        <f t="shared" si="116"/>
        <v>73895.409000000043</v>
      </c>
      <c r="M618" s="9">
        <f t="shared" si="115"/>
        <v>1.7321870823980855E-2</v>
      </c>
      <c r="N618" s="9">
        <f t="shared" si="118"/>
        <v>1.2777345435232453E-2</v>
      </c>
    </row>
    <row r="619" spans="1:14" x14ac:dyDescent="0.35">
      <c r="A619" s="1">
        <v>43276</v>
      </c>
      <c r="B619" s="2" t="s">
        <v>619</v>
      </c>
      <c r="C619">
        <f t="shared" si="107"/>
        <v>73790.850000000006</v>
      </c>
      <c r="D619">
        <f t="shared" si="108"/>
        <v>2018</v>
      </c>
      <c r="E619">
        <f t="shared" si="109"/>
        <v>6</v>
      </c>
      <c r="F619" t="str">
        <f t="shared" si="111"/>
        <v>June</v>
      </c>
      <c r="G619">
        <f t="shared" si="110"/>
        <v>25</v>
      </c>
      <c r="H619" s="7">
        <f t="shared" si="112"/>
        <v>-0.13729441362631437</v>
      </c>
      <c r="I619" s="9">
        <f t="shared" si="113"/>
        <v>-1.3738874876084081E-3</v>
      </c>
      <c r="J619" s="9">
        <f t="shared" si="114"/>
        <v>73911.362857142856</v>
      </c>
      <c r="K619" s="9">
        <f t="shared" si="117"/>
        <v>74143.828999999998</v>
      </c>
      <c r="L619" s="9">
        <f t="shared" si="116"/>
        <v>73892.964777777815</v>
      </c>
      <c r="M619" s="9">
        <f t="shared" si="115"/>
        <v>1.7234891878516345E-2</v>
      </c>
      <c r="N619" s="9">
        <f t="shared" si="118"/>
        <v>1.2523918324382165E-2</v>
      </c>
    </row>
    <row r="620" spans="1:14" x14ac:dyDescent="0.35">
      <c r="A620" s="1">
        <v>43277</v>
      </c>
      <c r="B620" s="2" t="s">
        <v>620</v>
      </c>
      <c r="C620">
        <f t="shared" si="107"/>
        <v>74787.039999999994</v>
      </c>
      <c r="D620">
        <f t="shared" si="108"/>
        <v>2018</v>
      </c>
      <c r="E620">
        <f t="shared" si="109"/>
        <v>6</v>
      </c>
      <c r="F620" t="str">
        <f t="shared" si="111"/>
        <v>June</v>
      </c>
      <c r="G620">
        <f t="shared" si="110"/>
        <v>26</v>
      </c>
      <c r="H620" s="7">
        <f t="shared" si="112"/>
        <v>1.3500183288307259</v>
      </c>
      <c r="I620" s="9">
        <f t="shared" si="113"/>
        <v>1.3409867756775782E-2</v>
      </c>
      <c r="J620" s="9">
        <f t="shared" si="114"/>
        <v>73903.427142857152</v>
      </c>
      <c r="K620" s="9">
        <f t="shared" si="117"/>
        <v>74159.393333333341</v>
      </c>
      <c r="L620" s="9">
        <f t="shared" si="116"/>
        <v>73906.697222222254</v>
      </c>
      <c r="M620" s="9">
        <f t="shared" si="115"/>
        <v>1.8225260953859068E-2</v>
      </c>
      <c r="N620" s="9">
        <f t="shared" si="118"/>
        <v>1.2748632078750597E-2</v>
      </c>
    </row>
    <row r="621" spans="1:14" x14ac:dyDescent="0.35">
      <c r="A621" s="1">
        <v>43278</v>
      </c>
      <c r="B621" s="2" t="s">
        <v>621</v>
      </c>
      <c r="C621">
        <f t="shared" si="107"/>
        <v>75400.62</v>
      </c>
      <c r="D621">
        <f t="shared" si="108"/>
        <v>2018</v>
      </c>
      <c r="E621">
        <f t="shared" si="109"/>
        <v>6</v>
      </c>
      <c r="F621" t="str">
        <f t="shared" si="111"/>
        <v>June</v>
      </c>
      <c r="G621">
        <f t="shared" si="110"/>
        <v>27</v>
      </c>
      <c r="H621" s="7">
        <f t="shared" si="112"/>
        <v>0.82043626810206927</v>
      </c>
      <c r="I621" s="9">
        <f t="shared" si="113"/>
        <v>8.1708898550281947E-3</v>
      </c>
      <c r="J621" s="9">
        <f t="shared" si="114"/>
        <v>74060.431428571421</v>
      </c>
      <c r="K621" s="9">
        <f t="shared" si="117"/>
        <v>74228.174333333343</v>
      </c>
      <c r="L621" s="9">
        <f t="shared" si="116"/>
        <v>73929.331222222259</v>
      </c>
      <c r="M621" s="9">
        <f t="shared" si="115"/>
        <v>1.8149252824480197E-2</v>
      </c>
      <c r="N621" s="9">
        <f t="shared" si="118"/>
        <v>1.2564937801305073E-2</v>
      </c>
    </row>
    <row r="622" spans="1:14" x14ac:dyDescent="0.35">
      <c r="A622" s="1">
        <v>43279</v>
      </c>
      <c r="B622" s="2" t="s">
        <v>622</v>
      </c>
      <c r="C622">
        <f t="shared" si="107"/>
        <v>75215.490000000005</v>
      </c>
      <c r="D622">
        <f t="shared" si="108"/>
        <v>2018</v>
      </c>
      <c r="E622">
        <f t="shared" si="109"/>
        <v>6</v>
      </c>
      <c r="F622" t="str">
        <f t="shared" si="111"/>
        <v>June</v>
      </c>
      <c r="G622">
        <f t="shared" si="110"/>
        <v>28</v>
      </c>
      <c r="H622" s="7">
        <f t="shared" si="112"/>
        <v>-0.24552848504427435</v>
      </c>
      <c r="I622" s="9">
        <f t="shared" si="113"/>
        <v>-2.4583040052269947E-3</v>
      </c>
      <c r="J622" s="9">
        <f t="shared" si="114"/>
        <v>74049.807142857142</v>
      </c>
      <c r="K622" s="9">
        <f t="shared" si="117"/>
        <v>74323.640666666688</v>
      </c>
      <c r="L622" s="9">
        <f t="shared" si="116"/>
        <v>73950.931888888925</v>
      </c>
      <c r="M622" s="9">
        <f t="shared" si="115"/>
        <v>1.7504708406559773E-2</v>
      </c>
      <c r="N622" s="9">
        <f t="shared" si="118"/>
        <v>1.2285144236160866E-2</v>
      </c>
    </row>
    <row r="623" spans="1:14" x14ac:dyDescent="0.35">
      <c r="A623" s="1">
        <v>43280</v>
      </c>
      <c r="B623" s="2" t="s">
        <v>623</v>
      </c>
      <c r="C623">
        <f t="shared" si="107"/>
        <v>75941.06</v>
      </c>
      <c r="D623">
        <f t="shared" si="108"/>
        <v>2018</v>
      </c>
      <c r="E623">
        <f t="shared" si="109"/>
        <v>6</v>
      </c>
      <c r="F623" t="str">
        <f t="shared" si="111"/>
        <v>June</v>
      </c>
      <c r="G623">
        <f t="shared" si="110"/>
        <v>29</v>
      </c>
      <c r="H623" s="7">
        <f t="shared" si="112"/>
        <v>0.96465501986358437</v>
      </c>
      <c r="I623" s="9">
        <f t="shared" si="113"/>
        <v>9.6003193078926952E-3</v>
      </c>
      <c r="J623" s="9">
        <f t="shared" si="114"/>
        <v>74521.314285714281</v>
      </c>
      <c r="K623" s="9">
        <f t="shared" si="117"/>
        <v>74432.979000000021</v>
      </c>
      <c r="L623" s="9">
        <f t="shared" si="116"/>
        <v>73983.663888888914</v>
      </c>
      <c r="M623" s="9">
        <f t="shared" si="115"/>
        <v>7.804529694293451E-3</v>
      </c>
      <c r="N623" s="9">
        <f t="shared" si="118"/>
        <v>1.2367956323748592E-2</v>
      </c>
    </row>
    <row r="624" spans="1:14" x14ac:dyDescent="0.35">
      <c r="A624" s="1">
        <v>43283</v>
      </c>
      <c r="B624" s="2" t="s">
        <v>624</v>
      </c>
      <c r="C624">
        <f t="shared" si="107"/>
        <v>75705.850000000006</v>
      </c>
      <c r="D624">
        <f t="shared" si="108"/>
        <v>2018</v>
      </c>
      <c r="E624">
        <f t="shared" si="109"/>
        <v>7</v>
      </c>
      <c r="F624" t="str">
        <f t="shared" si="111"/>
        <v>July</v>
      </c>
      <c r="G624">
        <f t="shared" si="110"/>
        <v>2</v>
      </c>
      <c r="H624" s="7">
        <f t="shared" si="112"/>
        <v>-0.30972704357825909</v>
      </c>
      <c r="I624" s="9">
        <f t="shared" si="113"/>
        <v>-3.1020769050480296E-3</v>
      </c>
      <c r="J624" s="9">
        <f t="shared" si="114"/>
        <v>74961.887142857144</v>
      </c>
      <c r="K624" s="9">
        <f t="shared" si="117"/>
        <v>74545.027333333346</v>
      </c>
      <c r="L624" s="9">
        <f t="shared" si="116"/>
        <v>74013.733333333352</v>
      </c>
      <c r="M624" s="9">
        <f t="shared" si="115"/>
        <v>8.2662367794685172E-3</v>
      </c>
      <c r="N624" s="9">
        <f t="shared" si="118"/>
        <v>1.2349531629734388E-2</v>
      </c>
    </row>
    <row r="625" spans="1:14" x14ac:dyDescent="0.35">
      <c r="A625" s="1">
        <v>43284</v>
      </c>
      <c r="B625" s="2" t="s">
        <v>625</v>
      </c>
      <c r="C625">
        <f t="shared" si="107"/>
        <v>75534.36</v>
      </c>
      <c r="D625">
        <f t="shared" si="108"/>
        <v>2018</v>
      </c>
      <c r="E625">
        <f t="shared" si="109"/>
        <v>7</v>
      </c>
      <c r="F625" t="str">
        <f t="shared" si="111"/>
        <v>July</v>
      </c>
      <c r="G625">
        <f t="shared" si="110"/>
        <v>3</v>
      </c>
      <c r="H625" s="7">
        <f t="shared" si="112"/>
        <v>-0.226521464325419</v>
      </c>
      <c r="I625" s="9">
        <f t="shared" si="113"/>
        <v>-2.2677841229596448E-3</v>
      </c>
      <c r="J625" s="9">
        <f t="shared" si="114"/>
        <v>75196.467142857146</v>
      </c>
      <c r="K625" s="9">
        <f t="shared" si="117"/>
        <v>74673.069666666677</v>
      </c>
      <c r="L625" s="9">
        <f t="shared" si="116"/>
        <v>74025.019222222239</v>
      </c>
      <c r="M625" s="9">
        <f t="shared" si="115"/>
        <v>6.9813991326219274E-3</v>
      </c>
      <c r="N625" s="9">
        <f t="shared" si="118"/>
        <v>1.2210968874641986E-2</v>
      </c>
    </row>
    <row r="626" spans="1:14" x14ac:dyDescent="0.35">
      <c r="A626" s="1">
        <v>43285</v>
      </c>
      <c r="B626" s="2" t="s">
        <v>626</v>
      </c>
      <c r="C626">
        <f t="shared" si="107"/>
        <v>75241.41</v>
      </c>
      <c r="D626">
        <f t="shared" si="108"/>
        <v>2018</v>
      </c>
      <c r="E626">
        <f t="shared" si="109"/>
        <v>7</v>
      </c>
      <c r="F626" t="str">
        <f t="shared" si="111"/>
        <v>July</v>
      </c>
      <c r="G626">
        <f t="shared" si="110"/>
        <v>4</v>
      </c>
      <c r="H626" s="7">
        <f t="shared" si="112"/>
        <v>-0.38783674078922109</v>
      </c>
      <c r="I626" s="9">
        <f t="shared" si="113"/>
        <v>-3.8859077772969439E-3</v>
      </c>
      <c r="J626" s="9">
        <f t="shared" si="114"/>
        <v>75403.689999999988</v>
      </c>
      <c r="K626" s="9">
        <f t="shared" si="117"/>
        <v>74747.529333333354</v>
      </c>
      <c r="L626" s="9">
        <f t="shared" si="116"/>
        <v>74024.237555555577</v>
      </c>
      <c r="M626" s="9">
        <f t="shared" si="115"/>
        <v>7.3089629796171986E-3</v>
      </c>
      <c r="N626" s="9">
        <f t="shared" si="118"/>
        <v>1.1846175826505738E-2</v>
      </c>
    </row>
    <row r="627" spans="1:14" x14ac:dyDescent="0.35">
      <c r="A627" s="1">
        <v>43286</v>
      </c>
      <c r="B627" s="2" t="s">
        <v>627</v>
      </c>
      <c r="C627">
        <f t="shared" si="107"/>
        <v>75589.179999999993</v>
      </c>
      <c r="D627">
        <f t="shared" si="108"/>
        <v>2018</v>
      </c>
      <c r="E627">
        <f t="shared" si="109"/>
        <v>7</v>
      </c>
      <c r="F627" t="str">
        <f t="shared" si="111"/>
        <v>July</v>
      </c>
      <c r="G627">
        <f t="shared" si="110"/>
        <v>5</v>
      </c>
      <c r="H627" s="7">
        <f t="shared" si="112"/>
        <v>0.46220558599312467</v>
      </c>
      <c r="I627" s="9">
        <f t="shared" si="113"/>
        <v>4.6114069603432738E-3</v>
      </c>
      <c r="J627" s="9">
        <f t="shared" si="114"/>
        <v>75518.281428571427</v>
      </c>
      <c r="K627" s="9">
        <f t="shared" si="117"/>
        <v>74811.310666666701</v>
      </c>
      <c r="L627" s="9">
        <f t="shared" si="116"/>
        <v>74027.414555555573</v>
      </c>
      <c r="M627" s="9">
        <f t="shared" si="115"/>
        <v>5.7712537881003511E-3</v>
      </c>
      <c r="N627" s="9">
        <f t="shared" si="118"/>
        <v>1.1768258869223511E-2</v>
      </c>
    </row>
    <row r="628" spans="1:14" x14ac:dyDescent="0.35">
      <c r="A628" s="1">
        <v>43287</v>
      </c>
      <c r="B628" s="2" t="s">
        <v>628</v>
      </c>
      <c r="C628">
        <f t="shared" si="107"/>
        <v>75369.88</v>
      </c>
      <c r="D628">
        <f t="shared" si="108"/>
        <v>2018</v>
      </c>
      <c r="E628">
        <f t="shared" si="109"/>
        <v>7</v>
      </c>
      <c r="F628" t="str">
        <f t="shared" si="111"/>
        <v>July</v>
      </c>
      <c r="G628">
        <f t="shared" si="110"/>
        <v>6</v>
      </c>
      <c r="H628" s="7">
        <f t="shared" si="112"/>
        <v>-0.29012088767200334</v>
      </c>
      <c r="I628" s="9">
        <f t="shared" si="113"/>
        <v>-2.9054255407835461E-3</v>
      </c>
      <c r="J628" s="9">
        <f t="shared" si="114"/>
        <v>75513.89</v>
      </c>
      <c r="K628" s="9">
        <f t="shared" si="117"/>
        <v>74848.948000000019</v>
      </c>
      <c r="L628" s="9">
        <f t="shared" si="116"/>
        <v>74025.742444444462</v>
      </c>
      <c r="M628" s="9">
        <f t="shared" si="115"/>
        <v>5.127673486730943E-3</v>
      </c>
      <c r="N628" s="9">
        <f t="shared" si="118"/>
        <v>1.1715977151587488E-2</v>
      </c>
    </row>
    <row r="629" spans="1:14" x14ac:dyDescent="0.35">
      <c r="A629" s="1">
        <v>43290</v>
      </c>
      <c r="B629" s="2" t="s">
        <v>629</v>
      </c>
      <c r="C629">
        <f t="shared" si="107"/>
        <v>75712.399999999994</v>
      </c>
      <c r="D629">
        <f t="shared" si="108"/>
        <v>2018</v>
      </c>
      <c r="E629">
        <f t="shared" si="109"/>
        <v>7</v>
      </c>
      <c r="F629" t="str">
        <f t="shared" si="111"/>
        <v>July</v>
      </c>
      <c r="G629">
        <f t="shared" si="110"/>
        <v>9</v>
      </c>
      <c r="H629" s="7">
        <f t="shared" si="112"/>
        <v>0.45445209677922999</v>
      </c>
      <c r="I629" s="9">
        <f t="shared" si="113"/>
        <v>4.5342258116305399E-3</v>
      </c>
      <c r="J629" s="9">
        <f t="shared" si="114"/>
        <v>75584.877142857149</v>
      </c>
      <c r="K629" s="9">
        <f t="shared" si="117"/>
        <v>74911.552000000011</v>
      </c>
      <c r="L629" s="9">
        <f t="shared" si="116"/>
        <v>74028.247777777782</v>
      </c>
      <c r="M629" s="9">
        <f t="shared" si="115"/>
        <v>5.2615549616203258E-3</v>
      </c>
      <c r="N629" s="9">
        <f t="shared" si="118"/>
        <v>1.1682051095817112E-2</v>
      </c>
    </row>
    <row r="630" spans="1:14" x14ac:dyDescent="0.35">
      <c r="A630" s="1">
        <v>43291</v>
      </c>
      <c r="B630" s="2" t="s">
        <v>630</v>
      </c>
      <c r="C630">
        <f t="shared" si="107"/>
        <v>75438.710000000006</v>
      </c>
      <c r="D630">
        <f t="shared" si="108"/>
        <v>2018</v>
      </c>
      <c r="E630">
        <f t="shared" si="109"/>
        <v>7</v>
      </c>
      <c r="F630" t="str">
        <f t="shared" si="111"/>
        <v>July</v>
      </c>
      <c r="G630">
        <f t="shared" si="110"/>
        <v>10</v>
      </c>
      <c r="H630" s="7">
        <f t="shared" si="112"/>
        <v>-0.36148636154710162</v>
      </c>
      <c r="I630" s="9">
        <f t="shared" si="113"/>
        <v>-3.6214130231911538E-3</v>
      </c>
      <c r="J630" s="9">
        <f t="shared" si="114"/>
        <v>75513.112857142856</v>
      </c>
      <c r="K630" s="9">
        <f t="shared" si="117"/>
        <v>74973.276333333328</v>
      </c>
      <c r="L630" s="9">
        <f t="shared" si="116"/>
        <v>74029.401000000013</v>
      </c>
      <c r="M630" s="9">
        <f t="shared" si="115"/>
        <v>3.8068717900876154E-3</v>
      </c>
      <c r="N630" s="9">
        <f t="shared" si="118"/>
        <v>1.168544846456736E-2</v>
      </c>
    </row>
    <row r="631" spans="1:14" x14ac:dyDescent="0.35">
      <c r="A631" s="1">
        <v>43292</v>
      </c>
      <c r="B631" s="2" t="s">
        <v>631</v>
      </c>
      <c r="C631">
        <f t="shared" si="107"/>
        <v>74763.960000000006</v>
      </c>
      <c r="D631">
        <f t="shared" si="108"/>
        <v>2018</v>
      </c>
      <c r="E631">
        <f t="shared" si="109"/>
        <v>7</v>
      </c>
      <c r="F631" t="str">
        <f t="shared" si="111"/>
        <v>July</v>
      </c>
      <c r="G631">
        <f t="shared" si="110"/>
        <v>11</v>
      </c>
      <c r="H631" s="7">
        <f t="shared" si="112"/>
        <v>-0.89443470069941533</v>
      </c>
      <c r="I631" s="9">
        <f t="shared" si="113"/>
        <v>-8.9845878101992571E-3</v>
      </c>
      <c r="J631" s="9">
        <f t="shared" si="114"/>
        <v>75378.557142857142</v>
      </c>
      <c r="K631" s="9">
        <f t="shared" si="117"/>
        <v>75004.536666666667</v>
      </c>
      <c r="L631" s="9">
        <f t="shared" si="116"/>
        <v>74029.281444444452</v>
      </c>
      <c r="M631" s="9">
        <f t="shared" si="115"/>
        <v>4.8640736704810665E-3</v>
      </c>
      <c r="N631" s="9">
        <f t="shared" si="118"/>
        <v>1.1810882983485406E-2</v>
      </c>
    </row>
    <row r="632" spans="1:14" x14ac:dyDescent="0.35">
      <c r="A632" s="1">
        <v>43293</v>
      </c>
      <c r="B632" s="2" t="s">
        <v>632</v>
      </c>
      <c r="C632">
        <f t="shared" si="107"/>
        <v>74270.740000000005</v>
      </c>
      <c r="D632">
        <f t="shared" si="108"/>
        <v>2018</v>
      </c>
      <c r="E632">
        <f t="shared" si="109"/>
        <v>7</v>
      </c>
      <c r="F632" t="str">
        <f t="shared" si="111"/>
        <v>July</v>
      </c>
      <c r="G632">
        <f t="shared" si="110"/>
        <v>12</v>
      </c>
      <c r="H632" s="7">
        <f t="shared" si="112"/>
        <v>-0.65970288358187701</v>
      </c>
      <c r="I632" s="9">
        <f t="shared" si="113"/>
        <v>-6.6188854092110909E-3</v>
      </c>
      <c r="J632" s="9">
        <f t="shared" si="114"/>
        <v>75198.040000000008</v>
      </c>
      <c r="K632" s="9">
        <f t="shared" si="117"/>
        <v>75010.120333333325</v>
      </c>
      <c r="L632" s="9">
        <f t="shared" si="116"/>
        <v>74017.034333333344</v>
      </c>
      <c r="M632" s="9">
        <f t="shared" si="115"/>
        <v>5.2018205272237493E-3</v>
      </c>
      <c r="N632" s="9">
        <f t="shared" si="118"/>
        <v>1.1861745749205382E-2</v>
      </c>
    </row>
    <row r="633" spans="1:14" x14ac:dyDescent="0.35">
      <c r="A633" s="1">
        <v>43294</v>
      </c>
      <c r="B633" s="2" t="s">
        <v>633</v>
      </c>
      <c r="C633">
        <f t="shared" si="107"/>
        <v>74321.48</v>
      </c>
      <c r="D633">
        <f t="shared" si="108"/>
        <v>2018</v>
      </c>
      <c r="E633">
        <f t="shared" si="109"/>
        <v>7</v>
      </c>
      <c r="F633" t="str">
        <f t="shared" si="111"/>
        <v>July</v>
      </c>
      <c r="G633">
        <f t="shared" si="110"/>
        <v>13</v>
      </c>
      <c r="H633" s="7">
        <f t="shared" si="112"/>
        <v>6.8317617408942849E-2</v>
      </c>
      <c r="I633" s="9">
        <f t="shared" si="113"/>
        <v>6.8294291547887703E-4</v>
      </c>
      <c r="J633" s="9">
        <f t="shared" si="114"/>
        <v>75066.621428571423</v>
      </c>
      <c r="K633" s="9">
        <f t="shared" si="117"/>
        <v>75004.563000000009</v>
      </c>
      <c r="L633" s="9">
        <f t="shared" si="116"/>
        <v>74019.518222222236</v>
      </c>
      <c r="M633" s="9">
        <f t="shared" si="115"/>
        <v>5.2719433832477723E-3</v>
      </c>
      <c r="N633" s="9">
        <f t="shared" si="118"/>
        <v>1.1823339490653459E-2</v>
      </c>
    </row>
    <row r="634" spans="1:14" x14ac:dyDescent="0.35">
      <c r="A634" s="1">
        <v>43297</v>
      </c>
      <c r="B634" s="2" t="s">
        <v>634</v>
      </c>
      <c r="C634">
        <f t="shared" si="107"/>
        <v>73920.75</v>
      </c>
      <c r="D634">
        <f t="shared" si="108"/>
        <v>2018</v>
      </c>
      <c r="E634">
        <f t="shared" si="109"/>
        <v>7</v>
      </c>
      <c r="F634" t="str">
        <f t="shared" si="111"/>
        <v>July</v>
      </c>
      <c r="G634">
        <f t="shared" si="110"/>
        <v>16</v>
      </c>
      <c r="H634" s="7">
        <f t="shared" si="112"/>
        <v>-0.53918463410577389</v>
      </c>
      <c r="I634" s="9">
        <f t="shared" si="113"/>
        <v>-5.4064348073495621E-3</v>
      </c>
      <c r="J634" s="9">
        <f t="shared" si="114"/>
        <v>74828.274285714288</v>
      </c>
      <c r="K634" s="9">
        <f t="shared" si="117"/>
        <v>74984.50499999999</v>
      </c>
      <c r="L634" s="9">
        <f t="shared" si="116"/>
        <v>74013.865666666665</v>
      </c>
      <c r="M634" s="9">
        <f t="shared" si="115"/>
        <v>4.5675945860047754E-3</v>
      </c>
      <c r="N634" s="9">
        <f t="shared" si="118"/>
        <v>1.1862638299627746E-2</v>
      </c>
    </row>
    <row r="635" spans="1:14" x14ac:dyDescent="0.35">
      <c r="A635" s="1">
        <v>43298</v>
      </c>
      <c r="B635" s="2" t="s">
        <v>635</v>
      </c>
      <c r="C635">
        <f t="shared" si="107"/>
        <v>73736.61</v>
      </c>
      <c r="D635">
        <f t="shared" si="108"/>
        <v>2018</v>
      </c>
      <c r="E635">
        <f t="shared" si="109"/>
        <v>7</v>
      </c>
      <c r="F635" t="str">
        <f t="shared" si="111"/>
        <v>July</v>
      </c>
      <c r="G635">
        <f t="shared" si="110"/>
        <v>17</v>
      </c>
      <c r="H635" s="7">
        <f t="shared" si="112"/>
        <v>-0.24910461541583304</v>
      </c>
      <c r="I635" s="9">
        <f t="shared" si="113"/>
        <v>-2.4941539718470484E-3</v>
      </c>
      <c r="J635" s="9">
        <f t="shared" si="114"/>
        <v>74594.95</v>
      </c>
      <c r="K635" s="9">
        <f t="shared" si="117"/>
        <v>74958.701333333316</v>
      </c>
      <c r="L635" s="9">
        <f t="shared" si="116"/>
        <v>74004.983666666667</v>
      </c>
      <c r="M635" s="9">
        <f t="shared" si="115"/>
        <v>4.5744827166119949E-3</v>
      </c>
      <c r="N635" s="9">
        <f t="shared" si="118"/>
        <v>1.186954181352223E-2</v>
      </c>
    </row>
    <row r="636" spans="1:14" x14ac:dyDescent="0.35">
      <c r="A636" s="1">
        <v>43299</v>
      </c>
      <c r="B636" s="2" t="s">
        <v>636</v>
      </c>
      <c r="C636">
        <f t="shared" si="107"/>
        <v>74800.289999999994</v>
      </c>
      <c r="D636">
        <f t="shared" si="108"/>
        <v>2018</v>
      </c>
      <c r="E636">
        <f t="shared" si="109"/>
        <v>7</v>
      </c>
      <c r="F636" t="str">
        <f t="shared" si="111"/>
        <v>July</v>
      </c>
      <c r="G636">
        <f t="shared" si="110"/>
        <v>18</v>
      </c>
      <c r="H636" s="7">
        <f t="shared" si="112"/>
        <v>1.442539872662973</v>
      </c>
      <c r="I636" s="9">
        <f t="shared" si="113"/>
        <v>1.4322342564257021E-2</v>
      </c>
      <c r="J636" s="9">
        <f t="shared" si="114"/>
        <v>74464.648571428566</v>
      </c>
      <c r="K636" s="9">
        <f t="shared" si="117"/>
        <v>74928.406333333332</v>
      </c>
      <c r="L636" s="9">
        <f t="shared" si="116"/>
        <v>74014.881666666668</v>
      </c>
      <c r="M636" s="9">
        <f t="shared" si="115"/>
        <v>7.7212668728560878E-3</v>
      </c>
      <c r="N636" s="9">
        <f t="shared" si="118"/>
        <v>1.1795685359230545E-2</v>
      </c>
    </row>
    <row r="637" spans="1:14" x14ac:dyDescent="0.35">
      <c r="A637" s="1">
        <v>43300</v>
      </c>
      <c r="B637" s="2" t="s">
        <v>637</v>
      </c>
      <c r="C637">
        <f t="shared" si="107"/>
        <v>73443.5</v>
      </c>
      <c r="D637">
        <f t="shared" si="108"/>
        <v>2018</v>
      </c>
      <c r="E637">
        <f t="shared" si="109"/>
        <v>7</v>
      </c>
      <c r="F637" t="str">
        <f t="shared" si="111"/>
        <v>July</v>
      </c>
      <c r="G637">
        <f t="shared" si="110"/>
        <v>19</v>
      </c>
      <c r="H637" s="7">
        <f t="shared" si="112"/>
        <v>-1.8138833418961258</v>
      </c>
      <c r="I637" s="9">
        <f t="shared" si="113"/>
        <v>-1.8305358849562893E-2</v>
      </c>
      <c r="J637" s="9">
        <f t="shared" si="114"/>
        <v>74179.618571428568</v>
      </c>
      <c r="K637" s="9">
        <f t="shared" si="117"/>
        <v>74813.418000000005</v>
      </c>
      <c r="L637" s="9">
        <f t="shared" si="116"/>
        <v>74013.05311111112</v>
      </c>
      <c r="M637" s="9">
        <f t="shared" si="115"/>
        <v>9.9835489003179019E-3</v>
      </c>
      <c r="N637" s="9">
        <f t="shared" si="118"/>
        <v>1.1837873401191539E-2</v>
      </c>
    </row>
    <row r="638" spans="1:14" x14ac:dyDescent="0.35">
      <c r="A638" s="1">
        <v>43301</v>
      </c>
      <c r="B638" s="2" t="s">
        <v>638</v>
      </c>
      <c r="C638">
        <f t="shared" si="107"/>
        <v>71633.17</v>
      </c>
      <c r="D638">
        <f t="shared" si="108"/>
        <v>2018</v>
      </c>
      <c r="E638">
        <f t="shared" si="109"/>
        <v>7</v>
      </c>
      <c r="F638" t="str">
        <f t="shared" si="111"/>
        <v>July</v>
      </c>
      <c r="G638">
        <f t="shared" si="110"/>
        <v>20</v>
      </c>
      <c r="H638" s="7">
        <f t="shared" si="112"/>
        <v>-2.4649288228366046</v>
      </c>
      <c r="I638" s="9">
        <f t="shared" si="113"/>
        <v>-2.4958168281238275E-2</v>
      </c>
      <c r="J638" s="9">
        <f t="shared" si="114"/>
        <v>73732.362857142856</v>
      </c>
      <c r="K638" s="9">
        <f t="shared" si="117"/>
        <v>74651.665999999997</v>
      </c>
      <c r="L638" s="9">
        <f t="shared" si="116"/>
        <v>73994.722777777803</v>
      </c>
      <c r="M638" s="9">
        <f t="shared" si="115"/>
        <v>1.2789534937323018E-2</v>
      </c>
      <c r="N638" s="9">
        <f t="shared" si="118"/>
        <v>1.2574779970529157E-2</v>
      </c>
    </row>
    <row r="639" spans="1:14" x14ac:dyDescent="0.35">
      <c r="A639" s="1">
        <v>43304</v>
      </c>
      <c r="B639" s="2" t="s">
        <v>639</v>
      </c>
      <c r="C639">
        <f t="shared" si="107"/>
        <v>71393.3</v>
      </c>
      <c r="D639">
        <f t="shared" si="108"/>
        <v>2018</v>
      </c>
      <c r="E639">
        <f t="shared" si="109"/>
        <v>7</v>
      </c>
      <c r="F639" t="str">
        <f t="shared" si="111"/>
        <v>July</v>
      </c>
      <c r="G639">
        <f t="shared" si="110"/>
        <v>23</v>
      </c>
      <c r="H639" s="7">
        <f t="shared" si="112"/>
        <v>-0.33485883704434044</v>
      </c>
      <c r="I639" s="9">
        <f t="shared" si="113"/>
        <v>-3.3542074399545768E-3</v>
      </c>
      <c r="J639" s="9">
        <f t="shared" si="114"/>
        <v>73321.299999999988</v>
      </c>
      <c r="K639" s="9">
        <f t="shared" si="117"/>
        <v>74476.178</v>
      </c>
      <c r="L639" s="9">
        <f t="shared" si="116"/>
        <v>73974.046222222241</v>
      </c>
      <c r="M639" s="9">
        <f t="shared" si="115"/>
        <v>1.2827400749479743E-2</v>
      </c>
      <c r="N639" s="9">
        <f t="shared" si="118"/>
        <v>1.254823701975705E-2</v>
      </c>
    </row>
    <row r="640" spans="1:14" x14ac:dyDescent="0.35">
      <c r="A640" s="1">
        <v>43305</v>
      </c>
      <c r="B640" s="2" t="s">
        <v>640</v>
      </c>
      <c r="C640">
        <f t="shared" si="107"/>
        <v>72226.67</v>
      </c>
      <c r="D640">
        <f t="shared" si="108"/>
        <v>2018</v>
      </c>
      <c r="E640">
        <f t="shared" si="109"/>
        <v>7</v>
      </c>
      <c r="F640" t="str">
        <f t="shared" si="111"/>
        <v>July</v>
      </c>
      <c r="G640">
        <f t="shared" si="110"/>
        <v>24</v>
      </c>
      <c r="H640" s="7">
        <f t="shared" si="112"/>
        <v>1.1672944099796414</v>
      </c>
      <c r="I640" s="9">
        <f t="shared" si="113"/>
        <v>1.1605340865085682E-2</v>
      </c>
      <c r="J640" s="9">
        <f t="shared" si="114"/>
        <v>73022.041428571421</v>
      </c>
      <c r="K640" s="9">
        <f t="shared" si="117"/>
        <v>74404.414666666649</v>
      </c>
      <c r="L640" s="9">
        <f t="shared" si="116"/>
        <v>73971.901444444462</v>
      </c>
      <c r="M640" s="9">
        <f t="shared" si="115"/>
        <v>1.4304637084602707E-2</v>
      </c>
      <c r="N640" s="9">
        <f t="shared" si="118"/>
        <v>1.1642096570299737E-2</v>
      </c>
    </row>
    <row r="641" spans="1:14" x14ac:dyDescent="0.35">
      <c r="A641" s="1">
        <v>43306</v>
      </c>
      <c r="B641" s="2" t="s">
        <v>641</v>
      </c>
      <c r="C641">
        <f t="shared" si="107"/>
        <v>72465.63</v>
      </c>
      <c r="D641">
        <f t="shared" si="108"/>
        <v>2018</v>
      </c>
      <c r="E641">
        <f t="shared" si="109"/>
        <v>7</v>
      </c>
      <c r="F641" t="str">
        <f t="shared" si="111"/>
        <v>July</v>
      </c>
      <c r="G641">
        <f t="shared" si="110"/>
        <v>25</v>
      </c>
      <c r="H641" s="7">
        <f t="shared" si="112"/>
        <v>0.33084731720292021</v>
      </c>
      <c r="I641" s="9">
        <f t="shared" si="113"/>
        <v>3.3030122162995153E-3</v>
      </c>
      <c r="J641" s="9">
        <f t="shared" si="114"/>
        <v>72814.167142857143</v>
      </c>
      <c r="K641" s="9">
        <f t="shared" si="117"/>
        <v>74306.171333333317</v>
      </c>
      <c r="L641" s="9">
        <f t="shared" si="116"/>
        <v>73978.540999999997</v>
      </c>
      <c r="M641" s="9">
        <f t="shared" si="115"/>
        <v>1.4547194375074322E-2</v>
      </c>
      <c r="N641" s="9">
        <f t="shared" si="118"/>
        <v>1.1336444139094494E-2</v>
      </c>
    </row>
    <row r="642" spans="1:14" x14ac:dyDescent="0.35">
      <c r="A642" s="1">
        <v>43307</v>
      </c>
      <c r="B642" s="2" t="s">
        <v>642</v>
      </c>
      <c r="C642">
        <f t="shared" si="107"/>
        <v>71572.990000000005</v>
      </c>
      <c r="D642">
        <f t="shared" si="108"/>
        <v>2018</v>
      </c>
      <c r="E642">
        <f t="shared" si="109"/>
        <v>7</v>
      </c>
      <c r="F642" t="str">
        <f t="shared" si="111"/>
        <v>July</v>
      </c>
      <c r="G642">
        <f t="shared" si="110"/>
        <v>26</v>
      </c>
      <c r="H642" s="7">
        <f t="shared" si="112"/>
        <v>-1.2318115498340376</v>
      </c>
      <c r="I642" s="9">
        <f t="shared" si="113"/>
        <v>-1.2394612330049399E-2</v>
      </c>
      <c r="J642" s="9">
        <f t="shared" si="114"/>
        <v>72505.078571428559</v>
      </c>
      <c r="K642" s="9">
        <f t="shared" si="117"/>
        <v>74195.487666666682</v>
      </c>
      <c r="L642" s="9">
        <f t="shared" si="116"/>
        <v>73969.013555555561</v>
      </c>
      <c r="M642" s="9">
        <f t="shared" si="115"/>
        <v>1.4982712777112319E-2</v>
      </c>
      <c r="N642" s="9">
        <f t="shared" si="118"/>
        <v>1.1472929348629788E-2</v>
      </c>
    </row>
    <row r="643" spans="1:14" x14ac:dyDescent="0.35">
      <c r="A643" s="1">
        <v>43308</v>
      </c>
      <c r="B643" s="2" t="s">
        <v>643</v>
      </c>
      <c r="C643">
        <f t="shared" ref="C643:C706" si="119">_xlfn.NUMBERVALUE(B643,".",",")</f>
        <v>73293.69</v>
      </c>
      <c r="D643">
        <f t="shared" ref="D643:D706" si="120">YEAR(A643)</f>
        <v>2018</v>
      </c>
      <c r="E643">
        <f t="shared" ref="E643:E706" si="121">MONTH(A643)</f>
        <v>7</v>
      </c>
      <c r="F643" t="str">
        <f t="shared" si="111"/>
        <v>July</v>
      </c>
      <c r="G643">
        <f t="shared" ref="G643:G706" si="122">DAY(A643)</f>
        <v>27</v>
      </c>
      <c r="H643" s="7">
        <f t="shared" si="112"/>
        <v>2.4041192075390407</v>
      </c>
      <c r="I643" s="9">
        <f t="shared" si="113"/>
        <v>2.3756752444370109E-2</v>
      </c>
      <c r="J643" s="9">
        <f t="shared" si="114"/>
        <v>72289.849999999991</v>
      </c>
      <c r="K643" s="9">
        <f t="shared" si="117"/>
        <v>74143.857666666678</v>
      </c>
      <c r="L643" s="9">
        <f t="shared" si="116"/>
        <v>73972.380111111124</v>
      </c>
      <c r="M643" s="9">
        <f t="shared" si="115"/>
        <v>1.7193536785329692E-2</v>
      </c>
      <c r="N643" s="9">
        <f t="shared" si="118"/>
        <v>1.2366682462078726E-2</v>
      </c>
    </row>
    <row r="644" spans="1:14" x14ac:dyDescent="0.35">
      <c r="A644" s="1">
        <v>43311</v>
      </c>
      <c r="B644" s="2" t="s">
        <v>644</v>
      </c>
      <c r="C644">
        <f t="shared" si="119"/>
        <v>72856.179999999993</v>
      </c>
      <c r="D644">
        <f t="shared" si="120"/>
        <v>2018</v>
      </c>
      <c r="E644">
        <f t="shared" si="121"/>
        <v>7</v>
      </c>
      <c r="F644" t="str">
        <f t="shared" ref="F644:F707" si="123">TEXT(A644,"mmmm")</f>
        <v>July</v>
      </c>
      <c r="G644">
        <f t="shared" si="122"/>
        <v>30</v>
      </c>
      <c r="H644" s="7">
        <f t="shared" ref="H644:H707" si="124">((C644-C643)/C643)*100</f>
        <v>-0.59692723889329258</v>
      </c>
      <c r="I644" s="9">
        <f t="shared" ref="I644:I707" si="125">LN(C644/C643)</f>
        <v>-5.9871597137580628E-3</v>
      </c>
      <c r="J644" s="9">
        <f t="shared" si="114"/>
        <v>72205.947142857141</v>
      </c>
      <c r="K644" s="9">
        <f t="shared" si="117"/>
        <v>74095.67733333334</v>
      </c>
      <c r="L644" s="9">
        <f t="shared" si="116"/>
        <v>73961.151111111118</v>
      </c>
      <c r="M644" s="9">
        <f t="shared" si="115"/>
        <v>1.5939474692603942E-2</v>
      </c>
      <c r="N644" s="9">
        <f t="shared" si="118"/>
        <v>1.2345651884695134E-2</v>
      </c>
    </row>
    <row r="645" spans="1:14" x14ac:dyDescent="0.35">
      <c r="A645" s="1">
        <v>43312</v>
      </c>
      <c r="B645" s="2" t="s">
        <v>645</v>
      </c>
      <c r="C645">
        <f t="shared" si="119"/>
        <v>71383.92</v>
      </c>
      <c r="D645">
        <f t="shared" si="120"/>
        <v>2018</v>
      </c>
      <c r="E645">
        <f t="shared" si="121"/>
        <v>7</v>
      </c>
      <c r="F645" t="str">
        <f t="shared" si="123"/>
        <v>July</v>
      </c>
      <c r="G645">
        <f t="shared" si="122"/>
        <v>31</v>
      </c>
      <c r="H645" s="7">
        <f t="shared" si="124"/>
        <v>-2.0207757255458558</v>
      </c>
      <c r="I645" s="9">
        <f t="shared" si="125"/>
        <v>-2.0414726991549642E-2</v>
      </c>
      <c r="J645" s="9">
        <f t="shared" si="114"/>
        <v>72170.34</v>
      </c>
      <c r="K645" s="9">
        <f t="shared" si="117"/>
        <v>73965.479333333336</v>
      </c>
      <c r="L645" s="9">
        <f t="shared" si="116"/>
        <v>73929.209888888901</v>
      </c>
      <c r="M645" s="9">
        <f t="shared" si="115"/>
        <v>1.4864531410769072E-2</v>
      </c>
      <c r="N645" s="9">
        <f t="shared" si="118"/>
        <v>1.2567716694762516E-2</v>
      </c>
    </row>
    <row r="646" spans="1:14" x14ac:dyDescent="0.35">
      <c r="A646" s="1">
        <v>43313</v>
      </c>
      <c r="B646" s="2" t="s">
        <v>646</v>
      </c>
      <c r="C646">
        <f t="shared" si="119"/>
        <v>69740.3</v>
      </c>
      <c r="D646">
        <f t="shared" si="120"/>
        <v>2018</v>
      </c>
      <c r="E646">
        <f t="shared" si="121"/>
        <v>8</v>
      </c>
      <c r="F646" t="str">
        <f t="shared" si="123"/>
        <v>August</v>
      </c>
      <c r="G646">
        <f t="shared" si="122"/>
        <v>1</v>
      </c>
      <c r="H646" s="7">
        <f t="shared" si="124"/>
        <v>-2.3025073433904937</v>
      </c>
      <c r="I646" s="9">
        <f t="shared" si="125"/>
        <v>-2.329429096765416E-2</v>
      </c>
      <c r="J646" s="9">
        <f t="shared" si="114"/>
        <v>71934.197142857141</v>
      </c>
      <c r="K646" s="9">
        <f t="shared" si="117"/>
        <v>73868.805666666653</v>
      </c>
      <c r="L646" s="9">
        <f t="shared" si="116"/>
        <v>73887.607000000004</v>
      </c>
      <c r="M646" s="9">
        <f t="shared" si="115"/>
        <v>1.7226142964562617E-2</v>
      </c>
      <c r="N646" s="9">
        <f t="shared" si="118"/>
        <v>1.1565552290707748E-2</v>
      </c>
    </row>
    <row r="647" spans="1:14" x14ac:dyDescent="0.35">
      <c r="A647" s="1">
        <v>43314</v>
      </c>
      <c r="B647" s="2" t="s">
        <v>647</v>
      </c>
      <c r="C647">
        <f t="shared" si="119"/>
        <v>69653.440000000002</v>
      </c>
      <c r="D647">
        <f t="shared" si="120"/>
        <v>2018</v>
      </c>
      <c r="E647">
        <f t="shared" si="121"/>
        <v>8</v>
      </c>
      <c r="F647" t="str">
        <f t="shared" si="123"/>
        <v>August</v>
      </c>
      <c r="G647">
        <f t="shared" si="122"/>
        <v>2</v>
      </c>
      <c r="H647" s="7">
        <f t="shared" si="124"/>
        <v>-0.12454778657390431</v>
      </c>
      <c r="I647" s="9">
        <f t="shared" si="125"/>
        <v>-1.246254117899584E-3</v>
      </c>
      <c r="J647" s="9">
        <f t="shared" si="114"/>
        <v>71566.592857142852</v>
      </c>
      <c r="K647" s="9">
        <f t="shared" si="117"/>
        <v>73769.858999999982</v>
      </c>
      <c r="L647" s="9">
        <f t="shared" si="116"/>
        <v>73845.070333333337</v>
      </c>
      <c r="M647" s="9">
        <f t="shared" si="115"/>
        <v>1.6008841483919869E-2</v>
      </c>
      <c r="N647" s="9">
        <f t="shared" si="118"/>
        <v>1.1563714780987198E-2</v>
      </c>
    </row>
    <row r="648" spans="1:14" x14ac:dyDescent="0.35">
      <c r="A648" s="1">
        <v>43315</v>
      </c>
      <c r="B648" s="2" t="s">
        <v>648</v>
      </c>
      <c r="C648">
        <f t="shared" si="119"/>
        <v>69871.16</v>
      </c>
      <c r="D648">
        <f t="shared" si="120"/>
        <v>2018</v>
      </c>
      <c r="E648">
        <f t="shared" si="121"/>
        <v>8</v>
      </c>
      <c r="F648" t="str">
        <f t="shared" si="123"/>
        <v>August</v>
      </c>
      <c r="G648">
        <f t="shared" si="122"/>
        <v>3</v>
      </c>
      <c r="H648" s="7">
        <f t="shared" si="124"/>
        <v>0.31257609100139372</v>
      </c>
      <c r="I648" s="9">
        <f t="shared" si="125"/>
        <v>3.1208858755336927E-3</v>
      </c>
      <c r="J648" s="9">
        <f t="shared" si="114"/>
        <v>71195.954285714281</v>
      </c>
      <c r="K648" s="9">
        <f t="shared" si="117"/>
        <v>73635.821000000011</v>
      </c>
      <c r="L648" s="9">
        <f t="shared" si="116"/>
        <v>73802.330111111107</v>
      </c>
      <c r="M648" s="9">
        <f t="shared" si="115"/>
        <v>1.5992892203896467E-2</v>
      </c>
      <c r="N648" s="9">
        <f t="shared" si="118"/>
        <v>1.1049289303109949E-2</v>
      </c>
    </row>
    <row r="649" spans="1:14" x14ac:dyDescent="0.35">
      <c r="A649" s="1">
        <v>43318</v>
      </c>
      <c r="B649" s="2" t="s">
        <v>649</v>
      </c>
      <c r="C649">
        <f t="shared" si="119"/>
        <v>69451.97</v>
      </c>
      <c r="D649">
        <f t="shared" si="120"/>
        <v>2018</v>
      </c>
      <c r="E649">
        <f t="shared" si="121"/>
        <v>8</v>
      </c>
      <c r="F649" t="str">
        <f t="shared" si="123"/>
        <v>August</v>
      </c>
      <c r="G649">
        <f t="shared" si="122"/>
        <v>6</v>
      </c>
      <c r="H649" s="7">
        <f t="shared" si="124"/>
        <v>-0.59994710263863138</v>
      </c>
      <c r="I649" s="9">
        <f t="shared" si="125"/>
        <v>-6.0175401590912524E-3</v>
      </c>
      <c r="J649" s="9">
        <f t="shared" ref="J649:J712" si="126">AVERAGE(C643:C649)</f>
        <v>70892.95142857141</v>
      </c>
      <c r="K649" s="9">
        <f t="shared" si="117"/>
        <v>73491.191666666666</v>
      </c>
      <c r="L649" s="9">
        <f t="shared" si="116"/>
        <v>73756.195222222217</v>
      </c>
      <c r="M649" s="9">
        <f t="shared" si="115"/>
        <v>1.5694161290656847E-2</v>
      </c>
      <c r="N649" s="9">
        <f t="shared" si="118"/>
        <v>1.1074666483000411E-2</v>
      </c>
    </row>
    <row r="650" spans="1:14" x14ac:dyDescent="0.35">
      <c r="A650" s="1">
        <v>43319</v>
      </c>
      <c r="B650" s="2" t="s">
        <v>650</v>
      </c>
      <c r="C650">
        <f t="shared" si="119"/>
        <v>69930.52</v>
      </c>
      <c r="D650">
        <f t="shared" si="120"/>
        <v>2018</v>
      </c>
      <c r="E650">
        <f t="shared" si="121"/>
        <v>8</v>
      </c>
      <c r="F650" t="str">
        <f t="shared" si="123"/>
        <v>August</v>
      </c>
      <c r="G650">
        <f t="shared" si="122"/>
        <v>7</v>
      </c>
      <c r="H650" s="7">
        <f t="shared" si="124"/>
        <v>0.68903733040258319</v>
      </c>
      <c r="I650" s="9">
        <f t="shared" si="125"/>
        <v>6.8667431667698816E-3</v>
      </c>
      <c r="J650" s="9">
        <f t="shared" si="126"/>
        <v>70412.498571428572</v>
      </c>
      <c r="K650" s="9">
        <f t="shared" si="117"/>
        <v>73329.30766666666</v>
      </c>
      <c r="L650" s="9">
        <f t="shared" si="116"/>
        <v>73715.665666666653</v>
      </c>
      <c r="M650" s="9">
        <f t="shared" ref="M650:M713" si="127">STDEV(I644:I650)</f>
        <v>1.1362856433115796E-2</v>
      </c>
      <c r="N650" s="9">
        <f t="shared" si="118"/>
        <v>1.082185766916083E-2</v>
      </c>
    </row>
    <row r="651" spans="1:14" x14ac:dyDescent="0.35">
      <c r="A651" s="1">
        <v>43320</v>
      </c>
      <c r="B651" s="2" t="s">
        <v>651</v>
      </c>
      <c r="C651">
        <f t="shared" si="119"/>
        <v>70274.34</v>
      </c>
      <c r="D651">
        <f t="shared" si="120"/>
        <v>2018</v>
      </c>
      <c r="E651">
        <f t="shared" si="121"/>
        <v>8</v>
      </c>
      <c r="F651" t="str">
        <f t="shared" si="123"/>
        <v>August</v>
      </c>
      <c r="G651">
        <f t="shared" si="122"/>
        <v>8</v>
      </c>
      <c r="H651" s="7">
        <f t="shared" si="124"/>
        <v>0.49165943567986115</v>
      </c>
      <c r="I651" s="9">
        <f t="shared" si="125"/>
        <v>4.9045473773685873E-3</v>
      </c>
      <c r="J651" s="9">
        <f t="shared" si="126"/>
        <v>70043.664285714287</v>
      </c>
      <c r="K651" s="9">
        <f t="shared" si="117"/>
        <v>73158.431666666642</v>
      </c>
      <c r="L651" s="9">
        <f t="shared" si="116"/>
        <v>73693.805888888877</v>
      </c>
      <c r="M651" s="9">
        <f t="shared" si="127"/>
        <v>1.219373132031386E-2</v>
      </c>
      <c r="N651" s="9">
        <f t="shared" si="118"/>
        <v>1.0729560089406688E-2</v>
      </c>
    </row>
    <row r="652" spans="1:14" x14ac:dyDescent="0.35">
      <c r="A652" s="1">
        <v>43322</v>
      </c>
      <c r="B652" s="2" t="s">
        <v>652</v>
      </c>
      <c r="C652">
        <f t="shared" si="119"/>
        <v>70578.25</v>
      </c>
      <c r="D652">
        <f t="shared" si="120"/>
        <v>2018</v>
      </c>
      <c r="E652">
        <f t="shared" si="121"/>
        <v>8</v>
      </c>
      <c r="F652" t="str">
        <f t="shared" si="123"/>
        <v>August</v>
      </c>
      <c r="G652">
        <f t="shared" si="122"/>
        <v>10</v>
      </c>
      <c r="H652" s="7">
        <f t="shared" si="124"/>
        <v>0.43246226147410777</v>
      </c>
      <c r="I652" s="9">
        <f t="shared" si="125"/>
        <v>4.3152983074354282E-3</v>
      </c>
      <c r="J652" s="9">
        <f t="shared" si="126"/>
        <v>69928.568571428565</v>
      </c>
      <c r="K652" s="9">
        <f t="shared" si="117"/>
        <v>73003.856999999989</v>
      </c>
      <c r="L652" s="9">
        <f t="shared" si="116"/>
        <v>73670.973666666658</v>
      </c>
      <c r="M652" s="9">
        <f t="shared" si="127"/>
        <v>1.0500406430576611E-2</v>
      </c>
      <c r="N652" s="9">
        <f t="shared" si="118"/>
        <v>1.0798186658099928E-2</v>
      </c>
    </row>
    <row r="653" spans="1:14" x14ac:dyDescent="0.35">
      <c r="A653" s="1">
        <v>43325</v>
      </c>
      <c r="B653" s="2" t="s">
        <v>653</v>
      </c>
      <c r="C653">
        <f t="shared" si="119"/>
        <v>70100.28</v>
      </c>
      <c r="D653">
        <f t="shared" si="120"/>
        <v>2018</v>
      </c>
      <c r="E653">
        <f t="shared" si="121"/>
        <v>8</v>
      </c>
      <c r="F653" t="str">
        <f t="shared" si="123"/>
        <v>August</v>
      </c>
      <c r="G653">
        <f t="shared" si="122"/>
        <v>13</v>
      </c>
      <c r="H653" s="7">
        <f t="shared" si="124"/>
        <v>-0.67721996507422777</v>
      </c>
      <c r="I653" s="9">
        <f t="shared" si="125"/>
        <v>-6.79523505393545E-3</v>
      </c>
      <c r="J653" s="9">
        <f t="shared" si="126"/>
        <v>69979.994285714303</v>
      </c>
      <c r="K653" s="9">
        <f t="shared" si="117"/>
        <v>72809.16433333332</v>
      </c>
      <c r="L653" s="9">
        <f t="shared" si="116"/>
        <v>73641.249111111116</v>
      </c>
      <c r="M653" s="9">
        <f t="shared" si="127"/>
        <v>5.472978953126241E-3</v>
      </c>
      <c r="N653" s="9">
        <f t="shared" si="118"/>
        <v>1.0597522872791696E-2</v>
      </c>
    </row>
    <row r="654" spans="1:14" x14ac:dyDescent="0.35">
      <c r="A654" s="1">
        <v>43326</v>
      </c>
      <c r="B654" s="2" t="s">
        <v>654</v>
      </c>
      <c r="C654">
        <f t="shared" si="119"/>
        <v>70198.009999999995</v>
      </c>
      <c r="D654">
        <f t="shared" si="120"/>
        <v>2018</v>
      </c>
      <c r="E654">
        <f t="shared" si="121"/>
        <v>8</v>
      </c>
      <c r="F654" t="str">
        <f t="shared" si="123"/>
        <v>August</v>
      </c>
      <c r="G654">
        <f t="shared" si="122"/>
        <v>14</v>
      </c>
      <c r="H654" s="7">
        <f t="shared" si="124"/>
        <v>0.13941456439260433</v>
      </c>
      <c r="I654" s="9">
        <f t="shared" si="125"/>
        <v>1.3931747251845696E-3</v>
      </c>
      <c r="J654" s="9">
        <f t="shared" si="126"/>
        <v>70057.790000000008</v>
      </c>
      <c r="K654" s="9">
        <f t="shared" si="117"/>
        <v>72625.569666666648</v>
      </c>
      <c r="L654" s="9">
        <f t="shared" si="116"/>
        <v>73613.118888888886</v>
      </c>
      <c r="M654" s="9">
        <f t="shared" si="127"/>
        <v>5.4041803756062065E-3</v>
      </c>
      <c r="N654" s="9">
        <f t="shared" si="118"/>
        <v>1.0622918622351306E-2</v>
      </c>
    </row>
    <row r="655" spans="1:14" x14ac:dyDescent="0.35">
      <c r="A655" s="1">
        <v>43327</v>
      </c>
      <c r="B655" s="2" t="s">
        <v>655</v>
      </c>
      <c r="C655">
        <f t="shared" si="119"/>
        <v>70961.33</v>
      </c>
      <c r="D655">
        <f t="shared" si="120"/>
        <v>2018</v>
      </c>
      <c r="E655">
        <f t="shared" si="121"/>
        <v>8</v>
      </c>
      <c r="F655" t="str">
        <f t="shared" si="123"/>
        <v>August</v>
      </c>
      <c r="G655">
        <f t="shared" si="122"/>
        <v>15</v>
      </c>
      <c r="H655" s="7">
        <f t="shared" si="124"/>
        <v>1.0873812519756716</v>
      </c>
      <c r="I655" s="9">
        <f t="shared" si="125"/>
        <v>1.0815117727836302E-2</v>
      </c>
      <c r="J655" s="9">
        <f t="shared" si="126"/>
        <v>70213.528571428571</v>
      </c>
      <c r="K655" s="9">
        <f t="shared" si="117"/>
        <v>72473.135333333339</v>
      </c>
      <c r="L655" s="9">
        <f t="shared" si="116"/>
        <v>73599.305555555547</v>
      </c>
      <c r="M655" s="9">
        <f t="shared" si="127"/>
        <v>6.5431902591197872E-3</v>
      </c>
      <c r="N655" s="9">
        <f t="shared" si="118"/>
        <v>1.0898506166254714E-2</v>
      </c>
    </row>
    <row r="656" spans="1:14" x14ac:dyDescent="0.35">
      <c r="A656" s="1">
        <v>43328</v>
      </c>
      <c r="B656" s="2" t="s">
        <v>656</v>
      </c>
      <c r="C656">
        <f t="shared" si="119"/>
        <v>71968.67</v>
      </c>
      <c r="D656">
        <f t="shared" si="120"/>
        <v>2018</v>
      </c>
      <c r="E656">
        <f t="shared" si="121"/>
        <v>8</v>
      </c>
      <c r="F656" t="str">
        <f t="shared" si="123"/>
        <v>August</v>
      </c>
      <c r="G656">
        <f t="shared" si="122"/>
        <v>16</v>
      </c>
      <c r="H656" s="7">
        <f t="shared" si="124"/>
        <v>1.4195618937807346</v>
      </c>
      <c r="I656" s="9">
        <f t="shared" si="125"/>
        <v>1.409580464731338E-2</v>
      </c>
      <c r="J656" s="9">
        <f t="shared" si="126"/>
        <v>70573.057142857142</v>
      </c>
      <c r="K656" s="9">
        <f t="shared" si="117"/>
        <v>72364.043999999994</v>
      </c>
      <c r="L656" s="9">
        <f t="shared" si="116"/>
        <v>73586.267333333322</v>
      </c>
      <c r="M656" s="9">
        <f t="shared" si="127"/>
        <v>6.7404008398520496E-3</v>
      </c>
      <c r="N656" s="9">
        <f t="shared" si="118"/>
        <v>1.1283533885638753E-2</v>
      </c>
    </row>
    <row r="657" spans="1:14" x14ac:dyDescent="0.35">
      <c r="A657" s="1">
        <v>43329</v>
      </c>
      <c r="B657" s="2" t="s">
        <v>657</v>
      </c>
      <c r="C657">
        <f t="shared" si="119"/>
        <v>72831.8</v>
      </c>
      <c r="D657">
        <f t="shared" si="120"/>
        <v>2018</v>
      </c>
      <c r="E657">
        <f t="shared" si="121"/>
        <v>8</v>
      </c>
      <c r="F657" t="str">
        <f t="shared" si="123"/>
        <v>August</v>
      </c>
      <c r="G657">
        <f t="shared" si="122"/>
        <v>17</v>
      </c>
      <c r="H657" s="7">
        <f t="shared" si="124"/>
        <v>1.1993135346255595</v>
      </c>
      <c r="I657" s="9">
        <f t="shared" si="125"/>
        <v>1.1921787587579362E-2</v>
      </c>
      <c r="J657" s="9">
        <f t="shared" si="126"/>
        <v>70987.525714285715</v>
      </c>
      <c r="K657" s="9">
        <f t="shared" si="117"/>
        <v>72272.131333333338</v>
      </c>
      <c r="L657" s="9">
        <f t="shared" si="116"/>
        <v>73577.495777777774</v>
      </c>
      <c r="M657" s="9">
        <f t="shared" si="127"/>
        <v>7.2170392032318729E-3</v>
      </c>
      <c r="N657" s="9">
        <f t="shared" si="118"/>
        <v>1.1496598879581144E-2</v>
      </c>
    </row>
    <row r="658" spans="1:14" x14ac:dyDescent="0.35">
      <c r="A658" s="1">
        <v>43332</v>
      </c>
      <c r="B658" s="2" t="s">
        <v>658</v>
      </c>
      <c r="C658">
        <f t="shared" si="119"/>
        <v>73146.75</v>
      </c>
      <c r="D658">
        <f t="shared" si="120"/>
        <v>2018</v>
      </c>
      <c r="E658">
        <f t="shared" si="121"/>
        <v>8</v>
      </c>
      <c r="F658" t="str">
        <f t="shared" si="123"/>
        <v>August</v>
      </c>
      <c r="G658">
        <f t="shared" si="122"/>
        <v>20</v>
      </c>
      <c r="H658" s="7">
        <f t="shared" si="124"/>
        <v>0.43243473317973347</v>
      </c>
      <c r="I658" s="9">
        <f t="shared" si="125"/>
        <v>4.3150242098226625E-3</v>
      </c>
      <c r="J658" s="9">
        <f t="shared" si="126"/>
        <v>71397.87</v>
      </c>
      <c r="K658" s="9">
        <f t="shared" si="117"/>
        <v>72198.027000000002</v>
      </c>
      <c r="L658" s="9">
        <f t="shared" si="116"/>
        <v>73565.644222222225</v>
      </c>
      <c r="M658" s="9">
        <f t="shared" si="127"/>
        <v>7.2327507887043211E-3</v>
      </c>
      <c r="N658" s="9">
        <f t="shared" si="118"/>
        <v>1.1536014948298421E-2</v>
      </c>
    </row>
    <row r="659" spans="1:14" x14ac:dyDescent="0.35">
      <c r="A659" s="1">
        <v>43333</v>
      </c>
      <c r="B659" s="2" t="s">
        <v>659</v>
      </c>
      <c r="C659">
        <f t="shared" si="119"/>
        <v>72919.72</v>
      </c>
      <c r="D659">
        <f t="shared" si="120"/>
        <v>2018</v>
      </c>
      <c r="E659">
        <f t="shared" si="121"/>
        <v>8</v>
      </c>
      <c r="F659" t="str">
        <f t="shared" si="123"/>
        <v>August</v>
      </c>
      <c r="G659">
        <f t="shared" si="122"/>
        <v>21</v>
      </c>
      <c r="H659" s="7">
        <f t="shared" si="124"/>
        <v>-0.31037605908669741</v>
      </c>
      <c r="I659" s="9">
        <f t="shared" si="125"/>
        <v>-3.1085872455441175E-3</v>
      </c>
      <c r="J659" s="9">
        <f t="shared" si="126"/>
        <v>71732.365714285712</v>
      </c>
      <c r="K659" s="9">
        <f t="shared" si="117"/>
        <v>72104.937666666679</v>
      </c>
      <c r="L659" s="9">
        <f t="shared" si="116"/>
        <v>73552.388444444427</v>
      </c>
      <c r="M659" s="9">
        <f t="shared" si="127"/>
        <v>7.9793265635852706E-3</v>
      </c>
      <c r="N659" s="9">
        <f t="shared" si="118"/>
        <v>1.1493943744018801E-2</v>
      </c>
    </row>
    <row r="660" spans="1:14" x14ac:dyDescent="0.35">
      <c r="A660" s="1">
        <v>43334</v>
      </c>
      <c r="B660" s="2" t="s">
        <v>660</v>
      </c>
      <c r="C660">
        <f t="shared" si="119"/>
        <v>73390.81</v>
      </c>
      <c r="D660">
        <f t="shared" si="120"/>
        <v>2018</v>
      </c>
      <c r="E660">
        <f t="shared" si="121"/>
        <v>8</v>
      </c>
      <c r="F660" t="str">
        <f t="shared" si="123"/>
        <v>August</v>
      </c>
      <c r="G660">
        <f t="shared" si="122"/>
        <v>22</v>
      </c>
      <c r="H660" s="7">
        <f t="shared" si="124"/>
        <v>0.64603923328284385</v>
      </c>
      <c r="I660" s="9">
        <f t="shared" si="125"/>
        <v>6.4396134434516264E-3</v>
      </c>
      <c r="J660" s="9">
        <f t="shared" si="126"/>
        <v>72202.44142857143</v>
      </c>
      <c r="K660" s="9">
        <f t="shared" si="117"/>
        <v>72036.674333333329</v>
      </c>
      <c r="L660" s="9">
        <f t="shared" si="116"/>
        <v>73556.401777777763</v>
      </c>
      <c r="M660" s="9">
        <f t="shared" si="127"/>
        <v>6.1762297915423396E-3</v>
      </c>
      <c r="N660" s="9">
        <f t="shared" si="118"/>
        <v>1.1568982787008256E-2</v>
      </c>
    </row>
    <row r="661" spans="1:14" x14ac:dyDescent="0.35">
      <c r="A661" s="1">
        <v>43335</v>
      </c>
      <c r="B661" s="2" t="s">
        <v>661</v>
      </c>
      <c r="C661">
        <f t="shared" si="119"/>
        <v>73849.53</v>
      </c>
      <c r="D661">
        <f t="shared" si="120"/>
        <v>2018</v>
      </c>
      <c r="E661">
        <f t="shared" si="121"/>
        <v>8</v>
      </c>
      <c r="F661" t="str">
        <f t="shared" si="123"/>
        <v>August</v>
      </c>
      <c r="G661">
        <f t="shared" si="122"/>
        <v>23</v>
      </c>
      <c r="H661" s="7">
        <f t="shared" si="124"/>
        <v>0.62503738547101628</v>
      </c>
      <c r="I661" s="9">
        <f t="shared" si="125"/>
        <v>6.2309212831982777E-3</v>
      </c>
      <c r="J661" s="9">
        <f t="shared" si="126"/>
        <v>72724.087142857141</v>
      </c>
      <c r="K661" s="9">
        <f t="shared" si="117"/>
        <v>72006.193333333329</v>
      </c>
      <c r="L661" s="9">
        <f t="shared" si="116"/>
        <v>73566.440888888901</v>
      </c>
      <c r="M661" s="9">
        <f t="shared" si="127"/>
        <v>5.7591974721073955E-3</v>
      </c>
      <c r="N661" s="9">
        <f t="shared" si="118"/>
        <v>1.1536600306379213E-2</v>
      </c>
    </row>
    <row r="662" spans="1:14" x14ac:dyDescent="0.35">
      <c r="A662" s="1">
        <v>43336</v>
      </c>
      <c r="B662" s="2" t="s">
        <v>662</v>
      </c>
      <c r="C662">
        <f t="shared" si="119"/>
        <v>73840.5</v>
      </c>
      <c r="D662">
        <f t="shared" si="120"/>
        <v>2018</v>
      </c>
      <c r="E662">
        <f t="shared" si="121"/>
        <v>8</v>
      </c>
      <c r="F662" t="str">
        <f t="shared" si="123"/>
        <v>August</v>
      </c>
      <c r="G662">
        <f t="shared" si="122"/>
        <v>24</v>
      </c>
      <c r="H662" s="7">
        <f t="shared" si="124"/>
        <v>-1.2227565970966688E-2</v>
      </c>
      <c r="I662" s="9">
        <f t="shared" si="125"/>
        <v>-1.2228313598761027E-4</v>
      </c>
      <c r="J662" s="9">
        <f t="shared" si="126"/>
        <v>73135.397142857153</v>
      </c>
      <c r="K662" s="9">
        <f t="shared" si="117"/>
        <v>71991.851999999999</v>
      </c>
      <c r="L662" s="9">
        <f t="shared" si="116"/>
        <v>73569.325555555552</v>
      </c>
      <c r="M662" s="9">
        <f t="shared" si="127"/>
        <v>6.1023916038308555E-3</v>
      </c>
      <c r="N662" s="9">
        <f t="shared" si="118"/>
        <v>1.1476857741602136E-2</v>
      </c>
    </row>
    <row r="663" spans="1:14" x14ac:dyDescent="0.35">
      <c r="A663" s="1">
        <v>43339</v>
      </c>
      <c r="B663" s="2" t="s">
        <v>663</v>
      </c>
      <c r="C663">
        <f t="shared" si="119"/>
        <v>71648.39</v>
      </c>
      <c r="D663">
        <f t="shared" si="120"/>
        <v>2018</v>
      </c>
      <c r="E663">
        <f t="shared" si="121"/>
        <v>8</v>
      </c>
      <c r="F663" t="str">
        <f t="shared" si="123"/>
        <v>August</v>
      </c>
      <c r="G663">
        <f t="shared" si="122"/>
        <v>27</v>
      </c>
      <c r="H663" s="7">
        <f t="shared" si="124"/>
        <v>-2.9687095834941535</v>
      </c>
      <c r="I663" s="9">
        <f t="shared" si="125"/>
        <v>-3.013667788950845E-2</v>
      </c>
      <c r="J663" s="9">
        <f t="shared" si="126"/>
        <v>73089.642857142855</v>
      </c>
      <c r="K663" s="9">
        <f t="shared" si="117"/>
        <v>71902.749000000011</v>
      </c>
      <c r="L663" s="9">
        <f t="shared" si="116"/>
        <v>73547.462555555554</v>
      </c>
      <c r="M663" s="9">
        <f t="shared" si="127"/>
        <v>1.3881025192480865E-2</v>
      </c>
      <c r="N663" s="9">
        <f t="shared" si="118"/>
        <v>1.2708921786511139E-2</v>
      </c>
    </row>
    <row r="664" spans="1:14" x14ac:dyDescent="0.35">
      <c r="A664" s="1">
        <v>43340</v>
      </c>
      <c r="B664" s="2" t="s">
        <v>664</v>
      </c>
      <c r="C664">
        <f t="shared" si="119"/>
        <v>71657.25</v>
      </c>
      <c r="D664">
        <f t="shared" si="120"/>
        <v>2018</v>
      </c>
      <c r="E664">
        <f t="shared" si="121"/>
        <v>8</v>
      </c>
      <c r="F664" t="str">
        <f t="shared" si="123"/>
        <v>August</v>
      </c>
      <c r="G664">
        <f t="shared" si="122"/>
        <v>28</v>
      </c>
      <c r="H664" s="7">
        <f t="shared" si="124"/>
        <v>1.2365944301052098E-2</v>
      </c>
      <c r="I664" s="9">
        <f t="shared" si="125"/>
        <v>1.2365179781185335E-4</v>
      </c>
      <c r="J664" s="9">
        <f t="shared" si="126"/>
        <v>72921.850000000006</v>
      </c>
      <c r="K664" s="9">
        <f t="shared" si="117"/>
        <v>71827.299000000028</v>
      </c>
      <c r="L664" s="9">
        <f t="shared" si="116"/>
        <v>73530.115999999995</v>
      </c>
      <c r="M664" s="9">
        <f t="shared" si="127"/>
        <v>1.2774084526056443E-2</v>
      </c>
      <c r="N664" s="9">
        <f t="shared" si="118"/>
        <v>1.2686205753154241E-2</v>
      </c>
    </row>
    <row r="665" spans="1:14" x14ac:dyDescent="0.35">
      <c r="A665" s="1">
        <v>43341</v>
      </c>
      <c r="B665" s="2" t="s">
        <v>665</v>
      </c>
      <c r="C665">
        <f t="shared" si="119"/>
        <v>71249.59</v>
      </c>
      <c r="D665">
        <f t="shared" si="120"/>
        <v>2018</v>
      </c>
      <c r="E665">
        <f t="shared" si="121"/>
        <v>8</v>
      </c>
      <c r="F665" t="str">
        <f t="shared" si="123"/>
        <v>August</v>
      </c>
      <c r="G665">
        <f t="shared" si="122"/>
        <v>29</v>
      </c>
      <c r="H665" s="7">
        <f t="shared" si="124"/>
        <v>-0.56890265813996976</v>
      </c>
      <c r="I665" s="9">
        <f t="shared" si="125"/>
        <v>-5.7052707313523972E-3</v>
      </c>
      <c r="J665" s="9">
        <f t="shared" si="126"/>
        <v>72650.827142857146</v>
      </c>
      <c r="K665" s="9">
        <f t="shared" si="117"/>
        <v>71744.398333333345</v>
      </c>
      <c r="L665" s="9">
        <f t="shared" si="116"/>
        <v>73510.558777777769</v>
      </c>
      <c r="M665" s="9">
        <f t="shared" si="127"/>
        <v>1.2463972524618488E-2</v>
      </c>
      <c r="N665" s="9">
        <f t="shared" si="118"/>
        <v>1.2712446690240308E-2</v>
      </c>
    </row>
    <row r="666" spans="1:14" x14ac:dyDescent="0.35">
      <c r="A666" s="1">
        <v>43342</v>
      </c>
      <c r="B666" s="2" t="s">
        <v>666</v>
      </c>
      <c r="C666">
        <f t="shared" si="119"/>
        <v>70564.69</v>
      </c>
      <c r="D666">
        <f t="shared" si="120"/>
        <v>2018</v>
      </c>
      <c r="E666">
        <f t="shared" si="121"/>
        <v>8</v>
      </c>
      <c r="F666" t="str">
        <f t="shared" si="123"/>
        <v>August</v>
      </c>
      <c r="G666">
        <f t="shared" si="122"/>
        <v>30</v>
      </c>
      <c r="H666" s="7">
        <f t="shared" si="124"/>
        <v>-0.96126868940578347</v>
      </c>
      <c r="I666" s="9">
        <f t="shared" si="125"/>
        <v>-9.6591870026507386E-3</v>
      </c>
      <c r="J666" s="9">
        <f t="shared" si="126"/>
        <v>72314.394285714283</v>
      </c>
      <c r="K666" s="9">
        <f t="shared" si="117"/>
        <v>71603.21166666667</v>
      </c>
      <c r="L666" s="9">
        <f t="shared" si="116"/>
        <v>73482.804333333319</v>
      </c>
      <c r="M666" s="9">
        <f t="shared" si="127"/>
        <v>1.2651924146865804E-2</v>
      </c>
      <c r="N666" s="9">
        <f t="shared" si="118"/>
        <v>1.245783003197911E-2</v>
      </c>
    </row>
    <row r="667" spans="1:14" x14ac:dyDescent="0.35">
      <c r="A667" s="1">
        <v>43343</v>
      </c>
      <c r="B667" s="2" t="s">
        <v>667</v>
      </c>
      <c r="C667">
        <f t="shared" si="119"/>
        <v>70773.210000000006</v>
      </c>
      <c r="D667">
        <f t="shared" si="120"/>
        <v>2018</v>
      </c>
      <c r="E667">
        <f t="shared" si="121"/>
        <v>8</v>
      </c>
      <c r="F667" t="str">
        <f t="shared" si="123"/>
        <v>August</v>
      </c>
      <c r="G667">
        <f t="shared" si="122"/>
        <v>31</v>
      </c>
      <c r="H667" s="7">
        <f t="shared" si="124"/>
        <v>0.29550190045475161</v>
      </c>
      <c r="I667" s="9">
        <f t="shared" si="125"/>
        <v>2.9506615180818858E-3</v>
      </c>
      <c r="J667" s="9">
        <f t="shared" si="126"/>
        <v>71940.451428571439</v>
      </c>
      <c r="K667" s="9">
        <f t="shared" si="117"/>
        <v>71514.202000000005</v>
      </c>
      <c r="L667" s="9">
        <f t="shared" si="116"/>
        <v>73450.03888888887</v>
      </c>
      <c r="M667" s="9">
        <f t="shared" si="127"/>
        <v>1.2201095010424608E-2</v>
      </c>
      <c r="N667" s="9">
        <f t="shared" si="118"/>
        <v>1.2094301218127882E-2</v>
      </c>
    </row>
    <row r="668" spans="1:14" x14ac:dyDescent="0.35">
      <c r="A668" s="1">
        <v>43346</v>
      </c>
      <c r="B668" s="2" t="s">
        <v>668</v>
      </c>
      <c r="C668">
        <f t="shared" si="119"/>
        <v>71238.06</v>
      </c>
      <c r="D668">
        <f t="shared" si="120"/>
        <v>2018</v>
      </c>
      <c r="E668">
        <f t="shared" si="121"/>
        <v>9</v>
      </c>
      <c r="F668" t="str">
        <f t="shared" si="123"/>
        <v>September</v>
      </c>
      <c r="G668">
        <f t="shared" si="122"/>
        <v>3</v>
      </c>
      <c r="H668" s="7">
        <f t="shared" si="124"/>
        <v>0.6568163292296495</v>
      </c>
      <c r="I668" s="9">
        <f t="shared" si="125"/>
        <v>6.546686896801243E-3</v>
      </c>
      <c r="J668" s="9">
        <f t="shared" si="126"/>
        <v>71567.384285714288</v>
      </c>
      <c r="K668" s="9">
        <f t="shared" si="117"/>
        <v>71501.031666666677</v>
      </c>
      <c r="L668" s="9">
        <f t="shared" ref="L668:L731" si="128">AVERAGE(C579:C668)</f>
        <v>73425.758444444422</v>
      </c>
      <c r="M668" s="9">
        <f t="shared" si="127"/>
        <v>1.225083250965543E-2</v>
      </c>
      <c r="N668" s="9">
        <f t="shared" si="118"/>
        <v>1.1305388686503832E-2</v>
      </c>
    </row>
    <row r="669" spans="1:14" x14ac:dyDescent="0.35">
      <c r="A669" s="1">
        <v>43347</v>
      </c>
      <c r="B669" s="2" t="s">
        <v>669</v>
      </c>
      <c r="C669">
        <f t="shared" si="119"/>
        <v>72382.89</v>
      </c>
      <c r="D669">
        <f t="shared" si="120"/>
        <v>2018</v>
      </c>
      <c r="E669">
        <f t="shared" si="121"/>
        <v>9</v>
      </c>
      <c r="F669" t="str">
        <f t="shared" si="123"/>
        <v>September</v>
      </c>
      <c r="G669">
        <f t="shared" si="122"/>
        <v>4</v>
      </c>
      <c r="H669" s="7">
        <f t="shared" si="124"/>
        <v>1.6070482548233374</v>
      </c>
      <c r="I669" s="9">
        <f t="shared" si="125"/>
        <v>1.5942719336967424E-2</v>
      </c>
      <c r="J669" s="9">
        <f t="shared" si="126"/>
        <v>71359.154285714292</v>
      </c>
      <c r="K669" s="9">
        <f t="shared" si="117"/>
        <v>71534.017999999996</v>
      </c>
      <c r="L669" s="9">
        <f t="shared" si="128"/>
        <v>73410.84188888887</v>
      </c>
      <c r="M669" s="9">
        <f t="shared" si="127"/>
        <v>1.4623238754271316E-2</v>
      </c>
      <c r="N669" s="9">
        <f t="shared" si="118"/>
        <v>1.1662148071223535E-2</v>
      </c>
    </row>
    <row r="670" spans="1:14" x14ac:dyDescent="0.35">
      <c r="A670" s="1">
        <v>43348</v>
      </c>
      <c r="B670" s="2" t="s">
        <v>670</v>
      </c>
      <c r="C670">
        <f t="shared" si="119"/>
        <v>72505.990000000005</v>
      </c>
      <c r="D670">
        <f t="shared" si="120"/>
        <v>2018</v>
      </c>
      <c r="E670">
        <f t="shared" si="121"/>
        <v>9</v>
      </c>
      <c r="F670" t="str">
        <f t="shared" si="123"/>
        <v>September</v>
      </c>
      <c r="G670">
        <f t="shared" si="122"/>
        <v>5</v>
      </c>
      <c r="H670" s="7">
        <f t="shared" si="124"/>
        <v>0.17006781575038774</v>
      </c>
      <c r="I670" s="9">
        <f t="shared" si="125"/>
        <v>1.6992336419450662E-3</v>
      </c>
      <c r="J670" s="9">
        <f t="shared" si="126"/>
        <v>71481.66857142857</v>
      </c>
      <c r="K670" s="9">
        <f t="shared" si="117"/>
        <v>71543.328666666668</v>
      </c>
      <c r="L670" s="9">
        <f t="shared" si="128"/>
        <v>73390.759111111096</v>
      </c>
      <c r="M670" s="9">
        <f t="shared" si="127"/>
        <v>8.3092681196394961E-3</v>
      </c>
      <c r="N670" s="9">
        <f t="shared" si="118"/>
        <v>1.1474392431501126E-2</v>
      </c>
    </row>
    <row r="671" spans="1:14" x14ac:dyDescent="0.35">
      <c r="A671" s="1">
        <v>43349</v>
      </c>
      <c r="B671" s="2" t="s">
        <v>671</v>
      </c>
      <c r="C671">
        <f t="shared" si="119"/>
        <v>72174.14</v>
      </c>
      <c r="D671">
        <f t="shared" si="120"/>
        <v>2018</v>
      </c>
      <c r="E671">
        <f t="shared" si="121"/>
        <v>9</v>
      </c>
      <c r="F671" t="str">
        <f t="shared" si="123"/>
        <v>September</v>
      </c>
      <c r="G671">
        <f t="shared" si="122"/>
        <v>6</v>
      </c>
      <c r="H671" s="7">
        <f t="shared" si="124"/>
        <v>-0.45768632357134326</v>
      </c>
      <c r="I671" s="9">
        <f t="shared" si="125"/>
        <v>-4.5873691425747922E-3</v>
      </c>
      <c r="J671" s="9">
        <f t="shared" si="126"/>
        <v>71555.509999999995</v>
      </c>
      <c r="K671" s="9">
        <f t="shared" si="117"/>
        <v>71533.612333333323</v>
      </c>
      <c r="L671" s="9">
        <f t="shared" si="128"/>
        <v>73364.265999999974</v>
      </c>
      <c r="M671" s="9">
        <f t="shared" si="127"/>
        <v>8.6423106562608046E-3</v>
      </c>
      <c r="N671" s="9">
        <f t="shared" si="118"/>
        <v>1.1489542355290847E-2</v>
      </c>
    </row>
    <row r="672" spans="1:14" x14ac:dyDescent="0.35">
      <c r="A672" s="1">
        <v>43350</v>
      </c>
      <c r="B672" s="2" t="s">
        <v>672</v>
      </c>
      <c r="C672">
        <f t="shared" si="119"/>
        <v>72652.100000000006</v>
      </c>
      <c r="D672">
        <f t="shared" si="120"/>
        <v>2018</v>
      </c>
      <c r="E672">
        <f t="shared" si="121"/>
        <v>9</v>
      </c>
      <c r="F672" t="str">
        <f t="shared" si="123"/>
        <v>September</v>
      </c>
      <c r="G672">
        <f t="shared" si="122"/>
        <v>7</v>
      </c>
      <c r="H672" s="7">
        <f t="shared" si="124"/>
        <v>0.66223165250047511</v>
      </c>
      <c r="I672" s="9">
        <f t="shared" si="125"/>
        <v>6.6004853160410108E-3</v>
      </c>
      <c r="J672" s="9">
        <f t="shared" si="126"/>
        <v>71755.868571428582</v>
      </c>
      <c r="K672" s="9">
        <f t="shared" ref="K672:K735" si="129">AVERAGE(C643:C672)</f>
        <v>71569.582666666654</v>
      </c>
      <c r="L672" s="9">
        <f t="shared" si="128"/>
        <v>73348.912444444417</v>
      </c>
      <c r="M672" s="9">
        <f t="shared" si="127"/>
        <v>8.2890464214710607E-3</v>
      </c>
      <c r="N672" s="9">
        <f t="shared" si="118"/>
        <v>1.1312633861433238E-2</v>
      </c>
    </row>
    <row r="673" spans="1:14" x14ac:dyDescent="0.35">
      <c r="A673" s="1">
        <v>43353</v>
      </c>
      <c r="B673" s="2" t="s">
        <v>673</v>
      </c>
      <c r="C673">
        <f t="shared" si="119"/>
        <v>73398.78</v>
      </c>
      <c r="D673">
        <f t="shared" si="120"/>
        <v>2018</v>
      </c>
      <c r="E673">
        <f t="shared" si="121"/>
        <v>9</v>
      </c>
      <c r="F673" t="str">
        <f t="shared" si="123"/>
        <v>September</v>
      </c>
      <c r="G673">
        <f t="shared" si="122"/>
        <v>10</v>
      </c>
      <c r="H673" s="7">
        <f t="shared" si="124"/>
        <v>1.0277473053084396</v>
      </c>
      <c r="I673" s="9">
        <f t="shared" si="125"/>
        <v>1.022501891808E-2</v>
      </c>
      <c r="J673" s="9">
        <f t="shared" si="126"/>
        <v>72160.738571428577</v>
      </c>
      <c r="K673" s="9">
        <f t="shared" si="129"/>
        <v>71573.085666666666</v>
      </c>
      <c r="L673" s="9">
        <f t="shared" si="128"/>
        <v>73337.988222222193</v>
      </c>
      <c r="M673" s="9">
        <f t="shared" si="127"/>
        <v>6.5354519758356435E-3</v>
      </c>
      <c r="N673" s="9">
        <f t="shared" ref="N673:N736" si="130">STDEV(I644:I673)</f>
        <v>1.060068105481503E-2</v>
      </c>
    </row>
    <row r="674" spans="1:14" x14ac:dyDescent="0.35">
      <c r="A674" s="1">
        <v>43354</v>
      </c>
      <c r="B674" s="2" t="s">
        <v>674</v>
      </c>
      <c r="C674">
        <f t="shared" si="119"/>
        <v>73238.11</v>
      </c>
      <c r="D674">
        <f t="shared" si="120"/>
        <v>2018</v>
      </c>
      <c r="E674">
        <f t="shared" si="121"/>
        <v>9</v>
      </c>
      <c r="F674" t="str">
        <f t="shared" si="123"/>
        <v>September</v>
      </c>
      <c r="G674">
        <f t="shared" si="122"/>
        <v>11</v>
      </c>
      <c r="H674" s="7">
        <f t="shared" si="124"/>
        <v>-0.21890009615963407</v>
      </c>
      <c r="I674" s="9">
        <f t="shared" si="125"/>
        <v>-2.1914003263152149E-3</v>
      </c>
      <c r="J674" s="9">
        <f t="shared" si="126"/>
        <v>72512.867142857154</v>
      </c>
      <c r="K674" s="9">
        <f t="shared" si="129"/>
        <v>71585.816666666666</v>
      </c>
      <c r="L674" s="9">
        <f t="shared" si="128"/>
        <v>73324.301111111083</v>
      </c>
      <c r="M674" s="9">
        <f t="shared" si="127"/>
        <v>7.1465976212419947E-3</v>
      </c>
      <c r="N674" s="9">
        <f t="shared" si="130"/>
        <v>1.0548691781833822E-2</v>
      </c>
    </row>
    <row r="675" spans="1:14" x14ac:dyDescent="0.35">
      <c r="A675" s="1">
        <v>43355</v>
      </c>
      <c r="B675" s="2" t="s">
        <v>675</v>
      </c>
      <c r="C675">
        <f t="shared" si="119"/>
        <v>74824.09</v>
      </c>
      <c r="D675">
        <f t="shared" si="120"/>
        <v>2018</v>
      </c>
      <c r="E675">
        <f t="shared" si="121"/>
        <v>9</v>
      </c>
      <c r="F675" t="str">
        <f t="shared" si="123"/>
        <v>September</v>
      </c>
      <c r="G675">
        <f t="shared" si="122"/>
        <v>12</v>
      </c>
      <c r="H675" s="7">
        <f t="shared" si="124"/>
        <v>2.1655119172245105</v>
      </c>
      <c r="I675" s="9">
        <f t="shared" si="125"/>
        <v>2.1423978051536112E-2</v>
      </c>
      <c r="J675" s="9">
        <f t="shared" si="126"/>
        <v>73025.157142857133</v>
      </c>
      <c r="K675" s="9">
        <f t="shared" si="129"/>
        <v>71700.489000000001</v>
      </c>
      <c r="L675" s="9">
        <f t="shared" si="128"/>
        <v>73327.281333333303</v>
      </c>
      <c r="M675" s="9">
        <f t="shared" si="127"/>
        <v>9.5344026660861159E-3</v>
      </c>
      <c r="N675" s="9">
        <f t="shared" si="130"/>
        <v>1.0498382209038887E-2</v>
      </c>
    </row>
    <row r="676" spans="1:14" x14ac:dyDescent="0.35">
      <c r="A676" s="1">
        <v>43356</v>
      </c>
      <c r="B676" s="2" t="s">
        <v>676</v>
      </c>
      <c r="C676">
        <f t="shared" si="119"/>
        <v>73806.42</v>
      </c>
      <c r="D676">
        <f t="shared" si="120"/>
        <v>2018</v>
      </c>
      <c r="E676">
        <f t="shared" si="121"/>
        <v>9</v>
      </c>
      <c r="F676" t="str">
        <f t="shared" si="123"/>
        <v>September</v>
      </c>
      <c r="G676">
        <f t="shared" si="122"/>
        <v>13</v>
      </c>
      <c r="H676" s="7">
        <f t="shared" si="124"/>
        <v>-1.36008336352637</v>
      </c>
      <c r="I676" s="9">
        <f t="shared" si="125"/>
        <v>-1.3694172261377934E-2</v>
      </c>
      <c r="J676" s="9">
        <f t="shared" si="126"/>
        <v>73228.518571428562</v>
      </c>
      <c r="K676" s="9">
        <f t="shared" si="129"/>
        <v>71836.026333333328</v>
      </c>
      <c r="L676" s="9">
        <f t="shared" si="128"/>
        <v>73318.336555555521</v>
      </c>
      <c r="M676" s="9">
        <f t="shared" si="127"/>
        <v>1.1322408855054141E-2</v>
      </c>
      <c r="N676" s="9">
        <f t="shared" si="130"/>
        <v>9.8400583644125961E-3</v>
      </c>
    </row>
    <row r="677" spans="1:14" x14ac:dyDescent="0.35">
      <c r="A677" s="1">
        <v>43357</v>
      </c>
      <c r="B677" s="2" t="s">
        <v>677</v>
      </c>
      <c r="C677">
        <f t="shared" si="119"/>
        <v>73908.03</v>
      </c>
      <c r="D677">
        <f t="shared" si="120"/>
        <v>2018</v>
      </c>
      <c r="E677">
        <f t="shared" si="121"/>
        <v>9</v>
      </c>
      <c r="F677" t="str">
        <f t="shared" si="123"/>
        <v>September</v>
      </c>
      <c r="G677">
        <f t="shared" si="122"/>
        <v>14</v>
      </c>
      <c r="H677" s="7">
        <f t="shared" si="124"/>
        <v>0.13767095057584502</v>
      </c>
      <c r="I677" s="9">
        <f t="shared" si="125"/>
        <v>1.3757627101022209E-3</v>
      </c>
      <c r="J677" s="9">
        <f t="shared" si="126"/>
        <v>73428.809999999983</v>
      </c>
      <c r="K677" s="9">
        <f t="shared" si="129"/>
        <v>71977.84599999999</v>
      </c>
      <c r="L677" s="9">
        <f t="shared" si="128"/>
        <v>73313.197666666645</v>
      </c>
      <c r="M677" s="9">
        <f t="shared" si="127"/>
        <v>1.1328224267674545E-2</v>
      </c>
      <c r="N677" s="9">
        <f t="shared" si="130"/>
        <v>9.8228807432225295E-3</v>
      </c>
    </row>
    <row r="678" spans="1:14" x14ac:dyDescent="0.35">
      <c r="A678" s="1">
        <v>43360</v>
      </c>
      <c r="B678" s="2" t="s">
        <v>678</v>
      </c>
      <c r="C678">
        <f t="shared" si="119"/>
        <v>74589.81</v>
      </c>
      <c r="D678">
        <f t="shared" si="120"/>
        <v>2018</v>
      </c>
      <c r="E678">
        <f t="shared" si="121"/>
        <v>9</v>
      </c>
      <c r="F678" t="str">
        <f t="shared" si="123"/>
        <v>September</v>
      </c>
      <c r="G678">
        <f t="shared" si="122"/>
        <v>17</v>
      </c>
      <c r="H678" s="7">
        <f t="shared" si="124"/>
        <v>0.92247080594625352</v>
      </c>
      <c r="I678" s="9">
        <f t="shared" si="125"/>
        <v>9.1824203026074809E-3</v>
      </c>
      <c r="J678" s="9">
        <f t="shared" si="126"/>
        <v>73773.905714285705</v>
      </c>
      <c r="K678" s="9">
        <f t="shared" si="129"/>
        <v>72135.134333333321</v>
      </c>
      <c r="L678" s="9">
        <f t="shared" si="128"/>
        <v>73307.702444444425</v>
      </c>
      <c r="M678" s="9">
        <f t="shared" si="127"/>
        <v>1.1036369176429136E-2</v>
      </c>
      <c r="N678" s="9">
        <f t="shared" si="130"/>
        <v>9.9091977314059356E-3</v>
      </c>
    </row>
    <row r="679" spans="1:14" x14ac:dyDescent="0.35">
      <c r="A679" s="1">
        <v>43361</v>
      </c>
      <c r="B679" s="2" t="s">
        <v>679</v>
      </c>
      <c r="C679">
        <f t="shared" si="119"/>
        <v>74354.37</v>
      </c>
      <c r="D679">
        <f t="shared" si="120"/>
        <v>2018</v>
      </c>
      <c r="E679">
        <f t="shared" si="121"/>
        <v>9</v>
      </c>
      <c r="F679" t="str">
        <f t="shared" si="123"/>
        <v>September</v>
      </c>
      <c r="G679">
        <f t="shared" si="122"/>
        <v>18</v>
      </c>
      <c r="H679" s="7">
        <f t="shared" si="124"/>
        <v>-0.31564633292403121</v>
      </c>
      <c r="I679" s="9">
        <f t="shared" si="125"/>
        <v>-3.1614554673833123E-3</v>
      </c>
      <c r="J679" s="9">
        <f t="shared" si="126"/>
        <v>74017.087142857155</v>
      </c>
      <c r="K679" s="9">
        <f t="shared" si="129"/>
        <v>72298.547666666665</v>
      </c>
      <c r="L679" s="9">
        <f t="shared" si="128"/>
        <v>73311.189444444433</v>
      </c>
      <c r="M679" s="9">
        <f t="shared" si="127"/>
        <v>1.1368430582461175E-2</v>
      </c>
      <c r="N679" s="9">
        <f t="shared" si="130"/>
        <v>9.8412269855107683E-3</v>
      </c>
    </row>
    <row r="680" spans="1:14" x14ac:dyDescent="0.35">
      <c r="A680" s="1">
        <v>43362</v>
      </c>
      <c r="B680" s="2" t="s">
        <v>680</v>
      </c>
      <c r="C680">
        <f t="shared" si="119"/>
        <v>73302.559999999998</v>
      </c>
      <c r="D680">
        <f t="shared" si="120"/>
        <v>2018</v>
      </c>
      <c r="E680">
        <f t="shared" si="121"/>
        <v>9</v>
      </c>
      <c r="F680" t="str">
        <f t="shared" si="123"/>
        <v>September</v>
      </c>
      <c r="G680">
        <f t="shared" si="122"/>
        <v>19</v>
      </c>
      <c r="H680" s="7">
        <f t="shared" si="124"/>
        <v>-1.4145906958797414</v>
      </c>
      <c r="I680" s="9">
        <f t="shared" si="125"/>
        <v>-1.424691398946169E-2</v>
      </c>
      <c r="J680" s="9">
        <f t="shared" si="126"/>
        <v>74003.341428571424</v>
      </c>
      <c r="K680" s="9">
        <f t="shared" si="129"/>
        <v>72410.949000000008</v>
      </c>
      <c r="L680" s="9">
        <f t="shared" si="128"/>
        <v>73299.883333333317</v>
      </c>
      <c r="M680" s="9">
        <f t="shared" si="127"/>
        <v>1.2584729670115525E-2</v>
      </c>
      <c r="N680" s="9">
        <f t="shared" si="130"/>
        <v>1.0247980771420497E-2</v>
      </c>
    </row>
    <row r="681" spans="1:14" x14ac:dyDescent="0.35">
      <c r="A681" s="1">
        <v>43363</v>
      </c>
      <c r="B681" s="2" t="s">
        <v>681</v>
      </c>
      <c r="C681">
        <f t="shared" si="119"/>
        <v>74086.62</v>
      </c>
      <c r="D681">
        <f t="shared" si="120"/>
        <v>2018</v>
      </c>
      <c r="E681">
        <f t="shared" si="121"/>
        <v>9</v>
      </c>
      <c r="F681" t="str">
        <f t="shared" si="123"/>
        <v>September</v>
      </c>
      <c r="G681">
        <f t="shared" si="122"/>
        <v>20</v>
      </c>
      <c r="H681" s="7">
        <f t="shared" si="124"/>
        <v>1.0696215793827633</v>
      </c>
      <c r="I681" s="9">
        <f t="shared" si="125"/>
        <v>1.0639415947637254E-2</v>
      </c>
      <c r="J681" s="9">
        <f t="shared" si="126"/>
        <v>74124.557142857142</v>
      </c>
      <c r="K681" s="9">
        <f t="shared" si="129"/>
        <v>72538.024999999994</v>
      </c>
      <c r="L681" s="9">
        <f t="shared" si="128"/>
        <v>73308.210333333307</v>
      </c>
      <c r="M681" s="9">
        <f t="shared" si="127"/>
        <v>1.3165218268130328E-2</v>
      </c>
      <c r="N681" s="9">
        <f t="shared" si="130"/>
        <v>1.0365149725321179E-2</v>
      </c>
    </row>
    <row r="682" spans="1:14" x14ac:dyDescent="0.35">
      <c r="A682" s="1">
        <v>43364</v>
      </c>
      <c r="B682" s="2" t="s">
        <v>682</v>
      </c>
      <c r="C682">
        <f t="shared" si="119"/>
        <v>74106.179999999993</v>
      </c>
      <c r="D682">
        <f t="shared" si="120"/>
        <v>2018</v>
      </c>
      <c r="E682">
        <f t="shared" si="121"/>
        <v>9</v>
      </c>
      <c r="F682" t="str">
        <f t="shared" si="123"/>
        <v>September</v>
      </c>
      <c r="G682">
        <f t="shared" si="122"/>
        <v>21</v>
      </c>
      <c r="H682" s="7">
        <f t="shared" si="124"/>
        <v>2.64015283731363E-2</v>
      </c>
      <c r="I682" s="9">
        <f t="shared" si="125"/>
        <v>2.6398043782951052E-4</v>
      </c>
      <c r="J682" s="9">
        <f t="shared" si="126"/>
        <v>74021.998571428572</v>
      </c>
      <c r="K682" s="9">
        <f t="shared" si="129"/>
        <v>72655.622666666677</v>
      </c>
      <c r="L682" s="9">
        <f t="shared" si="128"/>
        <v>73327.706777777756</v>
      </c>
      <c r="M682" s="9">
        <f t="shared" si="127"/>
        <v>9.8885272586197275E-3</v>
      </c>
      <c r="N682" s="9">
        <f t="shared" si="130"/>
        <v>1.0357110797738298E-2</v>
      </c>
    </row>
    <row r="683" spans="1:14" x14ac:dyDescent="0.35">
      <c r="A683" s="1">
        <v>43368</v>
      </c>
      <c r="B683" s="2" t="s">
        <v>683</v>
      </c>
      <c r="C683">
        <f t="shared" si="119"/>
        <v>73652.67</v>
      </c>
      <c r="D683">
        <f t="shared" si="120"/>
        <v>2018</v>
      </c>
      <c r="E683">
        <f t="shared" si="121"/>
        <v>9</v>
      </c>
      <c r="F683" t="str">
        <f t="shared" si="123"/>
        <v>September</v>
      </c>
      <c r="G683">
        <f t="shared" si="122"/>
        <v>25</v>
      </c>
      <c r="H683" s="7">
        <f t="shared" si="124"/>
        <v>-0.6119732524331909</v>
      </c>
      <c r="I683" s="9">
        <f t="shared" si="125"/>
        <v>-6.1385348367471414E-3</v>
      </c>
      <c r="J683" s="9">
        <f t="shared" si="126"/>
        <v>74000.034285714282</v>
      </c>
      <c r="K683" s="9">
        <f t="shared" si="129"/>
        <v>72774.035666666678</v>
      </c>
      <c r="L683" s="9">
        <f t="shared" si="128"/>
        <v>73338.72633333331</v>
      </c>
      <c r="M683" s="9">
        <f t="shared" si="127"/>
        <v>8.655500815100076E-3</v>
      </c>
      <c r="N683" s="9">
        <f t="shared" si="130"/>
        <v>1.0339377590637227E-2</v>
      </c>
    </row>
    <row r="684" spans="1:14" x14ac:dyDescent="0.35">
      <c r="A684" s="1">
        <v>43369</v>
      </c>
      <c r="B684" s="2" t="s">
        <v>684</v>
      </c>
      <c r="C684">
        <f t="shared" si="119"/>
        <v>73185.119999999995</v>
      </c>
      <c r="D684">
        <f t="shared" si="120"/>
        <v>2018</v>
      </c>
      <c r="E684">
        <f t="shared" si="121"/>
        <v>9</v>
      </c>
      <c r="F684" t="str">
        <f t="shared" si="123"/>
        <v>September</v>
      </c>
      <c r="G684">
        <f t="shared" si="122"/>
        <v>26</v>
      </c>
      <c r="H684" s="7">
        <f t="shared" si="124"/>
        <v>-0.63480387065398025</v>
      </c>
      <c r="I684" s="9">
        <f t="shared" si="125"/>
        <v>-6.3682731825281964E-3</v>
      </c>
      <c r="J684" s="9">
        <f t="shared" si="126"/>
        <v>73896.761428571423</v>
      </c>
      <c r="K684" s="9">
        <f t="shared" si="129"/>
        <v>72873.606000000014</v>
      </c>
      <c r="L684" s="9">
        <f t="shared" si="128"/>
        <v>73348.06766666664</v>
      </c>
      <c r="M684" s="9">
        <f t="shared" si="127"/>
        <v>8.8974456896291059E-3</v>
      </c>
      <c r="N684" s="9">
        <f t="shared" si="130"/>
        <v>1.0442558031589978E-2</v>
      </c>
    </row>
    <row r="685" spans="1:14" x14ac:dyDescent="0.35">
      <c r="A685" s="1">
        <v>43370</v>
      </c>
      <c r="B685" s="2" t="s">
        <v>685</v>
      </c>
      <c r="C685">
        <f t="shared" si="119"/>
        <v>74411.02</v>
      </c>
      <c r="D685">
        <f t="shared" si="120"/>
        <v>2018</v>
      </c>
      <c r="E685">
        <f t="shared" si="121"/>
        <v>9</v>
      </c>
      <c r="F685" t="str">
        <f t="shared" si="123"/>
        <v>September</v>
      </c>
      <c r="G685">
        <f t="shared" si="122"/>
        <v>27</v>
      </c>
      <c r="H685" s="7">
        <f t="shared" si="124"/>
        <v>1.6750672814364571</v>
      </c>
      <c r="I685" s="9">
        <f t="shared" si="125"/>
        <v>1.661192753535853E-2</v>
      </c>
      <c r="J685" s="9">
        <f t="shared" si="126"/>
        <v>73871.22</v>
      </c>
      <c r="K685" s="9">
        <f t="shared" si="129"/>
        <v>72988.595666666675</v>
      </c>
      <c r="L685" s="9">
        <f t="shared" si="128"/>
        <v>73378.266888888858</v>
      </c>
      <c r="M685" s="9">
        <f t="shared" si="127"/>
        <v>1.0642729202420589E-2</v>
      </c>
      <c r="N685" s="9">
        <f t="shared" si="130"/>
        <v>1.0674055594276581E-2</v>
      </c>
    </row>
    <row r="686" spans="1:14" x14ac:dyDescent="0.35">
      <c r="A686" s="1">
        <v>43371</v>
      </c>
      <c r="B686" s="2" t="s">
        <v>686</v>
      </c>
      <c r="C686">
        <f t="shared" si="119"/>
        <v>75016</v>
      </c>
      <c r="D686">
        <f t="shared" si="120"/>
        <v>2018</v>
      </c>
      <c r="E686">
        <f t="shared" si="121"/>
        <v>9</v>
      </c>
      <c r="F686" t="str">
        <f t="shared" si="123"/>
        <v>September</v>
      </c>
      <c r="G686">
        <f t="shared" si="122"/>
        <v>28</v>
      </c>
      <c r="H686" s="7">
        <f t="shared" si="124"/>
        <v>0.81302473746495596</v>
      </c>
      <c r="I686" s="9">
        <f t="shared" si="125"/>
        <v>8.0973749671372827E-3</v>
      </c>
      <c r="J686" s="9">
        <f t="shared" si="126"/>
        <v>73965.738571428563</v>
      </c>
      <c r="K686" s="9">
        <f t="shared" si="129"/>
        <v>73090.17333333334</v>
      </c>
      <c r="L686" s="9">
        <f t="shared" si="128"/>
        <v>73400.58222222219</v>
      </c>
      <c r="M686" s="9">
        <f t="shared" si="127"/>
        <v>1.0990828812434156E-2</v>
      </c>
      <c r="N686" s="9">
        <f t="shared" si="130"/>
        <v>1.0486094964824035E-2</v>
      </c>
    </row>
    <row r="687" spans="1:14" x14ac:dyDescent="0.35">
      <c r="A687" s="1">
        <v>43374</v>
      </c>
      <c r="B687" s="2" t="s">
        <v>687</v>
      </c>
      <c r="C687">
        <f t="shared" si="119"/>
        <v>75375.22</v>
      </c>
      <c r="D687">
        <f t="shared" si="120"/>
        <v>2018</v>
      </c>
      <c r="E687">
        <f t="shared" si="121"/>
        <v>10</v>
      </c>
      <c r="F687" t="str">
        <f t="shared" si="123"/>
        <v>October</v>
      </c>
      <c r="G687">
        <f t="shared" si="122"/>
        <v>1</v>
      </c>
      <c r="H687" s="7">
        <f t="shared" si="124"/>
        <v>0.47885784366002071</v>
      </c>
      <c r="I687" s="9">
        <f t="shared" si="125"/>
        <v>4.7771496654011097E-3</v>
      </c>
      <c r="J687" s="9">
        <f t="shared" si="126"/>
        <v>74261.832857142857</v>
      </c>
      <c r="K687" s="9">
        <f t="shared" si="129"/>
        <v>73174.954000000012</v>
      </c>
      <c r="L687" s="9">
        <f t="shared" si="128"/>
        <v>73419.465333333312</v>
      </c>
      <c r="M687" s="9">
        <f t="shared" si="127"/>
        <v>8.6098961364462628E-3</v>
      </c>
      <c r="N687" s="9">
        <f t="shared" si="130"/>
        <v>1.031826444055989E-2</v>
      </c>
    </row>
    <row r="688" spans="1:14" x14ac:dyDescent="0.35">
      <c r="A688" s="1">
        <v>43375</v>
      </c>
      <c r="B688" s="2" t="s">
        <v>688</v>
      </c>
      <c r="C688">
        <f t="shared" si="119"/>
        <v>74786.789999999994</v>
      </c>
      <c r="D688">
        <f t="shared" si="120"/>
        <v>2018</v>
      </c>
      <c r="E688">
        <f t="shared" si="121"/>
        <v>10</v>
      </c>
      <c r="F688" t="str">
        <f t="shared" si="123"/>
        <v>October</v>
      </c>
      <c r="G688">
        <f t="shared" si="122"/>
        <v>2</v>
      </c>
      <c r="H688" s="7">
        <f t="shared" si="124"/>
        <v>-0.78066770485049009</v>
      </c>
      <c r="I688" s="9">
        <f t="shared" si="125"/>
        <v>-7.837308676740375E-3</v>
      </c>
      <c r="J688" s="9">
        <f t="shared" si="126"/>
        <v>74361.85714285713</v>
      </c>
      <c r="K688" s="9">
        <f t="shared" si="129"/>
        <v>73229.622000000003</v>
      </c>
      <c r="L688" s="9">
        <f t="shared" si="128"/>
        <v>73425.532333333307</v>
      </c>
      <c r="M688" s="9">
        <f t="shared" si="127"/>
        <v>9.0501800846625041E-3</v>
      </c>
      <c r="N688" s="9">
        <f t="shared" si="130"/>
        <v>1.0427452994499745E-2</v>
      </c>
    </row>
    <row r="689" spans="1:14" x14ac:dyDescent="0.35">
      <c r="A689" s="1">
        <v>43376</v>
      </c>
      <c r="B689" s="2" t="s">
        <v>689</v>
      </c>
      <c r="C689">
        <f t="shared" si="119"/>
        <v>74953.73</v>
      </c>
      <c r="D689">
        <f t="shared" si="120"/>
        <v>2018</v>
      </c>
      <c r="E689">
        <f t="shared" si="121"/>
        <v>10</v>
      </c>
      <c r="F689" t="str">
        <f t="shared" si="123"/>
        <v>October</v>
      </c>
      <c r="G689">
        <f t="shared" si="122"/>
        <v>3</v>
      </c>
      <c r="H689" s="7">
        <f t="shared" si="124"/>
        <v>0.22322124000776383</v>
      </c>
      <c r="I689" s="9">
        <f t="shared" si="125"/>
        <v>2.2297247153173633E-3</v>
      </c>
      <c r="J689" s="9">
        <f t="shared" si="126"/>
        <v>74482.935714285719</v>
      </c>
      <c r="K689" s="9">
        <f t="shared" si="129"/>
        <v>73297.422333333336</v>
      </c>
      <c r="L689" s="9">
        <f t="shared" si="128"/>
        <v>73437.970666666646</v>
      </c>
      <c r="M689" s="9">
        <f t="shared" si="127"/>
        <v>9.0415849251380461E-3</v>
      </c>
      <c r="N689" s="9">
        <f t="shared" si="130"/>
        <v>1.0405052894312641E-2</v>
      </c>
    </row>
    <row r="690" spans="1:14" x14ac:dyDescent="0.35">
      <c r="A690" s="1">
        <v>43377</v>
      </c>
      <c r="B690" s="2" t="s">
        <v>690</v>
      </c>
      <c r="C690">
        <f t="shared" si="119"/>
        <v>75256.19</v>
      </c>
      <c r="D690">
        <f t="shared" si="120"/>
        <v>2018</v>
      </c>
      <c r="E690">
        <f t="shared" si="121"/>
        <v>10</v>
      </c>
      <c r="F690" t="str">
        <f t="shared" si="123"/>
        <v>October</v>
      </c>
      <c r="G690">
        <f t="shared" si="122"/>
        <v>4</v>
      </c>
      <c r="H690" s="7">
        <f t="shared" si="124"/>
        <v>0.40352895046051268</v>
      </c>
      <c r="I690" s="9">
        <f t="shared" si="125"/>
        <v>4.027169560798338E-3</v>
      </c>
      <c r="J690" s="9">
        <f t="shared" si="126"/>
        <v>74712.009999999995</v>
      </c>
      <c r="K690" s="9">
        <f t="shared" si="129"/>
        <v>73359.601666666669</v>
      </c>
      <c r="L690" s="9">
        <f t="shared" si="128"/>
        <v>73456.517444444413</v>
      </c>
      <c r="M690" s="9">
        <f t="shared" si="127"/>
        <v>8.3789911271271323E-3</v>
      </c>
      <c r="N690" s="9">
        <f t="shared" si="130"/>
        <v>1.0370164178982379E-2</v>
      </c>
    </row>
    <row r="691" spans="1:14" x14ac:dyDescent="0.35">
      <c r="A691" s="1">
        <v>43378</v>
      </c>
      <c r="B691" s="2" t="s">
        <v>691</v>
      </c>
      <c r="C691">
        <f t="shared" si="119"/>
        <v>74776.179999999993</v>
      </c>
      <c r="D691">
        <f t="shared" si="120"/>
        <v>2018</v>
      </c>
      <c r="E691">
        <f t="shared" si="121"/>
        <v>10</v>
      </c>
      <c r="F691" t="str">
        <f t="shared" si="123"/>
        <v>October</v>
      </c>
      <c r="G691">
        <f t="shared" si="122"/>
        <v>5</v>
      </c>
      <c r="H691" s="7">
        <f t="shared" si="124"/>
        <v>-0.63783457546815658</v>
      </c>
      <c r="I691" s="9">
        <f t="shared" si="125"/>
        <v>-6.3987743152430377E-3</v>
      </c>
      <c r="J691" s="9">
        <f t="shared" si="126"/>
        <v>74939.304285714286</v>
      </c>
      <c r="K691" s="9">
        <f t="shared" si="129"/>
        <v>73390.490000000005</v>
      </c>
      <c r="L691" s="9">
        <f t="shared" si="128"/>
        <v>73467.073333333305</v>
      </c>
      <c r="M691" s="9">
        <f t="shared" si="127"/>
        <v>8.3847274211588125E-3</v>
      </c>
      <c r="N691" s="9">
        <f t="shared" si="130"/>
        <v>1.0399942013432452E-2</v>
      </c>
    </row>
    <row r="692" spans="1:14" x14ac:dyDescent="0.35">
      <c r="A692" s="1">
        <v>43381</v>
      </c>
      <c r="B692" s="2" t="s">
        <v>692</v>
      </c>
      <c r="C692">
        <f t="shared" si="119"/>
        <v>75079.61</v>
      </c>
      <c r="D692">
        <f t="shared" si="120"/>
        <v>2018</v>
      </c>
      <c r="E692">
        <f t="shared" si="121"/>
        <v>10</v>
      </c>
      <c r="F692" t="str">
        <f t="shared" si="123"/>
        <v>October</v>
      </c>
      <c r="G692">
        <f t="shared" si="122"/>
        <v>8</v>
      </c>
      <c r="H692" s="7">
        <f t="shared" si="124"/>
        <v>0.40578430189935832</v>
      </c>
      <c r="I692" s="9">
        <f t="shared" si="125"/>
        <v>4.0496321787157601E-3</v>
      </c>
      <c r="J692" s="9">
        <f t="shared" si="126"/>
        <v>75034.817142857137</v>
      </c>
      <c r="K692" s="9">
        <f t="shared" si="129"/>
        <v>73431.79366666665</v>
      </c>
      <c r="L692" s="9">
        <f t="shared" si="128"/>
        <v>73477.921999999977</v>
      </c>
      <c r="M692" s="9">
        <f t="shared" si="127"/>
        <v>6.0126990261233689E-3</v>
      </c>
      <c r="N692" s="9">
        <f t="shared" si="130"/>
        <v>1.0420373359492511E-2</v>
      </c>
    </row>
    <row r="693" spans="1:14" x14ac:dyDescent="0.35">
      <c r="A693" s="1">
        <v>43382</v>
      </c>
      <c r="B693" s="2" t="s">
        <v>693</v>
      </c>
      <c r="C693">
        <f t="shared" si="119"/>
        <v>73836.009999999995</v>
      </c>
      <c r="D693">
        <f t="shared" si="120"/>
        <v>2018</v>
      </c>
      <c r="E693">
        <f t="shared" si="121"/>
        <v>10</v>
      </c>
      <c r="F693" t="str">
        <f t="shared" si="123"/>
        <v>October</v>
      </c>
      <c r="G693">
        <f t="shared" si="122"/>
        <v>9</v>
      </c>
      <c r="H693" s="7">
        <f t="shared" si="124"/>
        <v>-1.6563751463280187</v>
      </c>
      <c r="I693" s="9">
        <f t="shared" si="125"/>
        <v>-1.6702464263939981E-2</v>
      </c>
      <c r="J693" s="9">
        <f t="shared" si="126"/>
        <v>74866.247142857144</v>
      </c>
      <c r="K693" s="9">
        <f t="shared" si="129"/>
        <v>73504.714333333308</v>
      </c>
      <c r="L693" s="9">
        <f t="shared" si="128"/>
        <v>73470.675444444423</v>
      </c>
      <c r="M693" s="9">
        <f t="shared" si="127"/>
        <v>8.2243488897208381E-3</v>
      </c>
      <c r="N693" s="9">
        <f t="shared" si="130"/>
        <v>9.2824895692685712E-3</v>
      </c>
    </row>
    <row r="694" spans="1:14" x14ac:dyDescent="0.35">
      <c r="A694" s="1">
        <v>43383</v>
      </c>
      <c r="B694" s="2" t="s">
        <v>694</v>
      </c>
      <c r="C694">
        <f t="shared" si="119"/>
        <v>74301.56</v>
      </c>
      <c r="D694">
        <f t="shared" si="120"/>
        <v>2018</v>
      </c>
      <c r="E694">
        <f t="shared" si="121"/>
        <v>10</v>
      </c>
      <c r="F694" t="str">
        <f t="shared" si="123"/>
        <v>October</v>
      </c>
      <c r="G694">
        <f t="shared" si="122"/>
        <v>10</v>
      </c>
      <c r="H694" s="7">
        <f t="shared" si="124"/>
        <v>0.63051890263301469</v>
      </c>
      <c r="I694" s="9">
        <f t="shared" si="125"/>
        <v>6.2853944839829229E-3</v>
      </c>
      <c r="J694" s="9">
        <f t="shared" si="126"/>
        <v>74712.86714285714</v>
      </c>
      <c r="K694" s="9">
        <f t="shared" si="129"/>
        <v>73592.858000000007</v>
      </c>
      <c r="L694" s="9">
        <f t="shared" si="128"/>
        <v>73468.220666666632</v>
      </c>
      <c r="M694" s="9">
        <f t="shared" si="127"/>
        <v>8.4560809931245907E-3</v>
      </c>
      <c r="N694" s="9">
        <f t="shared" si="130"/>
        <v>9.3304182544352299E-3</v>
      </c>
    </row>
    <row r="695" spans="1:14" x14ac:dyDescent="0.35">
      <c r="A695" s="1">
        <v>43384</v>
      </c>
      <c r="B695" s="2" t="s">
        <v>695</v>
      </c>
      <c r="C695">
        <f t="shared" si="119"/>
        <v>74022.58</v>
      </c>
      <c r="D695">
        <f t="shared" si="120"/>
        <v>2018</v>
      </c>
      <c r="E695">
        <f t="shared" si="121"/>
        <v>10</v>
      </c>
      <c r="F695" t="str">
        <f t="shared" si="123"/>
        <v>October</v>
      </c>
      <c r="G695">
        <f t="shared" si="122"/>
        <v>11</v>
      </c>
      <c r="H695" s="7">
        <f t="shared" si="124"/>
        <v>-0.37546990938009367</v>
      </c>
      <c r="I695" s="9">
        <f t="shared" si="125"/>
        <v>-3.7617656705686872E-3</v>
      </c>
      <c r="J695" s="9">
        <f t="shared" si="126"/>
        <v>74603.694285714286</v>
      </c>
      <c r="K695" s="9">
        <f t="shared" si="129"/>
        <v>73685.290999999997</v>
      </c>
      <c r="L695" s="9">
        <f t="shared" si="128"/>
        <v>73462.796888888857</v>
      </c>
      <c r="M695" s="9">
        <f t="shared" si="127"/>
        <v>8.1249845303570638E-3</v>
      </c>
      <c r="N695" s="9">
        <f t="shared" si="130"/>
        <v>9.2874110201096125E-3</v>
      </c>
    </row>
    <row r="696" spans="1:14" x14ac:dyDescent="0.35">
      <c r="A696" s="1">
        <v>43385</v>
      </c>
      <c r="B696" s="2" t="s">
        <v>696</v>
      </c>
      <c r="C696">
        <f t="shared" si="119"/>
        <v>73277.88</v>
      </c>
      <c r="D696">
        <f t="shared" si="120"/>
        <v>2018</v>
      </c>
      <c r="E696">
        <f t="shared" si="121"/>
        <v>10</v>
      </c>
      <c r="F696" t="str">
        <f t="shared" si="123"/>
        <v>October</v>
      </c>
      <c r="G696">
        <f t="shared" si="122"/>
        <v>12</v>
      </c>
      <c r="H696" s="7">
        <f t="shared" si="124"/>
        <v>-1.0060443718659862</v>
      </c>
      <c r="I696" s="9">
        <f t="shared" si="125"/>
        <v>-1.0111391978661326E-2</v>
      </c>
      <c r="J696" s="9">
        <f t="shared" si="126"/>
        <v>74364.287142857138</v>
      </c>
      <c r="K696" s="9">
        <f t="shared" si="129"/>
        <v>73775.73066666667</v>
      </c>
      <c r="L696" s="9">
        <f t="shared" si="128"/>
        <v>73435.782888888862</v>
      </c>
      <c r="M696" s="9">
        <f t="shared" si="127"/>
        <v>8.5184803073711114E-3</v>
      </c>
      <c r="N696" s="9">
        <f t="shared" si="130"/>
        <v>9.3061134600240323E-3</v>
      </c>
    </row>
    <row r="697" spans="1:14" x14ac:dyDescent="0.35">
      <c r="A697" s="1">
        <v>43388</v>
      </c>
      <c r="B697" s="2" t="s">
        <v>697</v>
      </c>
      <c r="C697">
        <f t="shared" si="119"/>
        <v>73760.210000000006</v>
      </c>
      <c r="D697">
        <f t="shared" si="120"/>
        <v>2018</v>
      </c>
      <c r="E697">
        <f t="shared" si="121"/>
        <v>10</v>
      </c>
      <c r="F697" t="str">
        <f t="shared" si="123"/>
        <v>October</v>
      </c>
      <c r="G697">
        <f t="shared" si="122"/>
        <v>15</v>
      </c>
      <c r="H697" s="7">
        <f t="shared" si="124"/>
        <v>0.6582204616181605</v>
      </c>
      <c r="I697" s="9">
        <f t="shared" si="125"/>
        <v>6.5606364994829115E-3</v>
      </c>
      <c r="J697" s="9">
        <f t="shared" si="126"/>
        <v>74150.575714285718</v>
      </c>
      <c r="K697" s="9">
        <f t="shared" si="129"/>
        <v>73875.297333333336</v>
      </c>
      <c r="L697" s="9">
        <f t="shared" si="128"/>
        <v>73400.972444444415</v>
      </c>
      <c r="M697" s="9">
        <f t="shared" si="127"/>
        <v>8.9224600856260099E-3</v>
      </c>
      <c r="N697" s="9">
        <f t="shared" si="130"/>
        <v>9.3519863392370253E-3</v>
      </c>
    </row>
    <row r="698" spans="1:14" x14ac:dyDescent="0.35">
      <c r="A698" s="1">
        <v>43389</v>
      </c>
      <c r="B698" s="2" t="s">
        <v>698</v>
      </c>
      <c r="C698">
        <f t="shared" si="119"/>
        <v>73080.87</v>
      </c>
      <c r="D698">
        <f t="shared" si="120"/>
        <v>2018</v>
      </c>
      <c r="E698">
        <f t="shared" si="121"/>
        <v>10</v>
      </c>
      <c r="F698" t="str">
        <f t="shared" si="123"/>
        <v>October</v>
      </c>
      <c r="G698">
        <f t="shared" si="122"/>
        <v>16</v>
      </c>
      <c r="H698" s="7">
        <f t="shared" si="124"/>
        <v>-0.92101147759748925</v>
      </c>
      <c r="I698" s="9">
        <f t="shared" si="125"/>
        <v>-9.2527901150195341E-3</v>
      </c>
      <c r="J698" s="9">
        <f t="shared" si="126"/>
        <v>73908.388571428572</v>
      </c>
      <c r="K698" s="9">
        <f t="shared" si="129"/>
        <v>73936.724333333332</v>
      </c>
      <c r="L698" s="9">
        <f t="shared" si="128"/>
        <v>73363.140666666644</v>
      </c>
      <c r="M698" s="9">
        <f t="shared" si="127"/>
        <v>9.1723777664020796E-3</v>
      </c>
      <c r="N698" s="9">
        <f t="shared" si="130"/>
        <v>9.4946558937769338E-3</v>
      </c>
    </row>
    <row r="699" spans="1:14" x14ac:dyDescent="0.35">
      <c r="A699" s="1">
        <v>43390</v>
      </c>
      <c r="B699" s="2" t="s">
        <v>699</v>
      </c>
      <c r="C699">
        <f t="shared" si="119"/>
        <v>74375.22</v>
      </c>
      <c r="D699">
        <f t="shared" si="120"/>
        <v>2018</v>
      </c>
      <c r="E699">
        <f t="shared" si="121"/>
        <v>10</v>
      </c>
      <c r="F699" t="str">
        <f t="shared" si="123"/>
        <v>October</v>
      </c>
      <c r="G699">
        <f t="shared" si="122"/>
        <v>17</v>
      </c>
      <c r="H699" s="7">
        <f t="shared" si="124"/>
        <v>1.771120130343284</v>
      </c>
      <c r="I699" s="9">
        <f t="shared" si="125"/>
        <v>1.7556185643762757E-2</v>
      </c>
      <c r="J699" s="9">
        <f t="shared" si="126"/>
        <v>73807.761428571437</v>
      </c>
      <c r="K699" s="9">
        <f t="shared" si="129"/>
        <v>74003.135333333354</v>
      </c>
      <c r="L699" s="9">
        <f t="shared" si="128"/>
        <v>73337.777111111078</v>
      </c>
      <c r="M699" s="9">
        <f t="shared" si="127"/>
        <v>1.1965589879798528E-2</v>
      </c>
      <c r="N699" s="9">
        <f t="shared" si="130"/>
        <v>9.5872071237425929E-3</v>
      </c>
    </row>
    <row r="700" spans="1:14" x14ac:dyDescent="0.35">
      <c r="A700" s="1">
        <v>43391</v>
      </c>
      <c r="B700" s="2" t="s">
        <v>700</v>
      </c>
      <c r="C700">
        <f t="shared" si="119"/>
        <v>74914.52</v>
      </c>
      <c r="D700">
        <f t="shared" si="120"/>
        <v>2018</v>
      </c>
      <c r="E700">
        <f t="shared" si="121"/>
        <v>10</v>
      </c>
      <c r="F700" t="str">
        <f t="shared" si="123"/>
        <v>October</v>
      </c>
      <c r="G700">
        <f t="shared" si="122"/>
        <v>18</v>
      </c>
      <c r="H700" s="7">
        <f t="shared" si="124"/>
        <v>0.72510709884287117</v>
      </c>
      <c r="I700" s="9">
        <f t="shared" si="125"/>
        <v>7.224908368405651E-3</v>
      </c>
      <c r="J700" s="9">
        <f t="shared" si="126"/>
        <v>73961.8342857143</v>
      </c>
      <c r="K700" s="9">
        <f t="shared" si="129"/>
        <v>74083.419666666683</v>
      </c>
      <c r="L700" s="9">
        <f t="shared" si="128"/>
        <v>73343.720999999961</v>
      </c>
      <c r="M700" s="9">
        <f t="shared" si="127"/>
        <v>1.0123666598797196E-2</v>
      </c>
      <c r="N700" s="9">
        <f t="shared" si="130"/>
        <v>9.6558241819020181E-3</v>
      </c>
    </row>
    <row r="701" spans="1:14" x14ac:dyDescent="0.35">
      <c r="A701" s="1">
        <v>43392</v>
      </c>
      <c r="B701" s="2" t="s">
        <v>701</v>
      </c>
      <c r="C701">
        <f t="shared" si="119"/>
        <v>75590.77</v>
      </c>
      <c r="D701">
        <f t="shared" si="120"/>
        <v>2018</v>
      </c>
      <c r="E701">
        <f t="shared" si="121"/>
        <v>10</v>
      </c>
      <c r="F701" t="str">
        <f t="shared" si="123"/>
        <v>October</v>
      </c>
      <c r="G701">
        <f t="shared" si="122"/>
        <v>19</v>
      </c>
      <c r="H701" s="7">
        <f t="shared" si="124"/>
        <v>0.90269549881651789</v>
      </c>
      <c r="I701" s="9">
        <f t="shared" si="125"/>
        <v>8.9864555717953116E-3</v>
      </c>
      <c r="J701" s="9">
        <f t="shared" si="126"/>
        <v>74146.007142857154</v>
      </c>
      <c r="K701" s="9">
        <f t="shared" si="129"/>
        <v>74197.307333333345</v>
      </c>
      <c r="L701" s="9">
        <f t="shared" si="128"/>
        <v>73345.696999999956</v>
      </c>
      <c r="M701" s="9">
        <f t="shared" si="127"/>
        <v>1.0359767422845383E-2</v>
      </c>
      <c r="N701" s="9">
        <f t="shared" si="130"/>
        <v>9.6985824670270566E-3</v>
      </c>
    </row>
    <row r="702" spans="1:14" x14ac:dyDescent="0.35">
      <c r="A702" s="1">
        <v>43395</v>
      </c>
      <c r="B702" s="2" t="s">
        <v>702</v>
      </c>
      <c r="C702">
        <f t="shared" si="119"/>
        <v>76160.87</v>
      </c>
      <c r="D702">
        <f t="shared" si="120"/>
        <v>2018</v>
      </c>
      <c r="E702">
        <f t="shared" si="121"/>
        <v>10</v>
      </c>
      <c r="F702" t="str">
        <f t="shared" si="123"/>
        <v>October</v>
      </c>
      <c r="G702">
        <f t="shared" si="122"/>
        <v>22</v>
      </c>
      <c r="H702" s="7">
        <f t="shared" si="124"/>
        <v>0.75419260843617708</v>
      </c>
      <c r="I702" s="9">
        <f t="shared" si="125"/>
        <v>7.5136279523786665E-3</v>
      </c>
      <c r="J702" s="9">
        <f t="shared" si="126"/>
        <v>74451.477142857155</v>
      </c>
      <c r="K702" s="9">
        <f t="shared" si="129"/>
        <v>74314.266333333348</v>
      </c>
      <c r="L702" s="9">
        <f t="shared" si="128"/>
        <v>73359.778888888861</v>
      </c>
      <c r="M702" s="9">
        <f t="shared" si="127"/>
        <v>1.0105053373733975E-2</v>
      </c>
      <c r="N702" s="9">
        <f t="shared" si="130"/>
        <v>9.7164228034167972E-3</v>
      </c>
    </row>
    <row r="703" spans="1:14" x14ac:dyDescent="0.35">
      <c r="A703" s="1">
        <v>43396</v>
      </c>
      <c r="B703" s="2" t="s">
        <v>703</v>
      </c>
      <c r="C703">
        <f t="shared" si="119"/>
        <v>76974.259999999995</v>
      </c>
      <c r="D703">
        <f t="shared" si="120"/>
        <v>2018</v>
      </c>
      <c r="E703">
        <f t="shared" si="121"/>
        <v>10</v>
      </c>
      <c r="F703" t="str">
        <f t="shared" si="123"/>
        <v>October</v>
      </c>
      <c r="G703">
        <f t="shared" si="122"/>
        <v>23</v>
      </c>
      <c r="H703" s="7">
        <f t="shared" si="124"/>
        <v>1.0679893756465746</v>
      </c>
      <c r="I703" s="9">
        <f t="shared" si="125"/>
        <v>1.0623266516281907E-2</v>
      </c>
      <c r="J703" s="9">
        <f t="shared" si="126"/>
        <v>74979.531428571427</v>
      </c>
      <c r="K703" s="9">
        <f t="shared" si="129"/>
        <v>74433.448999999993</v>
      </c>
      <c r="L703" s="9">
        <f t="shared" si="128"/>
        <v>73383.464111111083</v>
      </c>
      <c r="M703" s="9">
        <f t="shared" si="127"/>
        <v>8.0948677919278778E-3</v>
      </c>
      <c r="N703" s="9">
        <f t="shared" si="130"/>
        <v>9.7289162785247595E-3</v>
      </c>
    </row>
    <row r="704" spans="1:14" x14ac:dyDescent="0.35">
      <c r="A704" s="1">
        <v>43397</v>
      </c>
      <c r="B704" s="2" t="s">
        <v>704</v>
      </c>
      <c r="C704">
        <f t="shared" si="119"/>
        <v>77749.679999999993</v>
      </c>
      <c r="D704">
        <f t="shared" si="120"/>
        <v>2018</v>
      </c>
      <c r="E704">
        <f t="shared" si="121"/>
        <v>10</v>
      </c>
      <c r="F704" t="str">
        <f t="shared" si="123"/>
        <v>October</v>
      </c>
      <c r="G704">
        <f t="shared" si="122"/>
        <v>24</v>
      </c>
      <c r="H704" s="7">
        <f t="shared" si="124"/>
        <v>1.0073757123485154</v>
      </c>
      <c r="I704" s="9">
        <f t="shared" si="125"/>
        <v>1.0023355041772999E-2</v>
      </c>
      <c r="J704" s="9">
        <f t="shared" si="126"/>
        <v>75549.455714285708</v>
      </c>
      <c r="K704" s="9">
        <f t="shared" si="129"/>
        <v>74583.834666666662</v>
      </c>
      <c r="L704" s="9">
        <f t="shared" si="128"/>
        <v>73421.776222222194</v>
      </c>
      <c r="M704" s="9">
        <f t="shared" si="127"/>
        <v>8.1668639083298626E-3</v>
      </c>
      <c r="N704" s="9">
        <f t="shared" si="130"/>
        <v>9.8205671434243025E-3</v>
      </c>
    </row>
    <row r="705" spans="1:14" x14ac:dyDescent="0.35">
      <c r="A705" s="1">
        <v>43398</v>
      </c>
      <c r="B705" s="2" t="s">
        <v>705</v>
      </c>
      <c r="C705">
        <f t="shared" si="119"/>
        <v>76837.440000000002</v>
      </c>
      <c r="D705">
        <f t="shared" si="120"/>
        <v>2018</v>
      </c>
      <c r="E705">
        <f t="shared" si="121"/>
        <v>10</v>
      </c>
      <c r="F705" t="str">
        <f t="shared" si="123"/>
        <v>October</v>
      </c>
      <c r="G705">
        <f t="shared" si="122"/>
        <v>25</v>
      </c>
      <c r="H705" s="7">
        <f t="shared" si="124"/>
        <v>-1.1733038644017451</v>
      </c>
      <c r="I705" s="9">
        <f t="shared" si="125"/>
        <v>-1.1802413931140104E-2</v>
      </c>
      <c r="J705" s="9">
        <f t="shared" si="126"/>
        <v>76086.108571428573</v>
      </c>
      <c r="K705" s="9">
        <f t="shared" si="129"/>
        <v>74650.946333333341</v>
      </c>
      <c r="L705" s="9">
        <f t="shared" si="128"/>
        <v>73438.97155555553</v>
      </c>
      <c r="M705" s="9">
        <f t="shared" si="127"/>
        <v>9.0490518539366096E-3</v>
      </c>
      <c r="N705" s="9">
        <f t="shared" si="130"/>
        <v>9.4189610160644709E-3</v>
      </c>
    </row>
    <row r="706" spans="1:14" x14ac:dyDescent="0.35">
      <c r="A706" s="1">
        <v>43399</v>
      </c>
      <c r="B706" s="2" t="s">
        <v>706</v>
      </c>
      <c r="C706">
        <f t="shared" si="119"/>
        <v>77013.740000000005</v>
      </c>
      <c r="D706">
        <f t="shared" si="120"/>
        <v>2018</v>
      </c>
      <c r="E706">
        <f t="shared" si="121"/>
        <v>10</v>
      </c>
      <c r="F706" t="str">
        <f t="shared" si="123"/>
        <v>October</v>
      </c>
      <c r="G706">
        <f t="shared" si="122"/>
        <v>26</v>
      </c>
      <c r="H706" s="7">
        <f t="shared" si="124"/>
        <v>0.2294454370161251</v>
      </c>
      <c r="I706" s="9">
        <f t="shared" si="125"/>
        <v>2.2918261292177769E-3</v>
      </c>
      <c r="J706" s="9">
        <f t="shared" si="126"/>
        <v>76463.040000000008</v>
      </c>
      <c r="K706" s="9">
        <f t="shared" si="129"/>
        <v>74757.857000000018</v>
      </c>
      <c r="L706" s="9">
        <f t="shared" si="128"/>
        <v>73487.562999999966</v>
      </c>
      <c r="M706" s="9">
        <f t="shared" si="127"/>
        <v>7.8916427678161535E-3</v>
      </c>
      <c r="N706" s="9">
        <f t="shared" si="130"/>
        <v>9.008988220147552E-3</v>
      </c>
    </row>
    <row r="707" spans="1:14" x14ac:dyDescent="0.35">
      <c r="A707" s="1">
        <v>43402</v>
      </c>
      <c r="B707" s="2" t="s">
        <v>707</v>
      </c>
      <c r="C707">
        <f t="shared" ref="C707:C770" si="131">_xlfn.NUMBERVALUE(B707,".",",")</f>
        <v>76960.61</v>
      </c>
      <c r="D707">
        <f t="shared" ref="D707:D770" si="132">YEAR(A707)</f>
        <v>2018</v>
      </c>
      <c r="E707">
        <f t="shared" ref="E707:E770" si="133">MONTH(A707)</f>
        <v>10</v>
      </c>
      <c r="F707" t="str">
        <f t="shared" si="123"/>
        <v>October</v>
      </c>
      <c r="G707">
        <f t="shared" ref="G707:G770" si="134">DAY(A707)</f>
        <v>29</v>
      </c>
      <c r="H707" s="7">
        <f t="shared" si="124"/>
        <v>-6.8987689729137491E-2</v>
      </c>
      <c r="I707" s="9">
        <f t="shared" si="125"/>
        <v>-6.9011497185915416E-4</v>
      </c>
      <c r="J707" s="9">
        <f t="shared" si="126"/>
        <v>76755.338571428569</v>
      </c>
      <c r="K707" s="9">
        <f t="shared" si="129"/>
        <v>74859.609666666671</v>
      </c>
      <c r="L707" s="9">
        <f t="shared" si="128"/>
        <v>73535.771555555533</v>
      </c>
      <c r="M707" s="9">
        <f t="shared" si="127"/>
        <v>8.0811654145592059E-3</v>
      </c>
      <c r="N707" s="9">
        <f t="shared" si="130"/>
        <v>9.0172134983736701E-3</v>
      </c>
    </row>
    <row r="708" spans="1:14" x14ac:dyDescent="0.35">
      <c r="A708" s="1">
        <v>43403</v>
      </c>
      <c r="B708" s="2" t="s">
        <v>708</v>
      </c>
      <c r="C708">
        <f t="shared" si="131"/>
        <v>76747.199999999997</v>
      </c>
      <c r="D708">
        <f t="shared" si="132"/>
        <v>2018</v>
      </c>
      <c r="E708">
        <f t="shared" si="133"/>
        <v>10</v>
      </c>
      <c r="F708" t="str">
        <f t="shared" ref="F708:F771" si="135">TEXT(A708,"mmmm")</f>
        <v>October</v>
      </c>
      <c r="G708">
        <f t="shared" si="134"/>
        <v>30</v>
      </c>
      <c r="H708" s="7">
        <f t="shared" ref="H708:H771" si="136">((C708-C707)/C707)*100</f>
        <v>-0.27729769813415395</v>
      </c>
      <c r="I708" s="9">
        <f t="shared" ref="I708:I771" si="137">LN(C708/C707)</f>
        <v>-2.7768288043365772E-3</v>
      </c>
      <c r="J708" s="9">
        <f t="shared" si="126"/>
        <v>76920.542857142849</v>
      </c>
      <c r="K708" s="9">
        <f t="shared" si="129"/>
        <v>74931.522666666671</v>
      </c>
      <c r="L708" s="9">
        <f t="shared" si="128"/>
        <v>73567.492666666658</v>
      </c>
      <c r="M708" s="9">
        <f t="shared" si="127"/>
        <v>8.057934163149599E-3</v>
      </c>
      <c r="N708" s="9">
        <f t="shared" si="130"/>
        <v>8.9228269217883922E-3</v>
      </c>
    </row>
    <row r="709" spans="1:14" x14ac:dyDescent="0.35">
      <c r="A709" s="1">
        <v>43404</v>
      </c>
      <c r="B709" s="2" t="s">
        <v>709</v>
      </c>
      <c r="C709">
        <f t="shared" si="131"/>
        <v>76477.22</v>
      </c>
      <c r="D709">
        <f t="shared" si="132"/>
        <v>2018</v>
      </c>
      <c r="E709">
        <f t="shared" si="133"/>
        <v>10</v>
      </c>
      <c r="F709" t="str">
        <f t="shared" si="135"/>
        <v>October</v>
      </c>
      <c r="G709">
        <f t="shared" si="134"/>
        <v>31</v>
      </c>
      <c r="H709" s="7">
        <f t="shared" si="136"/>
        <v>-0.35177830591864712</v>
      </c>
      <c r="I709" s="9">
        <f t="shared" si="137"/>
        <v>-3.5239850070220425E-3</v>
      </c>
      <c r="J709" s="9">
        <f t="shared" si="126"/>
        <v>76965.735714285722</v>
      </c>
      <c r="K709" s="9">
        <f t="shared" si="129"/>
        <v>75002.284333333344</v>
      </c>
      <c r="L709" s="9">
        <f t="shared" si="128"/>
        <v>73597.341222222196</v>
      </c>
      <c r="M709" s="9">
        <f t="shared" si="127"/>
        <v>7.9164578582455545E-3</v>
      </c>
      <c r="N709" s="9">
        <f t="shared" si="130"/>
        <v>8.9288312110878953E-3</v>
      </c>
    </row>
    <row r="710" spans="1:14" x14ac:dyDescent="0.35">
      <c r="A710" s="1">
        <v>43405</v>
      </c>
      <c r="B710" s="2" t="s">
        <v>710</v>
      </c>
      <c r="C710">
        <f t="shared" si="131"/>
        <v>78641.91</v>
      </c>
      <c r="D710">
        <f t="shared" si="132"/>
        <v>2018</v>
      </c>
      <c r="E710">
        <f t="shared" si="133"/>
        <v>11</v>
      </c>
      <c r="F710" t="str">
        <f t="shared" si="135"/>
        <v>November</v>
      </c>
      <c r="G710">
        <f t="shared" si="134"/>
        <v>1</v>
      </c>
      <c r="H710" s="7">
        <f t="shared" si="136"/>
        <v>2.8305029916097921</v>
      </c>
      <c r="I710" s="9">
        <f t="shared" si="137"/>
        <v>2.7911844728059902E-2</v>
      </c>
      <c r="J710" s="9">
        <f t="shared" si="126"/>
        <v>77203.971428571429</v>
      </c>
      <c r="K710" s="9">
        <f t="shared" si="129"/>
        <v>75180.262666666677</v>
      </c>
      <c r="L710" s="9">
        <f t="shared" si="128"/>
        <v>73640.173111111086</v>
      </c>
      <c r="M710" s="9">
        <f t="shared" si="127"/>
        <v>1.2774092944971298E-2</v>
      </c>
      <c r="N710" s="9">
        <f t="shared" si="130"/>
        <v>9.7374652726196984E-3</v>
      </c>
    </row>
    <row r="711" spans="1:14" x14ac:dyDescent="0.35">
      <c r="A711" s="1">
        <v>43406</v>
      </c>
      <c r="B711" s="2" t="s">
        <v>711</v>
      </c>
      <c r="C711">
        <f t="shared" si="131"/>
        <v>78977.89</v>
      </c>
      <c r="D711">
        <f t="shared" si="132"/>
        <v>2018</v>
      </c>
      <c r="E711">
        <f t="shared" si="133"/>
        <v>11</v>
      </c>
      <c r="F711" t="str">
        <f t="shared" si="135"/>
        <v>November</v>
      </c>
      <c r="G711">
        <f t="shared" si="134"/>
        <v>2</v>
      </c>
      <c r="H711" s="7">
        <f t="shared" si="136"/>
        <v>0.42722767033506165</v>
      </c>
      <c r="I711" s="9">
        <f t="shared" si="137"/>
        <v>4.2631764392594834E-3</v>
      </c>
      <c r="J711" s="9">
        <f t="shared" si="126"/>
        <v>77379.430000000008</v>
      </c>
      <c r="K711" s="9">
        <f t="shared" si="129"/>
        <v>75343.304999999993</v>
      </c>
      <c r="L711" s="9">
        <f t="shared" si="128"/>
        <v>73679.920555555524</v>
      </c>
      <c r="M711" s="9">
        <f t="shared" si="127"/>
        <v>1.2431858212816515E-2</v>
      </c>
      <c r="N711" s="9">
        <f t="shared" si="130"/>
        <v>9.6190152700313357E-3</v>
      </c>
    </row>
    <row r="712" spans="1:14" x14ac:dyDescent="0.35">
      <c r="A712" s="1">
        <v>43409</v>
      </c>
      <c r="B712" s="2" t="s">
        <v>712</v>
      </c>
      <c r="C712">
        <f t="shared" si="131"/>
        <v>78506.899999999994</v>
      </c>
      <c r="D712">
        <f t="shared" si="132"/>
        <v>2018</v>
      </c>
      <c r="E712">
        <f t="shared" si="133"/>
        <v>11</v>
      </c>
      <c r="F712" t="str">
        <f t="shared" si="135"/>
        <v>November</v>
      </c>
      <c r="G712">
        <f t="shared" si="134"/>
        <v>5</v>
      </c>
      <c r="H712" s="7">
        <f t="shared" si="136"/>
        <v>-0.59635677782732011</v>
      </c>
      <c r="I712" s="9">
        <f t="shared" si="137"/>
        <v>-5.9814208627021097E-3</v>
      </c>
      <c r="J712" s="9">
        <f t="shared" si="126"/>
        <v>77617.924285714296</v>
      </c>
      <c r="K712" s="9">
        <f t="shared" si="129"/>
        <v>75489.995666666655</v>
      </c>
      <c r="L712" s="9">
        <f t="shared" si="128"/>
        <v>73716.491777777759</v>
      </c>
      <c r="M712" s="9">
        <f t="shared" si="127"/>
        <v>1.1495500574623259E-2</v>
      </c>
      <c r="N712" s="9">
        <f t="shared" si="130"/>
        <v>9.7277861458505144E-3</v>
      </c>
    </row>
    <row r="713" spans="1:14" x14ac:dyDescent="0.35">
      <c r="A713" s="1">
        <v>43410</v>
      </c>
      <c r="B713" s="2" t="s">
        <v>713</v>
      </c>
      <c r="C713">
        <f t="shared" si="131"/>
        <v>78267.25</v>
      </c>
      <c r="D713">
        <f t="shared" si="132"/>
        <v>2018</v>
      </c>
      <c r="E713">
        <f t="shared" si="133"/>
        <v>11</v>
      </c>
      <c r="F713" t="str">
        <f t="shared" si="135"/>
        <v>November</v>
      </c>
      <c r="G713">
        <f t="shared" si="134"/>
        <v>6</v>
      </c>
      <c r="H713" s="7">
        <f t="shared" si="136"/>
        <v>-0.30525979245135676</v>
      </c>
      <c r="I713" s="9">
        <f t="shared" si="137"/>
        <v>-3.0572666050485238E-3</v>
      </c>
      <c r="J713" s="9">
        <f t="shared" ref="J713:J776" si="138">AVERAGE(C707:C713)</f>
        <v>77796.997142857144</v>
      </c>
      <c r="K713" s="9">
        <f t="shared" si="129"/>
        <v>75643.814999999973</v>
      </c>
      <c r="L713" s="9">
        <f t="shared" si="128"/>
        <v>73742.338333333319</v>
      </c>
      <c r="M713" s="9">
        <f t="shared" si="127"/>
        <v>1.1731271415814018E-2</v>
      </c>
      <c r="N713" s="9">
        <f t="shared" si="130"/>
        <v>9.6557354915544225E-3</v>
      </c>
    </row>
    <row r="714" spans="1:14" x14ac:dyDescent="0.35">
      <c r="A714" s="1">
        <v>43411</v>
      </c>
      <c r="B714" s="2" t="s">
        <v>714</v>
      </c>
      <c r="C714">
        <f t="shared" si="131"/>
        <v>77546.38</v>
      </c>
      <c r="D714">
        <f t="shared" si="132"/>
        <v>2018</v>
      </c>
      <c r="E714">
        <f t="shared" si="133"/>
        <v>11</v>
      </c>
      <c r="F714" t="str">
        <f t="shared" si="135"/>
        <v>November</v>
      </c>
      <c r="G714">
        <f t="shared" si="134"/>
        <v>7</v>
      </c>
      <c r="H714" s="7">
        <f t="shared" si="136"/>
        <v>-0.92103657660131832</v>
      </c>
      <c r="I714" s="9">
        <f t="shared" si="137"/>
        <v>-9.2530434382254358E-3</v>
      </c>
      <c r="J714" s="9">
        <f t="shared" si="138"/>
        <v>77880.678571428565</v>
      </c>
      <c r="K714" s="9">
        <f t="shared" si="129"/>
        <v>75789.190333333318</v>
      </c>
      <c r="L714" s="9">
        <f t="shared" si="128"/>
        <v>73762.788666666645</v>
      </c>
      <c r="M714" s="9">
        <f t="shared" ref="M714:M777" si="139">STDEV(I708:I714)</f>
        <v>1.2516020828073446E-2</v>
      </c>
      <c r="N714" s="9">
        <f t="shared" si="130"/>
        <v>9.7560539431218573E-3</v>
      </c>
    </row>
    <row r="715" spans="1:14" x14ac:dyDescent="0.35">
      <c r="A715" s="1">
        <v>43412</v>
      </c>
      <c r="B715" s="2" t="s">
        <v>715</v>
      </c>
      <c r="C715">
        <f t="shared" si="131"/>
        <v>77525.62</v>
      </c>
      <c r="D715">
        <f t="shared" si="132"/>
        <v>2018</v>
      </c>
      <c r="E715">
        <f t="shared" si="133"/>
        <v>11</v>
      </c>
      <c r="F715" t="str">
        <f t="shared" si="135"/>
        <v>November</v>
      </c>
      <c r="G715">
        <f t="shared" si="134"/>
        <v>8</v>
      </c>
      <c r="H715" s="7">
        <f t="shared" si="136"/>
        <v>-2.6771075580845054E-2</v>
      </c>
      <c r="I715" s="9">
        <f t="shared" si="137"/>
        <v>-2.6774659672964516E-4</v>
      </c>
      <c r="J715" s="9">
        <f t="shared" si="138"/>
        <v>77991.881428571432</v>
      </c>
      <c r="K715" s="9">
        <f t="shared" si="129"/>
        <v>75893.010333333325</v>
      </c>
      <c r="L715" s="9">
        <f t="shared" si="128"/>
        <v>73784.913777777765</v>
      </c>
      <c r="M715" s="9">
        <f t="shared" si="139"/>
        <v>1.2422630475106134E-2</v>
      </c>
      <c r="N715" s="9">
        <f t="shared" si="130"/>
        <v>9.3587370359480594E-3</v>
      </c>
    </row>
    <row r="716" spans="1:14" x14ac:dyDescent="0.35">
      <c r="A716" s="1">
        <v>43413</v>
      </c>
      <c r="B716" s="2" t="s">
        <v>716</v>
      </c>
      <c r="C716">
        <f t="shared" si="131"/>
        <v>76766.070000000007</v>
      </c>
      <c r="D716">
        <f t="shared" si="132"/>
        <v>2018</v>
      </c>
      <c r="E716">
        <f t="shared" si="133"/>
        <v>11</v>
      </c>
      <c r="F716" t="str">
        <f t="shared" si="135"/>
        <v>November</v>
      </c>
      <c r="G716">
        <f t="shared" si="134"/>
        <v>9</v>
      </c>
      <c r="H716" s="7">
        <f t="shared" si="136"/>
        <v>-0.97974063283852286</v>
      </c>
      <c r="I716" s="9">
        <f t="shared" si="137"/>
        <v>-9.8457167170867086E-3</v>
      </c>
      <c r="J716" s="9">
        <f t="shared" si="138"/>
        <v>78033.145714285711</v>
      </c>
      <c r="K716" s="9">
        <f t="shared" si="129"/>
        <v>75951.345999999976</v>
      </c>
      <c r="L716" s="9">
        <f t="shared" si="128"/>
        <v>73801.854444444441</v>
      </c>
      <c r="M716" s="9">
        <f t="shared" si="139"/>
        <v>1.3057363407938361E-2</v>
      </c>
      <c r="N716" s="9">
        <f t="shared" si="130"/>
        <v>9.4862538960042309E-3</v>
      </c>
    </row>
    <row r="717" spans="1:14" x14ac:dyDescent="0.35">
      <c r="A717" s="1">
        <v>43416</v>
      </c>
      <c r="B717" s="2" t="s">
        <v>717</v>
      </c>
      <c r="C717">
        <f t="shared" si="131"/>
        <v>76826.63</v>
      </c>
      <c r="D717">
        <f t="shared" si="132"/>
        <v>2018</v>
      </c>
      <c r="E717">
        <f t="shared" si="133"/>
        <v>11</v>
      </c>
      <c r="F717" t="str">
        <f t="shared" si="135"/>
        <v>November</v>
      </c>
      <c r="G717">
        <f t="shared" si="134"/>
        <v>12</v>
      </c>
      <c r="H717" s="7">
        <f t="shared" si="136"/>
        <v>7.8889019588989862E-2</v>
      </c>
      <c r="I717" s="9">
        <f t="shared" si="137"/>
        <v>7.8857918557722543E-4</v>
      </c>
      <c r="J717" s="9">
        <f t="shared" si="138"/>
        <v>77773.819999999992</v>
      </c>
      <c r="K717" s="9">
        <f t="shared" si="129"/>
        <v>75999.726333333325</v>
      </c>
      <c r="L717" s="9">
        <f t="shared" si="128"/>
        <v>73815.603888888887</v>
      </c>
      <c r="M717" s="9">
        <f t="shared" si="139"/>
        <v>5.3015339493547881E-3</v>
      </c>
      <c r="N717" s="9">
        <f t="shared" si="130"/>
        <v>9.4560396655724421E-3</v>
      </c>
    </row>
    <row r="718" spans="1:14" x14ac:dyDescent="0.35">
      <c r="A718" s="1">
        <v>43417</v>
      </c>
      <c r="B718" s="2" t="s">
        <v>718</v>
      </c>
      <c r="C718">
        <f t="shared" si="131"/>
        <v>77016.83</v>
      </c>
      <c r="D718">
        <f t="shared" si="132"/>
        <v>2018</v>
      </c>
      <c r="E718">
        <f t="shared" si="133"/>
        <v>11</v>
      </c>
      <c r="F718" t="str">
        <f t="shared" si="135"/>
        <v>November</v>
      </c>
      <c r="G718">
        <f t="shared" si="134"/>
        <v>13</v>
      </c>
      <c r="H718" s="7">
        <f t="shared" si="136"/>
        <v>0.24757040625105783</v>
      </c>
      <c r="I718" s="9">
        <f t="shared" si="137"/>
        <v>2.472644555789692E-3</v>
      </c>
      <c r="J718" s="9">
        <f t="shared" si="138"/>
        <v>77493.668571428585</v>
      </c>
      <c r="K718" s="9">
        <f t="shared" si="129"/>
        <v>76074.060999999987</v>
      </c>
      <c r="L718" s="9">
        <f t="shared" si="128"/>
        <v>73833.903333333335</v>
      </c>
      <c r="M718" s="9">
        <f t="shared" si="139"/>
        <v>4.9018993891492288E-3</v>
      </c>
      <c r="N718" s="9">
        <f t="shared" si="130"/>
        <v>9.3239070045753013E-3</v>
      </c>
    </row>
    <row r="719" spans="1:14" x14ac:dyDescent="0.35">
      <c r="A719" s="1">
        <v>43418</v>
      </c>
      <c r="B719" s="2" t="s">
        <v>719</v>
      </c>
      <c r="C719">
        <f t="shared" si="131"/>
        <v>77080.97</v>
      </c>
      <c r="D719">
        <f t="shared" si="132"/>
        <v>2018</v>
      </c>
      <c r="E719">
        <f t="shared" si="133"/>
        <v>11</v>
      </c>
      <c r="F719" t="str">
        <f t="shared" si="135"/>
        <v>November</v>
      </c>
      <c r="G719">
        <f t="shared" si="134"/>
        <v>14</v>
      </c>
      <c r="H719" s="7">
        <f t="shared" si="136"/>
        <v>8.3280498561157892E-2</v>
      </c>
      <c r="I719" s="9">
        <f t="shared" si="137"/>
        <v>8.3245839595401958E-4</v>
      </c>
      <c r="J719" s="9">
        <f t="shared" si="138"/>
        <v>77289.96428571429</v>
      </c>
      <c r="K719" s="9">
        <f t="shared" si="129"/>
        <v>76144.969000000012</v>
      </c>
      <c r="L719" s="9">
        <f t="shared" si="128"/>
        <v>73849.109666666671</v>
      </c>
      <c r="M719" s="9">
        <f t="shared" si="139"/>
        <v>5.0233694049502684E-3</v>
      </c>
      <c r="N719" s="9">
        <f t="shared" si="130"/>
        <v>9.3209354277071516E-3</v>
      </c>
    </row>
    <row r="720" spans="1:14" x14ac:dyDescent="0.35">
      <c r="A720" s="1">
        <v>43419</v>
      </c>
      <c r="B720" s="2" t="s">
        <v>720</v>
      </c>
      <c r="C720">
        <f t="shared" si="131"/>
        <v>77098.55</v>
      </c>
      <c r="D720">
        <f t="shared" si="132"/>
        <v>2018</v>
      </c>
      <c r="E720">
        <f t="shared" si="133"/>
        <v>11</v>
      </c>
      <c r="F720" t="str">
        <f t="shared" si="135"/>
        <v>November</v>
      </c>
      <c r="G720">
        <f t="shared" si="134"/>
        <v>15</v>
      </c>
      <c r="H720" s="7">
        <f t="shared" si="136"/>
        <v>2.2807185742475408E-2</v>
      </c>
      <c r="I720" s="9">
        <f t="shared" si="137"/>
        <v>2.2804585299256389E-4</v>
      </c>
      <c r="J720" s="9">
        <f t="shared" si="138"/>
        <v>77123.007142857154</v>
      </c>
      <c r="K720" s="9">
        <f t="shared" si="129"/>
        <v>76206.381000000008</v>
      </c>
      <c r="L720" s="9">
        <f t="shared" si="128"/>
        <v>73867.552333333326</v>
      </c>
      <c r="M720" s="9">
        <f t="shared" si="139"/>
        <v>5.1279366600388773E-3</v>
      </c>
      <c r="N720" s="9">
        <f t="shared" si="130"/>
        <v>9.3032365307100066E-3</v>
      </c>
    </row>
    <row r="721" spans="1:14" x14ac:dyDescent="0.35">
      <c r="A721" s="1">
        <v>43420</v>
      </c>
      <c r="B721" s="2" t="s">
        <v>721</v>
      </c>
      <c r="C721">
        <f t="shared" si="131"/>
        <v>77253.509999999995</v>
      </c>
      <c r="D721">
        <f t="shared" si="132"/>
        <v>2018</v>
      </c>
      <c r="E721">
        <f t="shared" si="133"/>
        <v>11</v>
      </c>
      <c r="F721" t="str">
        <f t="shared" si="135"/>
        <v>November</v>
      </c>
      <c r="G721">
        <f t="shared" si="134"/>
        <v>16</v>
      </c>
      <c r="H721" s="7">
        <f t="shared" si="136"/>
        <v>0.20098951277292745</v>
      </c>
      <c r="I721" s="9">
        <f t="shared" si="137"/>
        <v>2.0078779908870911E-3</v>
      </c>
      <c r="J721" s="9">
        <f t="shared" si="138"/>
        <v>77081.168571428556</v>
      </c>
      <c r="K721" s="9">
        <f t="shared" si="129"/>
        <v>76288.958666666658</v>
      </c>
      <c r="L721" s="9">
        <f t="shared" si="128"/>
        <v>73895.213999999993</v>
      </c>
      <c r="M721" s="9">
        <f t="shared" si="139"/>
        <v>4.2126170016972952E-3</v>
      </c>
      <c r="N721" s="9">
        <f t="shared" si="130"/>
        <v>9.2048198780995891E-3</v>
      </c>
    </row>
    <row r="722" spans="1:14" x14ac:dyDescent="0.35">
      <c r="A722" s="1">
        <v>43423</v>
      </c>
      <c r="B722" s="2" t="s">
        <v>722</v>
      </c>
      <c r="C722">
        <f t="shared" si="131"/>
        <v>77750.509999999995</v>
      </c>
      <c r="D722">
        <f t="shared" si="132"/>
        <v>2018</v>
      </c>
      <c r="E722">
        <f t="shared" si="133"/>
        <v>11</v>
      </c>
      <c r="F722" t="str">
        <f t="shared" si="135"/>
        <v>November</v>
      </c>
      <c r="G722">
        <f t="shared" si="134"/>
        <v>19</v>
      </c>
      <c r="H722" s="7">
        <f t="shared" si="136"/>
        <v>0.64333646458264493</v>
      </c>
      <c r="I722" s="9">
        <f t="shared" si="137"/>
        <v>6.4127588845264757E-3</v>
      </c>
      <c r="J722" s="9">
        <f t="shared" si="138"/>
        <v>77113.295714285705</v>
      </c>
      <c r="K722" s="9">
        <f t="shared" si="129"/>
        <v>76377.988666666657</v>
      </c>
      <c r="L722" s="9">
        <f t="shared" si="128"/>
        <v>73933.878111111102</v>
      </c>
      <c r="M722" s="9">
        <f t="shared" si="139"/>
        <v>4.9728488717166314E-3</v>
      </c>
      <c r="N722" s="9">
        <f t="shared" si="130"/>
        <v>9.2410919208745484E-3</v>
      </c>
    </row>
    <row r="723" spans="1:14" x14ac:dyDescent="0.35">
      <c r="A723" s="1">
        <v>43424</v>
      </c>
      <c r="B723" s="2" t="s">
        <v>723</v>
      </c>
      <c r="C723">
        <f t="shared" si="131"/>
        <v>77317.259999999995</v>
      </c>
      <c r="D723">
        <f t="shared" si="132"/>
        <v>2018</v>
      </c>
      <c r="E723">
        <f t="shared" si="133"/>
        <v>11</v>
      </c>
      <c r="F723" t="str">
        <f t="shared" si="135"/>
        <v>November</v>
      </c>
      <c r="G723">
        <f t="shared" si="134"/>
        <v>20</v>
      </c>
      <c r="H723" s="7">
        <f t="shared" si="136"/>
        <v>-0.55723107153895202</v>
      </c>
      <c r="I723" s="9">
        <f t="shared" si="137"/>
        <v>-5.5878939554762771E-3</v>
      </c>
      <c r="J723" s="9">
        <f t="shared" si="138"/>
        <v>77192.037142857138</v>
      </c>
      <c r="K723" s="9">
        <f t="shared" si="129"/>
        <v>76494.030333333329</v>
      </c>
      <c r="L723" s="9">
        <f t="shared" si="128"/>
        <v>73967.164555555544</v>
      </c>
      <c r="M723" s="9">
        <f t="shared" si="139"/>
        <v>3.57183610453694E-3</v>
      </c>
      <c r="N723" s="9">
        <f t="shared" si="130"/>
        <v>8.7074455067017824E-3</v>
      </c>
    </row>
    <row r="724" spans="1:14" x14ac:dyDescent="0.35">
      <c r="A724" s="1">
        <v>43425</v>
      </c>
      <c r="B724" s="2" t="s">
        <v>724</v>
      </c>
      <c r="C724">
        <f t="shared" si="131"/>
        <v>76544.789999999994</v>
      </c>
      <c r="D724">
        <f t="shared" si="132"/>
        <v>2018</v>
      </c>
      <c r="E724">
        <f t="shared" si="133"/>
        <v>11</v>
      </c>
      <c r="F724" t="str">
        <f t="shared" si="135"/>
        <v>November</v>
      </c>
      <c r="G724">
        <f t="shared" si="134"/>
        <v>21</v>
      </c>
      <c r="H724" s="7">
        <f t="shared" si="136"/>
        <v>-0.99909127664379371</v>
      </c>
      <c r="I724" s="9">
        <f t="shared" si="137"/>
        <v>-1.0041156871828353E-2</v>
      </c>
      <c r="J724" s="9">
        <f t="shared" si="138"/>
        <v>77151.774285714288</v>
      </c>
      <c r="K724" s="9">
        <f t="shared" si="129"/>
        <v>76568.804666666678</v>
      </c>
      <c r="L724" s="9">
        <f t="shared" si="128"/>
        <v>73996.320555555547</v>
      </c>
      <c r="M724" s="9">
        <f t="shared" si="139"/>
        <v>5.5095939096642763E-3</v>
      </c>
      <c r="N724" s="9">
        <f t="shared" si="130"/>
        <v>8.9082430873223817E-3</v>
      </c>
    </row>
    <row r="725" spans="1:14" x14ac:dyDescent="0.35">
      <c r="A725" s="1">
        <v>43426</v>
      </c>
      <c r="B725" s="2" t="s">
        <v>725</v>
      </c>
      <c r="C725">
        <f t="shared" si="131"/>
        <v>74876.59</v>
      </c>
      <c r="D725">
        <f t="shared" si="132"/>
        <v>2018</v>
      </c>
      <c r="E725">
        <f t="shared" si="133"/>
        <v>11</v>
      </c>
      <c r="F725" t="str">
        <f t="shared" si="135"/>
        <v>November</v>
      </c>
      <c r="G725">
        <f t="shared" si="134"/>
        <v>22</v>
      </c>
      <c r="H725" s="7">
        <f t="shared" si="136"/>
        <v>-2.1793775905584134</v>
      </c>
      <c r="I725" s="9">
        <f t="shared" si="137"/>
        <v>-2.2034768093589948E-2</v>
      </c>
      <c r="J725" s="9">
        <f t="shared" si="138"/>
        <v>76846.025714285715</v>
      </c>
      <c r="K725" s="9">
        <f t="shared" si="129"/>
        <v>76597.271666666667</v>
      </c>
      <c r="L725" s="9">
        <f t="shared" si="128"/>
        <v>74008.986999999994</v>
      </c>
      <c r="M725" s="9">
        <f t="shared" si="139"/>
        <v>9.5743950885221491E-3</v>
      </c>
      <c r="N725" s="9">
        <f t="shared" si="130"/>
        <v>9.8222677542199981E-3</v>
      </c>
    </row>
    <row r="726" spans="1:14" x14ac:dyDescent="0.35">
      <c r="A726" s="1">
        <v>43427</v>
      </c>
      <c r="B726" s="2" t="s">
        <v>726</v>
      </c>
      <c r="C726">
        <f t="shared" si="131"/>
        <v>74345.98</v>
      </c>
      <c r="D726">
        <f t="shared" si="132"/>
        <v>2018</v>
      </c>
      <c r="E726">
        <f t="shared" si="133"/>
        <v>11</v>
      </c>
      <c r="F726" t="str">
        <f t="shared" si="135"/>
        <v>November</v>
      </c>
      <c r="G726">
        <f t="shared" si="134"/>
        <v>23</v>
      </c>
      <c r="H726" s="7">
        <f t="shared" si="136"/>
        <v>-0.70864605345943321</v>
      </c>
      <c r="I726" s="9">
        <f t="shared" si="137"/>
        <v>-7.1116887525468717E-3</v>
      </c>
      <c r="J726" s="9">
        <f t="shared" si="138"/>
        <v>76455.312857142853</v>
      </c>
      <c r="K726" s="9">
        <f t="shared" si="129"/>
        <v>76632.874999999985</v>
      </c>
      <c r="L726" s="9">
        <f t="shared" si="128"/>
        <v>74003.939111111104</v>
      </c>
      <c r="M726" s="9">
        <f t="shared" si="139"/>
        <v>9.3711785757813661E-3</v>
      </c>
      <c r="N726" s="9">
        <f t="shared" si="130"/>
        <v>9.7265603388696428E-3</v>
      </c>
    </row>
    <row r="727" spans="1:14" x14ac:dyDescent="0.35">
      <c r="A727" s="1">
        <v>43430</v>
      </c>
      <c r="B727" s="2" t="s">
        <v>727</v>
      </c>
      <c r="C727">
        <f t="shared" si="131"/>
        <v>74823.02</v>
      </c>
      <c r="D727">
        <f t="shared" si="132"/>
        <v>2018</v>
      </c>
      <c r="E727">
        <f t="shared" si="133"/>
        <v>11</v>
      </c>
      <c r="F727" t="str">
        <f t="shared" si="135"/>
        <v>November</v>
      </c>
      <c r="G727">
        <f t="shared" si="134"/>
        <v>26</v>
      </c>
      <c r="H727" s="7">
        <f t="shared" si="136"/>
        <v>0.64164868093743355</v>
      </c>
      <c r="I727" s="9">
        <f t="shared" si="137"/>
        <v>6.3959887946557327E-3</v>
      </c>
      <c r="J727" s="9">
        <f t="shared" si="138"/>
        <v>76130.237142857135</v>
      </c>
      <c r="K727" s="9">
        <f t="shared" si="129"/>
        <v>76668.301999999996</v>
      </c>
      <c r="L727" s="9">
        <f t="shared" si="128"/>
        <v>74019.267111111098</v>
      </c>
      <c r="M727" s="9">
        <f t="shared" si="139"/>
        <v>1.021437716411696E-2</v>
      </c>
      <c r="N727" s="9">
        <f t="shared" si="130"/>
        <v>9.7230581991460847E-3</v>
      </c>
    </row>
    <row r="728" spans="1:14" x14ac:dyDescent="0.35">
      <c r="A728" s="1">
        <v>43431</v>
      </c>
      <c r="B728" s="2" t="s">
        <v>728</v>
      </c>
      <c r="C728">
        <f t="shared" si="131"/>
        <v>74113.22</v>
      </c>
      <c r="D728">
        <f t="shared" si="132"/>
        <v>2018</v>
      </c>
      <c r="E728">
        <f t="shared" si="133"/>
        <v>11</v>
      </c>
      <c r="F728" t="str">
        <f t="shared" si="135"/>
        <v>November</v>
      </c>
      <c r="G728">
        <f t="shared" si="134"/>
        <v>27</v>
      </c>
      <c r="H728" s="7">
        <f t="shared" si="136"/>
        <v>-0.94863853396989706</v>
      </c>
      <c r="I728" s="9">
        <f t="shared" si="137"/>
        <v>-9.5316676979145219E-3</v>
      </c>
      <c r="J728" s="9">
        <f t="shared" si="138"/>
        <v>75681.624285714279</v>
      </c>
      <c r="K728" s="9">
        <f t="shared" si="129"/>
        <v>76702.713666666692</v>
      </c>
      <c r="L728" s="9">
        <f t="shared" si="128"/>
        <v>74046.823222222214</v>
      </c>
      <c r="M728" s="9">
        <f t="shared" si="139"/>
        <v>9.9584493333487074E-3</v>
      </c>
      <c r="N728" s="9">
        <f t="shared" si="130"/>
        <v>9.7328096224579448E-3</v>
      </c>
    </row>
    <row r="729" spans="1:14" x14ac:dyDescent="0.35">
      <c r="A729" s="1">
        <v>43432</v>
      </c>
      <c r="B729" s="2" t="s">
        <v>729</v>
      </c>
      <c r="C729">
        <f t="shared" si="131"/>
        <v>75909.490000000005</v>
      </c>
      <c r="D729">
        <f t="shared" si="132"/>
        <v>2018</v>
      </c>
      <c r="E729">
        <f t="shared" si="133"/>
        <v>11</v>
      </c>
      <c r="F729" t="str">
        <f t="shared" si="135"/>
        <v>November</v>
      </c>
      <c r="G729">
        <f t="shared" si="134"/>
        <v>28</v>
      </c>
      <c r="H729" s="7">
        <f t="shared" si="136"/>
        <v>2.423683655898373</v>
      </c>
      <c r="I729" s="9">
        <f t="shared" si="137"/>
        <v>2.3947785577033989E-2</v>
      </c>
      <c r="J729" s="9">
        <f t="shared" si="138"/>
        <v>75418.621428571423</v>
      </c>
      <c r="K729" s="9">
        <f t="shared" si="129"/>
        <v>76753.856000000043</v>
      </c>
      <c r="L729" s="9">
        <f t="shared" si="128"/>
        <v>74097.003111111102</v>
      </c>
      <c r="M729" s="9">
        <f t="shared" si="139"/>
        <v>1.467071554023453E-2</v>
      </c>
      <c r="N729" s="9">
        <f t="shared" si="130"/>
        <v>1.01794888743211E-2</v>
      </c>
    </row>
    <row r="730" spans="1:14" x14ac:dyDescent="0.35">
      <c r="A730" s="1">
        <v>43433</v>
      </c>
      <c r="B730" s="2" t="s">
        <v>730</v>
      </c>
      <c r="C730">
        <f t="shared" si="131"/>
        <v>76223.7</v>
      </c>
      <c r="D730">
        <f t="shared" si="132"/>
        <v>2018</v>
      </c>
      <c r="E730">
        <f t="shared" si="133"/>
        <v>11</v>
      </c>
      <c r="F730" t="str">
        <f t="shared" si="135"/>
        <v>November</v>
      </c>
      <c r="G730">
        <f t="shared" si="134"/>
        <v>29</v>
      </c>
      <c r="H730" s="7">
        <f t="shared" si="136"/>
        <v>0.41392716510148053</v>
      </c>
      <c r="I730" s="9">
        <f t="shared" si="137"/>
        <v>4.1307284331334321E-3</v>
      </c>
      <c r="J730" s="9">
        <f t="shared" si="138"/>
        <v>75262.398571428566</v>
      </c>
      <c r="K730" s="9">
        <f t="shared" si="129"/>
        <v>76797.495333333369</v>
      </c>
      <c r="L730" s="9">
        <f t="shared" si="128"/>
        <v>74141.414555555544</v>
      </c>
      <c r="M730" s="9">
        <f t="shared" si="139"/>
        <v>1.4889957423370839E-2</v>
      </c>
      <c r="N730" s="9">
        <f t="shared" si="130"/>
        <v>1.0126432268513424E-2</v>
      </c>
    </row>
    <row r="731" spans="1:14" x14ac:dyDescent="0.35">
      <c r="A731" s="1">
        <v>43434</v>
      </c>
      <c r="B731" s="2" t="s">
        <v>731</v>
      </c>
      <c r="C731">
        <f t="shared" si="131"/>
        <v>76233.929999999993</v>
      </c>
      <c r="D731">
        <f t="shared" si="132"/>
        <v>2018</v>
      </c>
      <c r="E731">
        <f t="shared" si="133"/>
        <v>11</v>
      </c>
      <c r="F731" t="str">
        <f t="shared" si="135"/>
        <v>November</v>
      </c>
      <c r="G731">
        <f t="shared" si="134"/>
        <v>30</v>
      </c>
      <c r="H731" s="7">
        <f t="shared" si="136"/>
        <v>1.3421022595329178E-2</v>
      </c>
      <c r="I731" s="9">
        <f t="shared" si="137"/>
        <v>1.3420122056674968E-4</v>
      </c>
      <c r="J731" s="9">
        <f t="shared" si="138"/>
        <v>75217.990000000005</v>
      </c>
      <c r="K731" s="9">
        <f t="shared" si="129"/>
        <v>76818.934000000023</v>
      </c>
      <c r="L731" s="9">
        <f t="shared" si="128"/>
        <v>74183.28455555554</v>
      </c>
      <c r="M731" s="9">
        <f t="shared" si="139"/>
        <v>1.446881764655774E-2</v>
      </c>
      <c r="N731" s="9">
        <f t="shared" si="130"/>
        <v>1.0001151677583014E-2</v>
      </c>
    </row>
    <row r="732" spans="1:14" x14ac:dyDescent="0.35">
      <c r="A732" s="1">
        <v>43437</v>
      </c>
      <c r="B732" s="2" t="s">
        <v>732</v>
      </c>
      <c r="C732">
        <f t="shared" si="131"/>
        <v>76027.83</v>
      </c>
      <c r="D732">
        <f t="shared" si="132"/>
        <v>2018</v>
      </c>
      <c r="E732">
        <f t="shared" si="133"/>
        <v>12</v>
      </c>
      <c r="F732" t="str">
        <f t="shared" si="135"/>
        <v>December</v>
      </c>
      <c r="G732">
        <f t="shared" si="134"/>
        <v>3</v>
      </c>
      <c r="H732" s="7">
        <f t="shared" si="136"/>
        <v>-0.27035205977179882</v>
      </c>
      <c r="I732" s="9">
        <f t="shared" si="137"/>
        <v>-2.7071817096121329E-3</v>
      </c>
      <c r="J732" s="9">
        <f t="shared" si="138"/>
        <v>75382.452857142867</v>
      </c>
      <c r="K732" s="9">
        <f t="shared" si="129"/>
        <v>76814.49933333337</v>
      </c>
      <c r="L732" s="9">
        <f t="shared" ref="L732:L795" si="140">AVERAGE(C643:C732)</f>
        <v>74232.782777777757</v>
      </c>
      <c r="M732" s="9">
        <f t="shared" si="139"/>
        <v>1.1157843797324273E-2</v>
      </c>
      <c r="N732" s="9">
        <f t="shared" si="130"/>
        <v>9.9200825505687731E-3</v>
      </c>
    </row>
    <row r="733" spans="1:14" x14ac:dyDescent="0.35">
      <c r="A733" s="1">
        <v>43438</v>
      </c>
      <c r="B733" s="2" t="s">
        <v>733</v>
      </c>
      <c r="C733">
        <f t="shared" si="131"/>
        <v>74892.509999999995</v>
      </c>
      <c r="D733">
        <f t="shared" si="132"/>
        <v>2018</v>
      </c>
      <c r="E733">
        <f t="shared" si="133"/>
        <v>12</v>
      </c>
      <c r="F733" t="str">
        <f t="shared" si="135"/>
        <v>December</v>
      </c>
      <c r="G733">
        <f t="shared" si="134"/>
        <v>4</v>
      </c>
      <c r="H733" s="7">
        <f t="shared" si="136"/>
        <v>-1.493295284108473</v>
      </c>
      <c r="I733" s="9">
        <f t="shared" si="137"/>
        <v>-1.5045571944941884E-2</v>
      </c>
      <c r="J733" s="9">
        <f t="shared" si="138"/>
        <v>75460.528571428571</v>
      </c>
      <c r="K733" s="9">
        <f t="shared" si="129"/>
        <v>76745.107666666663</v>
      </c>
      <c r="L733" s="9">
        <f t="shared" si="140"/>
        <v>74250.547444444441</v>
      </c>
      <c r="M733" s="9">
        <f t="shared" si="139"/>
        <v>1.2572279049741954E-2</v>
      </c>
      <c r="N733" s="9">
        <f t="shared" si="130"/>
        <v>1.0072827359804316E-2</v>
      </c>
    </row>
    <row r="734" spans="1:14" x14ac:dyDescent="0.35">
      <c r="A734" s="1">
        <v>43439</v>
      </c>
      <c r="B734" s="2" t="s">
        <v>734</v>
      </c>
      <c r="C734">
        <f t="shared" si="131"/>
        <v>74831.11</v>
      </c>
      <c r="D734">
        <f t="shared" si="132"/>
        <v>2018</v>
      </c>
      <c r="E734">
        <f t="shared" si="133"/>
        <v>12</v>
      </c>
      <c r="F734" t="str">
        <f t="shared" si="135"/>
        <v>December</v>
      </c>
      <c r="G734">
        <f t="shared" si="134"/>
        <v>5</v>
      </c>
      <c r="H734" s="7">
        <f t="shared" si="136"/>
        <v>-8.1984166373905987E-2</v>
      </c>
      <c r="I734" s="9">
        <f t="shared" si="137"/>
        <v>-8.2017791771175864E-4</v>
      </c>
      <c r="J734" s="9">
        <f t="shared" si="138"/>
        <v>75461.684285714291</v>
      </c>
      <c r="K734" s="9">
        <f t="shared" si="129"/>
        <v>76647.821999999986</v>
      </c>
      <c r="L734" s="9">
        <f t="shared" si="140"/>
        <v>74272.491111111114</v>
      </c>
      <c r="M734" s="9">
        <f t="shared" si="139"/>
        <v>1.2354480566533333E-2</v>
      </c>
      <c r="N734" s="9">
        <f t="shared" si="130"/>
        <v>9.8591098568252562E-3</v>
      </c>
    </row>
    <row r="735" spans="1:14" x14ac:dyDescent="0.35">
      <c r="A735" s="1">
        <v>43440</v>
      </c>
      <c r="B735" s="2" t="s">
        <v>735</v>
      </c>
      <c r="C735">
        <f t="shared" si="131"/>
        <v>74543.48</v>
      </c>
      <c r="D735">
        <f t="shared" si="132"/>
        <v>2018</v>
      </c>
      <c r="E735">
        <f t="shared" si="133"/>
        <v>12</v>
      </c>
      <c r="F735" t="str">
        <f t="shared" si="135"/>
        <v>December</v>
      </c>
      <c r="G735">
        <f t="shared" si="134"/>
        <v>6</v>
      </c>
      <c r="H735" s="7">
        <f t="shared" si="136"/>
        <v>-0.38437222166022211</v>
      </c>
      <c r="I735" s="9">
        <f t="shared" si="137"/>
        <v>-3.8511283008865562E-3</v>
      </c>
      <c r="J735" s="9">
        <f t="shared" si="138"/>
        <v>75523.150000000009</v>
      </c>
      <c r="K735" s="9">
        <f t="shared" si="129"/>
        <v>76571.356666666659</v>
      </c>
      <c r="L735" s="9">
        <f t="shared" si="140"/>
        <v>74307.597333333339</v>
      </c>
      <c r="M735" s="9">
        <f t="shared" si="139"/>
        <v>1.179683839980695E-2</v>
      </c>
      <c r="N735" s="9">
        <f t="shared" si="130"/>
        <v>9.6714432400159811E-3</v>
      </c>
    </row>
    <row r="736" spans="1:14" x14ac:dyDescent="0.35">
      <c r="A736" s="1">
        <v>43441</v>
      </c>
      <c r="B736" s="2" t="s">
        <v>736</v>
      </c>
      <c r="C736">
        <f t="shared" si="131"/>
        <v>74265.039999999994</v>
      </c>
      <c r="D736">
        <f t="shared" si="132"/>
        <v>2018</v>
      </c>
      <c r="E736">
        <f t="shared" si="133"/>
        <v>12</v>
      </c>
      <c r="F736" t="str">
        <f t="shared" si="135"/>
        <v>December</v>
      </c>
      <c r="G736">
        <f t="shared" si="134"/>
        <v>7</v>
      </c>
      <c r="H736" s="7">
        <f t="shared" si="136"/>
        <v>-0.37352696708015554</v>
      </c>
      <c r="I736" s="9">
        <f t="shared" si="137"/>
        <v>-3.7422632111628069E-3</v>
      </c>
      <c r="J736" s="9">
        <f t="shared" si="138"/>
        <v>75288.228571428568</v>
      </c>
      <c r="K736" s="9">
        <f t="shared" ref="K736:K799" si="141">AVERAGE(C707:C736)</f>
        <v>76479.733333333337</v>
      </c>
      <c r="L736" s="9">
        <f t="shared" si="140"/>
        <v>74357.872222222228</v>
      </c>
      <c r="M736" s="9">
        <f t="shared" si="139"/>
        <v>5.9408610038989189E-3</v>
      </c>
      <c r="N736" s="9">
        <f t="shared" si="130"/>
        <v>9.663142470434833E-3</v>
      </c>
    </row>
    <row r="737" spans="1:14" x14ac:dyDescent="0.35">
      <c r="A737" s="1">
        <v>43444</v>
      </c>
      <c r="B737" s="2" t="s">
        <v>737</v>
      </c>
      <c r="C737">
        <f t="shared" si="131"/>
        <v>74402.899999999994</v>
      </c>
      <c r="D737">
        <f t="shared" si="132"/>
        <v>2018</v>
      </c>
      <c r="E737">
        <f t="shared" si="133"/>
        <v>12</v>
      </c>
      <c r="F737" t="str">
        <f t="shared" si="135"/>
        <v>December</v>
      </c>
      <c r="G737">
        <f t="shared" si="134"/>
        <v>10</v>
      </c>
      <c r="H737" s="7">
        <f t="shared" si="136"/>
        <v>0.18563243216458322</v>
      </c>
      <c r="I737" s="9">
        <f t="shared" si="137"/>
        <v>1.8546034809487869E-3</v>
      </c>
      <c r="J737" s="9">
        <f t="shared" si="138"/>
        <v>75028.114285714269</v>
      </c>
      <c r="K737" s="9">
        <f t="shared" si="141"/>
        <v>76394.476333333339</v>
      </c>
      <c r="L737" s="9">
        <f t="shared" si="140"/>
        <v>74410.644000000015</v>
      </c>
      <c r="M737" s="9">
        <f t="shared" si="139"/>
        <v>5.5250424119809181E-3</v>
      </c>
      <c r="N737" s="9">
        <f t="shared" ref="N737:N800" si="142">STDEV(I708:I737)</f>
        <v>9.6790324318910704E-3</v>
      </c>
    </row>
    <row r="738" spans="1:14" x14ac:dyDescent="0.35">
      <c r="A738" s="1">
        <v>43445</v>
      </c>
      <c r="B738" s="2" t="s">
        <v>738</v>
      </c>
      <c r="C738">
        <f t="shared" si="131"/>
        <v>75105.789999999994</v>
      </c>
      <c r="D738">
        <f t="shared" si="132"/>
        <v>2018</v>
      </c>
      <c r="E738">
        <f t="shared" si="133"/>
        <v>12</v>
      </c>
      <c r="F738" t="str">
        <f t="shared" si="135"/>
        <v>December</v>
      </c>
      <c r="G738">
        <f t="shared" si="134"/>
        <v>11</v>
      </c>
      <c r="H738" s="7">
        <f t="shared" si="136"/>
        <v>0.94470780036799562</v>
      </c>
      <c r="I738" s="9">
        <f t="shared" si="137"/>
        <v>9.4027334279526802E-3</v>
      </c>
      <c r="J738" s="9">
        <f t="shared" si="138"/>
        <v>74866.951428571425</v>
      </c>
      <c r="K738" s="9">
        <f t="shared" si="141"/>
        <v>76339.762666666662</v>
      </c>
      <c r="L738" s="9">
        <f t="shared" si="140"/>
        <v>74468.806555555566</v>
      </c>
      <c r="M738" s="9">
        <f t="shared" si="139"/>
        <v>7.3405659595847271E-3</v>
      </c>
      <c r="N738" s="9">
        <f t="shared" si="142"/>
        <v>9.8611497171743438E-3</v>
      </c>
    </row>
    <row r="739" spans="1:14" x14ac:dyDescent="0.35">
      <c r="A739" s="1">
        <v>43446</v>
      </c>
      <c r="B739" s="2" t="s">
        <v>739</v>
      </c>
      <c r="C739">
        <f t="shared" si="131"/>
        <v>75629.88</v>
      </c>
      <c r="D739">
        <f t="shared" si="132"/>
        <v>2018</v>
      </c>
      <c r="E739">
        <f t="shared" si="133"/>
        <v>12</v>
      </c>
      <c r="F739" t="str">
        <f t="shared" si="135"/>
        <v>December</v>
      </c>
      <c r="G739">
        <f t="shared" si="134"/>
        <v>12</v>
      </c>
      <c r="H739" s="7">
        <f t="shared" si="136"/>
        <v>0.69780239313109038</v>
      </c>
      <c r="I739" s="9">
        <f t="shared" si="137"/>
        <v>6.9537901927431587E-3</v>
      </c>
      <c r="J739" s="9">
        <f t="shared" si="138"/>
        <v>74810.101428571419</v>
      </c>
      <c r="K739" s="9">
        <f t="shared" si="141"/>
        <v>76311.517999999996</v>
      </c>
      <c r="L739" s="9">
        <f t="shared" si="140"/>
        <v>74537.450000000012</v>
      </c>
      <c r="M739" s="9">
        <f t="shared" si="139"/>
        <v>8.0844426334279428E-3</v>
      </c>
      <c r="N739" s="9">
        <f t="shared" si="142"/>
        <v>9.9436423120454111E-3</v>
      </c>
    </row>
    <row r="740" spans="1:14" x14ac:dyDescent="0.35">
      <c r="A740" s="1">
        <v>43447</v>
      </c>
      <c r="B740" s="2" t="s">
        <v>740</v>
      </c>
      <c r="C740">
        <f t="shared" si="131"/>
        <v>76769.22</v>
      </c>
      <c r="D740">
        <f t="shared" si="132"/>
        <v>2018</v>
      </c>
      <c r="E740">
        <f t="shared" si="133"/>
        <v>12</v>
      </c>
      <c r="F740" t="str">
        <f t="shared" si="135"/>
        <v>December</v>
      </c>
      <c r="G740">
        <f t="shared" si="134"/>
        <v>13</v>
      </c>
      <c r="H740" s="7">
        <f t="shared" si="136"/>
        <v>1.5064680784896081</v>
      </c>
      <c r="I740" s="9">
        <f t="shared" si="137"/>
        <v>1.4952335374632319E-2</v>
      </c>
      <c r="J740" s="9">
        <f t="shared" si="138"/>
        <v>75078.202857142867</v>
      </c>
      <c r="K740" s="9">
        <f t="shared" si="141"/>
        <v>76249.095000000001</v>
      </c>
      <c r="L740" s="9">
        <f t="shared" si="140"/>
        <v>74613.435555555567</v>
      </c>
      <c r="M740" s="9">
        <f t="shared" si="139"/>
        <v>7.1388458903608627E-3</v>
      </c>
      <c r="N740" s="9">
        <f t="shared" si="142"/>
        <v>8.8992090717904624E-3</v>
      </c>
    </row>
    <row r="741" spans="1:14" x14ac:dyDescent="0.35">
      <c r="A741" s="1">
        <v>43448</v>
      </c>
      <c r="B741" s="2" t="s">
        <v>741</v>
      </c>
      <c r="C741">
        <f t="shared" si="131"/>
        <v>78014.350000000006</v>
      </c>
      <c r="D741">
        <f t="shared" si="132"/>
        <v>2018</v>
      </c>
      <c r="E741">
        <f t="shared" si="133"/>
        <v>12</v>
      </c>
      <c r="F741" t="str">
        <f t="shared" si="135"/>
        <v>December</v>
      </c>
      <c r="G741">
        <f t="shared" si="134"/>
        <v>14</v>
      </c>
      <c r="H741" s="7">
        <f t="shared" si="136"/>
        <v>1.6219130531741819</v>
      </c>
      <c r="I741" s="9">
        <f t="shared" si="137"/>
        <v>1.608900555800287E-2</v>
      </c>
      <c r="J741" s="9">
        <f t="shared" si="138"/>
        <v>75532.95142857141</v>
      </c>
      <c r="K741" s="9">
        <f t="shared" si="141"/>
        <v>76216.977000000014</v>
      </c>
      <c r="L741" s="9">
        <f t="shared" si="140"/>
        <v>74699.435666666672</v>
      </c>
      <c r="M741" s="9">
        <f t="shared" si="139"/>
        <v>8.2010647863782326E-3</v>
      </c>
      <c r="N741" s="9">
        <f t="shared" si="142"/>
        <v>9.3802845977794692E-3</v>
      </c>
    </row>
    <row r="742" spans="1:14" x14ac:dyDescent="0.35">
      <c r="A742" s="1">
        <v>43452</v>
      </c>
      <c r="B742" s="2" t="s">
        <v>742</v>
      </c>
      <c r="C742">
        <f t="shared" si="131"/>
        <v>78531.81</v>
      </c>
      <c r="D742">
        <f t="shared" si="132"/>
        <v>2018</v>
      </c>
      <c r="E742">
        <f t="shared" si="133"/>
        <v>12</v>
      </c>
      <c r="F742" t="str">
        <f t="shared" si="135"/>
        <v>December</v>
      </c>
      <c r="G742">
        <f t="shared" si="134"/>
        <v>18</v>
      </c>
      <c r="H742" s="7">
        <f t="shared" si="136"/>
        <v>0.66328822838361379</v>
      </c>
      <c r="I742" s="9">
        <f t="shared" si="137"/>
        <v>6.6109815103016813E-3</v>
      </c>
      <c r="J742" s="9">
        <f t="shared" si="138"/>
        <v>76102.712857142862</v>
      </c>
      <c r="K742" s="9">
        <f t="shared" si="141"/>
        <v>76217.80733333336</v>
      </c>
      <c r="L742" s="9">
        <f t="shared" si="140"/>
        <v>74787.808555555544</v>
      </c>
      <c r="M742" s="9">
        <f t="shared" si="139"/>
        <v>6.9792059784002719E-3</v>
      </c>
      <c r="N742" s="9">
        <f t="shared" si="142"/>
        <v>9.404051601817778E-3</v>
      </c>
    </row>
    <row r="743" spans="1:14" x14ac:dyDescent="0.35">
      <c r="A743" s="1">
        <v>43453</v>
      </c>
      <c r="B743" s="2" t="s">
        <v>743</v>
      </c>
      <c r="C743">
        <f t="shared" si="131"/>
        <v>78060.22</v>
      </c>
      <c r="D743">
        <f t="shared" si="132"/>
        <v>2018</v>
      </c>
      <c r="E743">
        <f t="shared" si="133"/>
        <v>12</v>
      </c>
      <c r="F743" t="str">
        <f t="shared" si="135"/>
        <v>December</v>
      </c>
      <c r="G743">
        <f t="shared" si="134"/>
        <v>19</v>
      </c>
      <c r="H743" s="7">
        <f t="shared" si="136"/>
        <v>-0.60050825264309649</v>
      </c>
      <c r="I743" s="9">
        <f t="shared" si="137"/>
        <v>-6.0231855443004358E-3</v>
      </c>
      <c r="J743" s="9">
        <f t="shared" si="138"/>
        <v>76644.881428571432</v>
      </c>
      <c r="K743" s="9">
        <f t="shared" si="141"/>
        <v>76210.906333333332</v>
      </c>
      <c r="L743" s="9">
        <f t="shared" si="140"/>
        <v>74876.252333333337</v>
      </c>
      <c r="M743" s="9">
        <f t="shared" si="139"/>
        <v>7.6130793407460607E-3</v>
      </c>
      <c r="N743" s="9">
        <f t="shared" si="142"/>
        <v>9.4528791461126003E-3</v>
      </c>
    </row>
    <row r="744" spans="1:14" x14ac:dyDescent="0.35">
      <c r="A744" s="1">
        <v>43454</v>
      </c>
      <c r="B744" s="2" t="s">
        <v>744</v>
      </c>
      <c r="C744">
        <f t="shared" si="131"/>
        <v>77827.73</v>
      </c>
      <c r="D744">
        <f t="shared" si="132"/>
        <v>2018</v>
      </c>
      <c r="E744">
        <f t="shared" si="133"/>
        <v>12</v>
      </c>
      <c r="F744" t="str">
        <f t="shared" si="135"/>
        <v>December</v>
      </c>
      <c r="G744">
        <f t="shared" si="134"/>
        <v>20</v>
      </c>
      <c r="H744" s="7">
        <f t="shared" si="136"/>
        <v>-0.29783415931956797</v>
      </c>
      <c r="I744" s="9">
        <f t="shared" si="137"/>
        <v>-2.9827856787152589E-3</v>
      </c>
      <c r="J744" s="9">
        <f t="shared" si="138"/>
        <v>77134.142857142855</v>
      </c>
      <c r="K744" s="9">
        <f t="shared" si="141"/>
        <v>76220.284666666674</v>
      </c>
      <c r="L744" s="9">
        <f t="shared" si="140"/>
        <v>74961.027000000002</v>
      </c>
      <c r="M744" s="9">
        <f t="shared" si="139"/>
        <v>8.3541726130881844E-3</v>
      </c>
      <c r="N744" s="9">
        <f t="shared" si="142"/>
        <v>9.3115161377281732E-3</v>
      </c>
    </row>
    <row r="745" spans="1:14" x14ac:dyDescent="0.35">
      <c r="A745" s="1">
        <v>43455</v>
      </c>
      <c r="B745" s="2" t="s">
        <v>745</v>
      </c>
      <c r="C745">
        <f t="shared" si="131"/>
        <v>76282.13</v>
      </c>
      <c r="D745">
        <f t="shared" si="132"/>
        <v>2018</v>
      </c>
      <c r="E745">
        <f t="shared" si="133"/>
        <v>12</v>
      </c>
      <c r="F745" t="str">
        <f t="shared" si="135"/>
        <v>December</v>
      </c>
      <c r="G745">
        <f t="shared" si="134"/>
        <v>21</v>
      </c>
      <c r="H745" s="7">
        <f t="shared" si="136"/>
        <v>-1.9859245541402677</v>
      </c>
      <c r="I745" s="9">
        <f t="shared" si="137"/>
        <v>-2.0059090632320652E-2</v>
      </c>
      <c r="J745" s="9">
        <f t="shared" si="138"/>
        <v>77302.19142857143</v>
      </c>
      <c r="K745" s="9">
        <f t="shared" si="141"/>
        <v>76178.834999999992</v>
      </c>
      <c r="L745" s="9">
        <f t="shared" si="140"/>
        <v>75020.147000000012</v>
      </c>
      <c r="M745" s="9">
        <f t="shared" si="139"/>
        <v>1.2829186343740995E-2</v>
      </c>
      <c r="N745" s="9">
        <f t="shared" si="142"/>
        <v>1.0014546154504722E-2</v>
      </c>
    </row>
    <row r="746" spans="1:14" x14ac:dyDescent="0.35">
      <c r="A746" s="1">
        <v>43458</v>
      </c>
      <c r="B746" s="2" t="s">
        <v>746</v>
      </c>
      <c r="C746">
        <f t="shared" si="131"/>
        <v>76936.11</v>
      </c>
      <c r="D746">
        <f t="shared" si="132"/>
        <v>2018</v>
      </c>
      <c r="E746">
        <f t="shared" si="133"/>
        <v>12</v>
      </c>
      <c r="F746" t="str">
        <f t="shared" si="135"/>
        <v>December</v>
      </c>
      <c r="G746">
        <f t="shared" si="134"/>
        <v>24</v>
      </c>
      <c r="H746" s="7">
        <f t="shared" si="136"/>
        <v>0.85731743463376797</v>
      </c>
      <c r="I746" s="9">
        <f t="shared" si="137"/>
        <v>8.5366333866345543E-3</v>
      </c>
      <c r="J746" s="9">
        <f t="shared" si="138"/>
        <v>77488.795714285705</v>
      </c>
      <c r="K746" s="9">
        <f t="shared" si="141"/>
        <v>76184.502999999997</v>
      </c>
      <c r="L746" s="9">
        <f t="shared" si="140"/>
        <v>75075.34077777779</v>
      </c>
      <c r="M746" s="9">
        <f t="shared" si="139"/>
        <v>1.2939995059090692E-2</v>
      </c>
      <c r="N746" s="9">
        <f t="shared" si="142"/>
        <v>9.9878047397062887E-3</v>
      </c>
    </row>
    <row r="747" spans="1:14" x14ac:dyDescent="0.35">
      <c r="A747" s="1">
        <v>43461</v>
      </c>
      <c r="B747" s="2" t="s">
        <v>747</v>
      </c>
      <c r="C747">
        <f t="shared" si="131"/>
        <v>77015.210000000006</v>
      </c>
      <c r="D747">
        <f t="shared" si="132"/>
        <v>2018</v>
      </c>
      <c r="E747">
        <f t="shared" si="133"/>
        <v>12</v>
      </c>
      <c r="F747" t="str">
        <f t="shared" si="135"/>
        <v>December</v>
      </c>
      <c r="G747">
        <f t="shared" si="134"/>
        <v>27</v>
      </c>
      <c r="H747" s="7">
        <f t="shared" si="136"/>
        <v>0.10281258046449947</v>
      </c>
      <c r="I747" s="9">
        <f t="shared" si="137"/>
        <v>1.0275976452883743E-3</v>
      </c>
      <c r="J747" s="9">
        <f t="shared" si="138"/>
        <v>77523.937142857132</v>
      </c>
      <c r="K747" s="9">
        <f t="shared" si="141"/>
        <v>76190.789000000004</v>
      </c>
      <c r="L747" s="9">
        <f t="shared" si="140"/>
        <v>75121.823111111124</v>
      </c>
      <c r="M747" s="9">
        <f t="shared" si="139"/>
        <v>1.1708771986306953E-2</v>
      </c>
      <c r="N747" s="9">
        <f t="shared" si="142"/>
        <v>9.9884899290455537E-3</v>
      </c>
    </row>
    <row r="748" spans="1:14" x14ac:dyDescent="0.35">
      <c r="A748" s="1">
        <v>43462</v>
      </c>
      <c r="B748" s="2" t="s">
        <v>748</v>
      </c>
      <c r="C748">
        <f t="shared" si="131"/>
        <v>77125.850000000006</v>
      </c>
      <c r="D748">
        <f t="shared" si="132"/>
        <v>2018</v>
      </c>
      <c r="E748">
        <f t="shared" si="133"/>
        <v>12</v>
      </c>
      <c r="F748" t="str">
        <f t="shared" si="135"/>
        <v>December</v>
      </c>
      <c r="G748">
        <f t="shared" si="134"/>
        <v>28</v>
      </c>
      <c r="H748" s="7">
        <f t="shared" si="136"/>
        <v>0.14365993418702541</v>
      </c>
      <c r="I748" s="9">
        <f t="shared" si="137"/>
        <v>1.4355684202652385E-3</v>
      </c>
      <c r="J748" s="9">
        <f t="shared" si="138"/>
        <v>77397.008571428581</v>
      </c>
      <c r="K748" s="9">
        <f t="shared" si="141"/>
        <v>76194.422999999995</v>
      </c>
      <c r="L748" s="9">
        <f t="shared" si="140"/>
        <v>75166.035333333333</v>
      </c>
      <c r="M748" s="9">
        <f t="shared" si="139"/>
        <v>9.5611710875680937E-3</v>
      </c>
      <c r="N748" s="9">
        <f t="shared" si="142"/>
        <v>9.9817221510508872E-3</v>
      </c>
    </row>
    <row r="749" spans="1:14" x14ac:dyDescent="0.35">
      <c r="A749" s="1">
        <v>43465</v>
      </c>
      <c r="B749" s="2" t="s">
        <v>749</v>
      </c>
      <c r="C749">
        <f t="shared" si="131"/>
        <v>76840.11</v>
      </c>
      <c r="D749">
        <f t="shared" si="132"/>
        <v>2018</v>
      </c>
      <c r="E749">
        <f t="shared" si="133"/>
        <v>12</v>
      </c>
      <c r="F749" t="str">
        <f t="shared" si="135"/>
        <v>December</v>
      </c>
      <c r="G749">
        <f t="shared" si="134"/>
        <v>31</v>
      </c>
      <c r="H749" s="7">
        <f t="shared" si="136"/>
        <v>-0.37048538200876258</v>
      </c>
      <c r="I749" s="9">
        <f t="shared" si="137"/>
        <v>-3.7117337891115227E-3</v>
      </c>
      <c r="J749" s="9">
        <f t="shared" si="138"/>
        <v>77155.337142857141</v>
      </c>
      <c r="K749" s="9">
        <f t="shared" si="141"/>
        <v>76186.39433333333</v>
      </c>
      <c r="L749" s="9">
        <f t="shared" si="140"/>
        <v>75209.595222222211</v>
      </c>
      <c r="M749" s="9">
        <f t="shared" si="139"/>
        <v>8.8464923284366573E-3</v>
      </c>
      <c r="N749" s="9">
        <f t="shared" si="142"/>
        <v>1.0003848779142231E-2</v>
      </c>
    </row>
    <row r="750" spans="1:14" x14ac:dyDescent="0.35">
      <c r="A750" s="1">
        <v>43467</v>
      </c>
      <c r="B750" s="2" t="s">
        <v>750</v>
      </c>
      <c r="C750">
        <f t="shared" si="131"/>
        <v>76602.84</v>
      </c>
      <c r="D750">
        <f t="shared" si="132"/>
        <v>2019</v>
      </c>
      <c r="E750">
        <f t="shared" si="133"/>
        <v>1</v>
      </c>
      <c r="F750" t="str">
        <f t="shared" si="135"/>
        <v>January</v>
      </c>
      <c r="G750">
        <f t="shared" si="134"/>
        <v>2</v>
      </c>
      <c r="H750" s="7">
        <f t="shared" si="136"/>
        <v>-0.30878404520764491</v>
      </c>
      <c r="I750" s="9">
        <f t="shared" si="137"/>
        <v>-3.0926176681272026E-3</v>
      </c>
      <c r="J750" s="9">
        <f t="shared" si="138"/>
        <v>76947.14</v>
      </c>
      <c r="K750" s="9">
        <f t="shared" si="141"/>
        <v>76169.87066666664</v>
      </c>
      <c r="L750" s="9">
        <f t="shared" si="140"/>
        <v>75245.284444444434</v>
      </c>
      <c r="M750" s="9">
        <f t="shared" si="139"/>
        <v>8.754571943225993E-3</v>
      </c>
      <c r="N750" s="9">
        <f t="shared" si="142"/>
        <v>1.001840479464375E-2</v>
      </c>
    </row>
    <row r="751" spans="1:14" x14ac:dyDescent="0.35">
      <c r="A751" s="1">
        <v>43468</v>
      </c>
      <c r="B751" s="2" t="s">
        <v>751</v>
      </c>
      <c r="C751">
        <f t="shared" si="131"/>
        <v>77126.06</v>
      </c>
      <c r="D751">
        <f t="shared" si="132"/>
        <v>2019</v>
      </c>
      <c r="E751">
        <f t="shared" si="133"/>
        <v>1</v>
      </c>
      <c r="F751" t="str">
        <f t="shared" si="135"/>
        <v>January</v>
      </c>
      <c r="G751">
        <f t="shared" si="134"/>
        <v>3</v>
      </c>
      <c r="H751" s="7">
        <f t="shared" si="136"/>
        <v>0.68302950647782934</v>
      </c>
      <c r="I751" s="9">
        <f t="shared" si="137"/>
        <v>6.8070742760354339E-3</v>
      </c>
      <c r="J751" s="9">
        <f t="shared" si="138"/>
        <v>76846.901428571437</v>
      </c>
      <c r="K751" s="9">
        <f t="shared" si="141"/>
        <v>76165.622333333333</v>
      </c>
      <c r="L751" s="9">
        <f t="shared" si="140"/>
        <v>75281.690333333318</v>
      </c>
      <c r="M751" s="9">
        <f t="shared" si="139"/>
        <v>9.4544363919211276E-3</v>
      </c>
      <c r="N751" s="9">
        <f t="shared" si="142"/>
        <v>1.0093161401073133E-2</v>
      </c>
    </row>
    <row r="752" spans="1:14" x14ac:dyDescent="0.35">
      <c r="A752" s="1">
        <v>43469</v>
      </c>
      <c r="B752" s="2" t="s">
        <v>752</v>
      </c>
      <c r="C752">
        <f t="shared" si="131"/>
        <v>75783.25</v>
      </c>
      <c r="D752">
        <f t="shared" si="132"/>
        <v>2019</v>
      </c>
      <c r="E752">
        <f t="shared" si="133"/>
        <v>1</v>
      </c>
      <c r="F752" t="str">
        <f t="shared" si="135"/>
        <v>January</v>
      </c>
      <c r="G752">
        <f t="shared" si="134"/>
        <v>4</v>
      </c>
      <c r="H752" s="7">
        <f t="shared" si="136"/>
        <v>-1.7410587290469626</v>
      </c>
      <c r="I752" s="9">
        <f t="shared" si="137"/>
        <v>-1.7563934077131069E-2</v>
      </c>
      <c r="J752" s="9">
        <f t="shared" si="138"/>
        <v>76775.632857142846</v>
      </c>
      <c r="K752" s="9">
        <f t="shared" si="141"/>
        <v>76100.047000000006</v>
      </c>
      <c r="L752" s="9">
        <f t="shared" si="140"/>
        <v>75303.276444444433</v>
      </c>
      <c r="M752" s="9">
        <f t="shared" si="139"/>
        <v>8.64108318692061E-3</v>
      </c>
      <c r="N752" s="9">
        <f t="shared" si="142"/>
        <v>1.0504271128795891E-2</v>
      </c>
    </row>
    <row r="753" spans="1:14" x14ac:dyDescent="0.35">
      <c r="A753" s="1">
        <v>43472</v>
      </c>
      <c r="B753" s="2" t="s">
        <v>753</v>
      </c>
      <c r="C753">
        <f t="shared" si="131"/>
        <v>75067.47</v>
      </c>
      <c r="D753">
        <f t="shared" si="132"/>
        <v>2019</v>
      </c>
      <c r="E753">
        <f t="shared" si="133"/>
        <v>1</v>
      </c>
      <c r="F753" t="str">
        <f t="shared" si="135"/>
        <v>January</v>
      </c>
      <c r="G753">
        <f t="shared" si="134"/>
        <v>7</v>
      </c>
      <c r="H753" s="7">
        <f t="shared" si="136"/>
        <v>-0.94450950572850711</v>
      </c>
      <c r="I753" s="9">
        <f t="shared" si="137"/>
        <v>-9.4899828374351951E-3</v>
      </c>
      <c r="J753" s="9">
        <f t="shared" si="138"/>
        <v>76508.684285714291</v>
      </c>
      <c r="K753" s="9">
        <f t="shared" si="141"/>
        <v>76025.054000000004</v>
      </c>
      <c r="L753" s="9">
        <f t="shared" si="140"/>
        <v>75341.266222222213</v>
      </c>
      <c r="M753" s="9">
        <f t="shared" si="139"/>
        <v>8.0101870233086729E-3</v>
      </c>
      <c r="N753" s="9">
        <f t="shared" si="142"/>
        <v>1.0588726140198143E-2</v>
      </c>
    </row>
    <row r="754" spans="1:14" x14ac:dyDescent="0.35">
      <c r="A754" s="1">
        <v>43473</v>
      </c>
      <c r="B754" s="2" t="s">
        <v>754</v>
      </c>
      <c r="C754">
        <f t="shared" si="131"/>
        <v>75939.460000000006</v>
      </c>
      <c r="D754">
        <f t="shared" si="132"/>
        <v>2019</v>
      </c>
      <c r="E754">
        <f t="shared" si="133"/>
        <v>1</v>
      </c>
      <c r="F754" t="str">
        <f t="shared" si="135"/>
        <v>January</v>
      </c>
      <c r="G754">
        <f t="shared" si="134"/>
        <v>8</v>
      </c>
      <c r="H754" s="7">
        <f t="shared" si="136"/>
        <v>1.1616083504612653</v>
      </c>
      <c r="I754" s="9">
        <f t="shared" si="137"/>
        <v>1.1549134762622771E-2</v>
      </c>
      <c r="J754" s="9">
        <f t="shared" si="138"/>
        <v>76355.005714285697</v>
      </c>
      <c r="K754" s="9">
        <f t="shared" si="141"/>
        <v>76004.876333333348</v>
      </c>
      <c r="L754" s="9">
        <f t="shared" si="140"/>
        <v>75388.846333333335</v>
      </c>
      <c r="M754" s="9">
        <f t="shared" si="139"/>
        <v>9.7929042483842228E-3</v>
      </c>
      <c r="N754" s="9">
        <f t="shared" si="142"/>
        <v>1.0685207516515178E-2</v>
      </c>
    </row>
    <row r="755" spans="1:14" x14ac:dyDescent="0.35">
      <c r="A755" s="1">
        <v>43474</v>
      </c>
      <c r="B755" s="2" t="s">
        <v>755</v>
      </c>
      <c r="C755">
        <f t="shared" si="131"/>
        <v>76613.350000000006</v>
      </c>
      <c r="D755">
        <f t="shared" si="132"/>
        <v>2019</v>
      </c>
      <c r="E755">
        <f t="shared" si="133"/>
        <v>1</v>
      </c>
      <c r="F755" t="str">
        <f t="shared" si="135"/>
        <v>January</v>
      </c>
      <c r="G755">
        <f t="shared" si="134"/>
        <v>9</v>
      </c>
      <c r="H755" s="7">
        <f t="shared" si="136"/>
        <v>0.88740425596916195</v>
      </c>
      <c r="I755" s="9">
        <f t="shared" si="137"/>
        <v>8.8348996441733885E-3</v>
      </c>
      <c r="J755" s="9">
        <f t="shared" si="138"/>
        <v>76281.791428571436</v>
      </c>
      <c r="K755" s="9">
        <f t="shared" si="141"/>
        <v>76062.768333333355</v>
      </c>
      <c r="L755" s="9">
        <f t="shared" si="140"/>
        <v>75448.443666666659</v>
      </c>
      <c r="M755" s="9">
        <f t="shared" si="139"/>
        <v>1.0593369675543335E-2</v>
      </c>
      <c r="N755" s="9">
        <f t="shared" si="142"/>
        <v>9.9795231460806377E-3</v>
      </c>
    </row>
    <row r="756" spans="1:14" x14ac:dyDescent="0.35">
      <c r="A756" s="1">
        <v>43475</v>
      </c>
      <c r="B756" s="2" t="s">
        <v>756</v>
      </c>
      <c r="C756">
        <f t="shared" si="131"/>
        <v>76589.539999999994</v>
      </c>
      <c r="D756">
        <f t="shared" si="132"/>
        <v>2019</v>
      </c>
      <c r="E756">
        <f t="shared" si="133"/>
        <v>1</v>
      </c>
      <c r="F756" t="str">
        <f t="shared" si="135"/>
        <v>January</v>
      </c>
      <c r="G756">
        <f t="shared" si="134"/>
        <v>10</v>
      </c>
      <c r="H756" s="7">
        <f t="shared" si="136"/>
        <v>-3.1078134554894443E-2</v>
      </c>
      <c r="I756" s="9">
        <f t="shared" si="137"/>
        <v>-3.1082964807927394E-4</v>
      </c>
      <c r="J756" s="9">
        <f t="shared" si="138"/>
        <v>76245.995714285731</v>
      </c>
      <c r="K756" s="9">
        <f t="shared" si="141"/>
        <v>76137.553666666689</v>
      </c>
      <c r="L756" s="9">
        <f t="shared" si="140"/>
        <v>75515.386444444433</v>
      </c>
      <c r="M756" s="9">
        <f t="shared" si="139"/>
        <v>1.0523486578137802E-2</v>
      </c>
      <c r="N756" s="9">
        <f t="shared" si="142"/>
        <v>9.871096940828562E-3</v>
      </c>
    </row>
    <row r="757" spans="1:14" x14ac:dyDescent="0.35">
      <c r="A757" s="1">
        <v>43476</v>
      </c>
      <c r="B757" s="2" t="s">
        <v>757</v>
      </c>
      <c r="C757">
        <f t="shared" si="131"/>
        <v>76174.61</v>
      </c>
      <c r="D757">
        <f t="shared" si="132"/>
        <v>2019</v>
      </c>
      <c r="E757">
        <f t="shared" si="133"/>
        <v>1</v>
      </c>
      <c r="F757" t="str">
        <f t="shared" si="135"/>
        <v>January</v>
      </c>
      <c r="G757">
        <f t="shared" si="134"/>
        <v>11</v>
      </c>
      <c r="H757" s="7">
        <f t="shared" si="136"/>
        <v>-0.54175805207864292</v>
      </c>
      <c r="I757" s="9">
        <f t="shared" si="137"/>
        <v>-5.4323088287507072E-3</v>
      </c>
      <c r="J757" s="9">
        <f t="shared" si="138"/>
        <v>76184.819999999992</v>
      </c>
      <c r="K757" s="9">
        <f t="shared" si="141"/>
        <v>76182.606666666688</v>
      </c>
      <c r="L757" s="9">
        <f t="shared" si="140"/>
        <v>75575.402000000002</v>
      </c>
      <c r="M757" s="9">
        <f t="shared" si="139"/>
        <v>1.0657101346859123E-2</v>
      </c>
      <c r="N757" s="9">
        <f t="shared" si="142"/>
        <v>9.8839824789266392E-3</v>
      </c>
    </row>
    <row r="758" spans="1:14" x14ac:dyDescent="0.35">
      <c r="A758" s="1">
        <v>43479</v>
      </c>
      <c r="B758" s="2" t="s">
        <v>758</v>
      </c>
      <c r="C758">
        <f t="shared" si="131"/>
        <v>75621.899999999994</v>
      </c>
      <c r="D758">
        <f t="shared" si="132"/>
        <v>2019</v>
      </c>
      <c r="E758">
        <f t="shared" si="133"/>
        <v>1</v>
      </c>
      <c r="F758" t="str">
        <f t="shared" si="135"/>
        <v>January</v>
      </c>
      <c r="G758">
        <f t="shared" si="134"/>
        <v>14</v>
      </c>
      <c r="H758" s="7">
        <f t="shared" si="136"/>
        <v>-0.72558297311926689</v>
      </c>
      <c r="I758" s="9">
        <f t="shared" si="137"/>
        <v>-7.282281293425113E-3</v>
      </c>
      <c r="J758" s="9">
        <f t="shared" si="138"/>
        <v>75969.939999999988</v>
      </c>
      <c r="K758" s="9">
        <f t="shared" si="141"/>
        <v>76232.896000000008</v>
      </c>
      <c r="L758" s="9">
        <f t="shared" si="140"/>
        <v>75624.111333333334</v>
      </c>
      <c r="M758" s="9">
        <f t="shared" si="139"/>
        <v>1.0305441482259722E-2</v>
      </c>
      <c r="N758" s="9">
        <f t="shared" si="142"/>
        <v>9.8127745623705267E-3</v>
      </c>
    </row>
    <row r="759" spans="1:14" x14ac:dyDescent="0.35">
      <c r="A759" s="1">
        <v>43480</v>
      </c>
      <c r="B759" s="2" t="s">
        <v>759</v>
      </c>
      <c r="C759">
        <f t="shared" si="131"/>
        <v>76748.27</v>
      </c>
      <c r="D759">
        <f t="shared" si="132"/>
        <v>2019</v>
      </c>
      <c r="E759">
        <f t="shared" si="133"/>
        <v>1</v>
      </c>
      <c r="F759" t="str">
        <f t="shared" si="135"/>
        <v>January</v>
      </c>
      <c r="G759">
        <f t="shared" si="134"/>
        <v>15</v>
      </c>
      <c r="H759" s="7">
        <f t="shared" si="136"/>
        <v>1.4894759322365743</v>
      </c>
      <c r="I759" s="9">
        <f t="shared" si="137"/>
        <v>1.4784921721364416E-2</v>
      </c>
      <c r="J759" s="9">
        <f t="shared" si="138"/>
        <v>76107.8</v>
      </c>
      <c r="K759" s="9">
        <f t="shared" si="141"/>
        <v>76260.85533333334</v>
      </c>
      <c r="L759" s="9">
        <f t="shared" si="140"/>
        <v>75672.615555555545</v>
      </c>
      <c r="M759" s="9">
        <f t="shared" si="139"/>
        <v>9.8307058307299244E-3</v>
      </c>
      <c r="N759" s="9">
        <f t="shared" si="142"/>
        <v>9.1858862309621946E-3</v>
      </c>
    </row>
    <row r="760" spans="1:14" x14ac:dyDescent="0.35">
      <c r="A760" s="1">
        <v>43481</v>
      </c>
      <c r="B760" s="2" t="s">
        <v>760</v>
      </c>
      <c r="C760">
        <f t="shared" si="131"/>
        <v>77962.73</v>
      </c>
      <c r="D760">
        <f t="shared" si="132"/>
        <v>2019</v>
      </c>
      <c r="E760">
        <f t="shared" si="133"/>
        <v>1</v>
      </c>
      <c r="F760" t="str">
        <f t="shared" si="135"/>
        <v>January</v>
      </c>
      <c r="G760">
        <f t="shared" si="134"/>
        <v>16</v>
      </c>
      <c r="H760" s="7">
        <f t="shared" si="136"/>
        <v>1.5823939744830624</v>
      </c>
      <c r="I760" s="9">
        <f t="shared" si="137"/>
        <v>1.5700046487524256E-2</v>
      </c>
      <c r="J760" s="9">
        <f t="shared" si="138"/>
        <v>76521.408571428576</v>
      </c>
      <c r="K760" s="9">
        <f t="shared" si="141"/>
        <v>76318.823000000019</v>
      </c>
      <c r="L760" s="9">
        <f t="shared" si="140"/>
        <v>75733.245999999999</v>
      </c>
      <c r="M760" s="9">
        <f t="shared" si="139"/>
        <v>9.6139706030690004E-3</v>
      </c>
      <c r="N760" s="9">
        <f t="shared" si="142"/>
        <v>9.5836171043789126E-3</v>
      </c>
    </row>
    <row r="761" spans="1:14" x14ac:dyDescent="0.35">
      <c r="A761" s="1">
        <v>43482</v>
      </c>
      <c r="B761" s="2" t="s">
        <v>761</v>
      </c>
      <c r="C761">
        <f t="shared" si="131"/>
        <v>78175.820000000007</v>
      </c>
      <c r="D761">
        <f t="shared" si="132"/>
        <v>2019</v>
      </c>
      <c r="E761">
        <f t="shared" si="133"/>
        <v>1</v>
      </c>
      <c r="F761" t="str">
        <f t="shared" si="135"/>
        <v>January</v>
      </c>
      <c r="G761">
        <f t="shared" si="134"/>
        <v>17</v>
      </c>
      <c r="H761" s="7">
        <f t="shared" si="136"/>
        <v>0.27332290698390255</v>
      </c>
      <c r="I761" s="9">
        <f t="shared" si="137"/>
        <v>2.7295005915764685E-3</v>
      </c>
      <c r="J761" s="9">
        <f t="shared" si="138"/>
        <v>76840.888571428572</v>
      </c>
      <c r="K761" s="9">
        <f t="shared" si="141"/>
        <v>76383.55266666667</v>
      </c>
      <c r="L761" s="9">
        <f t="shared" si="140"/>
        <v>75799.931333333327</v>
      </c>
      <c r="M761" s="9">
        <f t="shared" si="139"/>
        <v>9.2456101239676743E-3</v>
      </c>
      <c r="N761" s="9">
        <f t="shared" si="142"/>
        <v>9.5895603594612112E-3</v>
      </c>
    </row>
    <row r="762" spans="1:14" x14ac:dyDescent="0.35">
      <c r="A762" s="1">
        <v>43483</v>
      </c>
      <c r="B762" s="2" t="s">
        <v>762</v>
      </c>
      <c r="C762">
        <f t="shared" si="131"/>
        <v>77667.960000000006</v>
      </c>
      <c r="D762">
        <f t="shared" si="132"/>
        <v>2019</v>
      </c>
      <c r="E762">
        <f t="shared" si="133"/>
        <v>1</v>
      </c>
      <c r="F762" t="str">
        <f t="shared" si="135"/>
        <v>January</v>
      </c>
      <c r="G762">
        <f t="shared" si="134"/>
        <v>18</v>
      </c>
      <c r="H762" s="7">
        <f t="shared" si="136"/>
        <v>-0.64963821294103541</v>
      </c>
      <c r="I762" s="9">
        <f t="shared" si="137"/>
        <v>-6.5175754562923774E-3</v>
      </c>
      <c r="J762" s="9">
        <f t="shared" si="138"/>
        <v>76991.547142857133</v>
      </c>
      <c r="K762" s="9">
        <f t="shared" si="141"/>
        <v>76438.223666666672</v>
      </c>
      <c r="L762" s="9">
        <f t="shared" si="140"/>
        <v>75855.663111111106</v>
      </c>
      <c r="M762" s="9">
        <f t="shared" si="139"/>
        <v>9.7549238475673847E-3</v>
      </c>
      <c r="N762" s="9">
        <f t="shared" si="142"/>
        <v>9.6630937956300386E-3</v>
      </c>
    </row>
    <row r="763" spans="1:14" x14ac:dyDescent="0.35">
      <c r="A763" s="1">
        <v>43486</v>
      </c>
      <c r="B763" s="2" t="s">
        <v>763</v>
      </c>
      <c r="C763">
        <f t="shared" si="131"/>
        <v>78390.740000000005</v>
      </c>
      <c r="D763">
        <f t="shared" si="132"/>
        <v>2019</v>
      </c>
      <c r="E763">
        <f t="shared" si="133"/>
        <v>1</v>
      </c>
      <c r="F763" t="str">
        <f t="shared" si="135"/>
        <v>January</v>
      </c>
      <c r="G763">
        <f t="shared" si="134"/>
        <v>21</v>
      </c>
      <c r="H763" s="7">
        <f t="shared" si="136"/>
        <v>0.93060252902226193</v>
      </c>
      <c r="I763" s="9">
        <f t="shared" si="137"/>
        <v>9.2629910162068223E-3</v>
      </c>
      <c r="J763" s="9">
        <f t="shared" si="138"/>
        <v>77248.861428571428</v>
      </c>
      <c r="K763" s="9">
        <f t="shared" si="141"/>
        <v>76554.83133333335</v>
      </c>
      <c r="L763" s="9">
        <f t="shared" si="140"/>
        <v>75911.129333333331</v>
      </c>
      <c r="M763" s="9">
        <f t="shared" si="139"/>
        <v>1.0051260105024874E-2</v>
      </c>
      <c r="N763" s="9">
        <f t="shared" si="142"/>
        <v>9.3089399662698354E-3</v>
      </c>
    </row>
    <row r="764" spans="1:14" x14ac:dyDescent="0.35">
      <c r="A764" s="1">
        <v>43487</v>
      </c>
      <c r="B764" s="2" t="s">
        <v>764</v>
      </c>
      <c r="C764">
        <f t="shared" si="131"/>
        <v>77973.02</v>
      </c>
      <c r="D764">
        <f t="shared" si="132"/>
        <v>2019</v>
      </c>
      <c r="E764">
        <f t="shared" si="133"/>
        <v>1</v>
      </c>
      <c r="F764" t="str">
        <f t="shared" si="135"/>
        <v>January</v>
      </c>
      <c r="G764">
        <f t="shared" si="134"/>
        <v>22</v>
      </c>
      <c r="H764" s="7">
        <f t="shared" si="136"/>
        <v>-0.53286906080998997</v>
      </c>
      <c r="I764" s="9">
        <f t="shared" si="137"/>
        <v>-5.3429387182860897E-3</v>
      </c>
      <c r="J764" s="9">
        <f t="shared" si="138"/>
        <v>77505.777142857129</v>
      </c>
      <c r="K764" s="9">
        <f t="shared" si="141"/>
        <v>76659.56166666669</v>
      </c>
      <c r="L764" s="9">
        <f t="shared" si="140"/>
        <v>75963.739444444436</v>
      </c>
      <c r="M764" s="9">
        <f t="shared" si="139"/>
        <v>1.0038337340823301E-2</v>
      </c>
      <c r="N764" s="9">
        <f t="shared" si="142"/>
        <v>9.3844916839159707E-3</v>
      </c>
    </row>
    <row r="765" spans="1:14" x14ac:dyDescent="0.35">
      <c r="A765" s="1">
        <v>43488</v>
      </c>
      <c r="B765" s="2" t="s">
        <v>765</v>
      </c>
      <c r="C765">
        <f t="shared" si="131"/>
        <v>78261.649999999994</v>
      </c>
      <c r="D765">
        <f t="shared" si="132"/>
        <v>2019</v>
      </c>
      <c r="E765">
        <f t="shared" si="133"/>
        <v>1</v>
      </c>
      <c r="F765" t="str">
        <f t="shared" si="135"/>
        <v>January</v>
      </c>
      <c r="G765">
        <f t="shared" si="134"/>
        <v>23</v>
      </c>
      <c r="H765" s="7">
        <f t="shared" si="136"/>
        <v>0.37016650118206285</v>
      </c>
      <c r="I765" s="9">
        <f t="shared" si="137"/>
        <v>3.6948307102285648E-3</v>
      </c>
      <c r="J765" s="9">
        <f t="shared" si="138"/>
        <v>77882.884285714288</v>
      </c>
      <c r="K765" s="9">
        <f t="shared" si="141"/>
        <v>76783.500666666674</v>
      </c>
      <c r="L765" s="9">
        <f t="shared" si="140"/>
        <v>76001.934555555563</v>
      </c>
      <c r="M765" s="9">
        <f t="shared" si="139"/>
        <v>8.8959792036587704E-3</v>
      </c>
      <c r="N765" s="9">
        <f t="shared" si="142"/>
        <v>9.3407224444195559E-3</v>
      </c>
    </row>
    <row r="766" spans="1:14" x14ac:dyDescent="0.35">
      <c r="A766" s="1">
        <v>43489</v>
      </c>
      <c r="B766" s="2" t="s">
        <v>766</v>
      </c>
      <c r="C766">
        <f t="shared" si="131"/>
        <v>78330.2</v>
      </c>
      <c r="D766">
        <f t="shared" si="132"/>
        <v>2019</v>
      </c>
      <c r="E766">
        <f t="shared" si="133"/>
        <v>1</v>
      </c>
      <c r="F766" t="str">
        <f t="shared" si="135"/>
        <v>January</v>
      </c>
      <c r="G766">
        <f t="shared" si="134"/>
        <v>24</v>
      </c>
      <c r="H766" s="7">
        <f t="shared" si="136"/>
        <v>8.7590793191816063E-2</v>
      </c>
      <c r="I766" s="9">
        <f t="shared" si="137"/>
        <v>8.7552454842155039E-4</v>
      </c>
      <c r="J766" s="9">
        <f t="shared" si="138"/>
        <v>78108.874285714279</v>
      </c>
      <c r="K766" s="9">
        <f t="shared" si="141"/>
        <v>76919.006000000008</v>
      </c>
      <c r="L766" s="9">
        <f t="shared" si="140"/>
        <v>76052.198777777783</v>
      </c>
      <c r="M766" s="9">
        <f t="shared" si="139"/>
        <v>7.8072982986765434E-3</v>
      </c>
      <c r="N766" s="9">
        <f t="shared" si="142"/>
        <v>9.2871624963067022E-3</v>
      </c>
    </row>
    <row r="767" spans="1:14" x14ac:dyDescent="0.35">
      <c r="A767" s="1">
        <v>43490</v>
      </c>
      <c r="B767" s="2" t="s">
        <v>767</v>
      </c>
      <c r="C767">
        <f t="shared" si="131"/>
        <v>76997.16</v>
      </c>
      <c r="D767">
        <f t="shared" si="132"/>
        <v>2019</v>
      </c>
      <c r="E767">
        <f t="shared" si="133"/>
        <v>1</v>
      </c>
      <c r="F767" t="str">
        <f t="shared" si="135"/>
        <v>January</v>
      </c>
      <c r="G767">
        <f t="shared" si="134"/>
        <v>25</v>
      </c>
      <c r="H767" s="7">
        <f t="shared" si="136"/>
        <v>-1.7018212643399273</v>
      </c>
      <c r="I767" s="9">
        <f t="shared" si="137"/>
        <v>-1.716468661942604E-2</v>
      </c>
      <c r="J767" s="9">
        <f t="shared" si="138"/>
        <v>77970.935714285719</v>
      </c>
      <c r="K767" s="9">
        <f t="shared" si="141"/>
        <v>77005.481333333344</v>
      </c>
      <c r="L767" s="9">
        <f t="shared" si="140"/>
        <v>76086.522444444461</v>
      </c>
      <c r="M767" s="9">
        <f t="shared" si="139"/>
        <v>8.6711837254503429E-3</v>
      </c>
      <c r="N767" s="9">
        <f t="shared" si="142"/>
        <v>9.9099257947526925E-3</v>
      </c>
    </row>
    <row r="768" spans="1:14" x14ac:dyDescent="0.35">
      <c r="A768" s="1">
        <v>43493</v>
      </c>
      <c r="B768" s="2" t="s">
        <v>768</v>
      </c>
      <c r="C768">
        <f t="shared" si="131"/>
        <v>77775.02</v>
      </c>
      <c r="D768">
        <f t="shared" si="132"/>
        <v>2019</v>
      </c>
      <c r="E768">
        <f t="shared" si="133"/>
        <v>1</v>
      </c>
      <c r="F768" t="str">
        <f t="shared" si="135"/>
        <v>January</v>
      </c>
      <c r="G768">
        <f t="shared" si="134"/>
        <v>28</v>
      </c>
      <c r="H768" s="7">
        <f t="shared" si="136"/>
        <v>1.0102450531941705</v>
      </c>
      <c r="I768" s="9">
        <f t="shared" si="137"/>
        <v>1.0051761879107057E-2</v>
      </c>
      <c r="J768" s="9">
        <f t="shared" si="138"/>
        <v>77913.678571428565</v>
      </c>
      <c r="K768" s="9">
        <f t="shared" si="141"/>
        <v>77094.455666666661</v>
      </c>
      <c r="L768" s="9">
        <f t="shared" si="140"/>
        <v>76121.913666666675</v>
      </c>
      <c r="M768" s="9">
        <f t="shared" si="139"/>
        <v>9.6879402932244629E-3</v>
      </c>
      <c r="N768" s="9">
        <f t="shared" si="142"/>
        <v>9.9292701366070994E-3</v>
      </c>
    </row>
    <row r="769" spans="1:14" x14ac:dyDescent="0.35">
      <c r="A769" s="1">
        <v>43494</v>
      </c>
      <c r="B769" s="2" t="s">
        <v>769</v>
      </c>
      <c r="C769">
        <f t="shared" si="131"/>
        <v>77776.87</v>
      </c>
      <c r="D769">
        <f t="shared" si="132"/>
        <v>2019</v>
      </c>
      <c r="E769">
        <f t="shared" si="133"/>
        <v>1</v>
      </c>
      <c r="F769" t="str">
        <f t="shared" si="135"/>
        <v>January</v>
      </c>
      <c r="G769">
        <f t="shared" si="134"/>
        <v>29</v>
      </c>
      <c r="H769" s="7">
        <f t="shared" si="136"/>
        <v>2.3786557688976083E-3</v>
      </c>
      <c r="I769" s="9">
        <f t="shared" si="137"/>
        <v>2.3786274793187898E-5</v>
      </c>
      <c r="J769" s="9">
        <f t="shared" si="138"/>
        <v>77929.23714285715</v>
      </c>
      <c r="K769" s="9">
        <f t="shared" si="141"/>
        <v>77166.022000000012</v>
      </c>
      <c r="L769" s="9">
        <f t="shared" si="140"/>
        <v>76159.941444444441</v>
      </c>
      <c r="M769" s="9">
        <f t="shared" si="139"/>
        <v>9.3465925650613874E-3</v>
      </c>
      <c r="N769" s="9">
        <f t="shared" si="142"/>
        <v>9.8703676448017967E-3</v>
      </c>
    </row>
    <row r="770" spans="1:14" x14ac:dyDescent="0.35">
      <c r="A770" s="1">
        <v>43495</v>
      </c>
      <c r="B770" s="2" t="s">
        <v>770</v>
      </c>
      <c r="C770">
        <f t="shared" si="131"/>
        <v>78572.33</v>
      </c>
      <c r="D770">
        <f t="shared" si="132"/>
        <v>2019</v>
      </c>
      <c r="E770">
        <f t="shared" si="133"/>
        <v>1</v>
      </c>
      <c r="F770" t="str">
        <f t="shared" si="135"/>
        <v>January</v>
      </c>
      <c r="G770">
        <f t="shared" si="134"/>
        <v>30</v>
      </c>
      <c r="H770" s="7">
        <f t="shared" si="136"/>
        <v>1.022746222623778</v>
      </c>
      <c r="I770" s="9">
        <f t="shared" si="137"/>
        <v>1.0175515622162601E-2</v>
      </c>
      <c r="J770" s="9">
        <f t="shared" si="138"/>
        <v>77955.178571428565</v>
      </c>
      <c r="K770" s="9">
        <f t="shared" si="141"/>
        <v>77226.125666666674</v>
      </c>
      <c r="L770" s="9">
        <f t="shared" si="140"/>
        <v>76218.494444444441</v>
      </c>
      <c r="M770" s="9">
        <f t="shared" si="139"/>
        <v>9.4991804299509111E-3</v>
      </c>
      <c r="N770" s="9">
        <f t="shared" si="142"/>
        <v>9.6729682674531921E-3</v>
      </c>
    </row>
    <row r="771" spans="1:14" x14ac:dyDescent="0.35">
      <c r="A771" s="1">
        <v>43496</v>
      </c>
      <c r="B771" s="2" t="s">
        <v>771</v>
      </c>
      <c r="C771">
        <f t="shared" ref="C771:C834" si="143">_xlfn.NUMBERVALUE(B771,".",",")</f>
        <v>78132.77</v>
      </c>
      <c r="D771">
        <f t="shared" ref="D771:D834" si="144">YEAR(A771)</f>
        <v>2019</v>
      </c>
      <c r="E771">
        <f t="shared" ref="E771:E834" si="145">MONTH(A771)</f>
        <v>1</v>
      </c>
      <c r="F771" t="str">
        <f t="shared" si="135"/>
        <v>January</v>
      </c>
      <c r="G771">
        <f t="shared" ref="G771:G834" si="146">DAY(A771)</f>
        <v>31</v>
      </c>
      <c r="H771" s="7">
        <f t="shared" si="136"/>
        <v>-0.55943358177108615</v>
      </c>
      <c r="I771" s="9">
        <f t="shared" si="137"/>
        <v>-5.6100427215192497E-3</v>
      </c>
      <c r="J771" s="9">
        <f t="shared" si="138"/>
        <v>77978</v>
      </c>
      <c r="K771" s="9">
        <f t="shared" si="141"/>
        <v>77230.073000000004</v>
      </c>
      <c r="L771" s="9">
        <f t="shared" si="140"/>
        <v>76263.451666666646</v>
      </c>
      <c r="M771" s="9">
        <f t="shared" si="139"/>
        <v>9.5262667076866248E-3</v>
      </c>
      <c r="N771" s="9">
        <f t="shared" si="142"/>
        <v>9.2920595423116488E-3</v>
      </c>
    </row>
    <row r="772" spans="1:14" x14ac:dyDescent="0.35">
      <c r="A772" s="1">
        <v>43497</v>
      </c>
      <c r="B772" s="2" t="s">
        <v>772</v>
      </c>
      <c r="C772">
        <f t="shared" si="143"/>
        <v>77271.13</v>
      </c>
      <c r="D772">
        <f t="shared" si="144"/>
        <v>2019</v>
      </c>
      <c r="E772">
        <f t="shared" si="145"/>
        <v>2</v>
      </c>
      <c r="F772" t="str">
        <f t="shared" ref="F772:F835" si="147">TEXT(A772,"mmmm")</f>
        <v>February</v>
      </c>
      <c r="G772">
        <f t="shared" si="146"/>
        <v>1</v>
      </c>
      <c r="H772" s="7">
        <f t="shared" ref="H772:H835" si="148">((C772-C771)/C771)*100</f>
        <v>-1.1027895209654022</v>
      </c>
      <c r="I772" s="9">
        <f t="shared" ref="I772:I835" si="149">LN(C772/C771)</f>
        <v>-1.1089153227028694E-2</v>
      </c>
      <c r="J772" s="9">
        <f t="shared" si="138"/>
        <v>77836.497142857144</v>
      </c>
      <c r="K772" s="9">
        <f t="shared" si="141"/>
        <v>77188.050333333333</v>
      </c>
      <c r="L772" s="9">
        <f t="shared" si="140"/>
        <v>76298.617777777748</v>
      </c>
      <c r="M772" s="9">
        <f t="shared" si="139"/>
        <v>1.0257010264152851E-2</v>
      </c>
      <c r="N772" s="9">
        <f t="shared" si="142"/>
        <v>9.4221668886977257E-3</v>
      </c>
    </row>
    <row r="773" spans="1:14" x14ac:dyDescent="0.35">
      <c r="A773" s="1">
        <v>43500</v>
      </c>
      <c r="B773" s="2" t="s">
        <v>773</v>
      </c>
      <c r="C773">
        <f t="shared" si="143"/>
        <v>78218.600000000006</v>
      </c>
      <c r="D773">
        <f t="shared" si="144"/>
        <v>2019</v>
      </c>
      <c r="E773">
        <f t="shared" si="145"/>
        <v>2</v>
      </c>
      <c r="F773" t="str">
        <f t="shared" si="147"/>
        <v>February</v>
      </c>
      <c r="G773">
        <f t="shared" si="146"/>
        <v>4</v>
      </c>
      <c r="H773" s="7">
        <f t="shared" si="148"/>
        <v>1.2261629925691537</v>
      </c>
      <c r="I773" s="9">
        <f t="shared" si="149"/>
        <v>1.2187065047330589E-2</v>
      </c>
      <c r="J773" s="9">
        <f t="shared" si="138"/>
        <v>77820.554285714286</v>
      </c>
      <c r="K773" s="9">
        <f t="shared" si="141"/>
        <v>77193.329666666657</v>
      </c>
      <c r="L773" s="9">
        <f t="shared" si="140"/>
        <v>76349.350333333306</v>
      </c>
      <c r="M773" s="9">
        <f t="shared" si="139"/>
        <v>1.1560580467189482E-2</v>
      </c>
      <c r="N773" s="9">
        <f t="shared" si="142"/>
        <v>9.6407513706391092E-3</v>
      </c>
    </row>
    <row r="774" spans="1:14" x14ac:dyDescent="0.35">
      <c r="A774" s="1">
        <v>43501</v>
      </c>
      <c r="B774" s="2" t="s">
        <v>774</v>
      </c>
      <c r="C774">
        <f t="shared" si="143"/>
        <v>77532.899999999994</v>
      </c>
      <c r="D774">
        <f t="shared" si="144"/>
        <v>2019</v>
      </c>
      <c r="E774">
        <f t="shared" si="145"/>
        <v>2</v>
      </c>
      <c r="F774" t="str">
        <f t="shared" si="147"/>
        <v>February</v>
      </c>
      <c r="G774">
        <f t="shared" si="146"/>
        <v>5</v>
      </c>
      <c r="H774" s="7">
        <f t="shared" si="148"/>
        <v>-0.87664570830980304</v>
      </c>
      <c r="I774" s="9">
        <f t="shared" si="149"/>
        <v>-8.8051085245927016E-3</v>
      </c>
      <c r="J774" s="9">
        <f t="shared" si="138"/>
        <v>77897.088571428583</v>
      </c>
      <c r="K774" s="9">
        <f t="shared" si="141"/>
        <v>77183.501999999993</v>
      </c>
      <c r="L774" s="9">
        <f t="shared" si="140"/>
        <v>76397.658999999971</v>
      </c>
      <c r="M774" s="9">
        <f t="shared" si="139"/>
        <v>9.8167180170924719E-3</v>
      </c>
      <c r="N774" s="9">
        <f t="shared" si="142"/>
        <v>9.76211575167997E-3</v>
      </c>
    </row>
    <row r="775" spans="1:14" x14ac:dyDescent="0.35">
      <c r="A775" s="1">
        <v>43502</v>
      </c>
      <c r="B775" s="2" t="s">
        <v>775</v>
      </c>
      <c r="C775">
        <f t="shared" si="143"/>
        <v>78218.37</v>
      </c>
      <c r="D775">
        <f t="shared" si="144"/>
        <v>2019</v>
      </c>
      <c r="E775">
        <f t="shared" si="145"/>
        <v>2</v>
      </c>
      <c r="F775" t="str">
        <f t="shared" si="147"/>
        <v>February</v>
      </c>
      <c r="G775">
        <f t="shared" si="146"/>
        <v>6</v>
      </c>
      <c r="H775" s="7">
        <f t="shared" si="148"/>
        <v>0.8841021037520862</v>
      </c>
      <c r="I775" s="9">
        <f t="shared" si="149"/>
        <v>8.802168043196253E-3</v>
      </c>
      <c r="J775" s="9">
        <f t="shared" si="138"/>
        <v>77960.424285714296</v>
      </c>
      <c r="K775" s="9">
        <f t="shared" si="141"/>
        <v>77248.04333333332</v>
      </c>
      <c r="L775" s="9">
        <f t="shared" si="140"/>
        <v>76439.962888888869</v>
      </c>
      <c r="M775" s="9">
        <f t="shared" si="139"/>
        <v>9.634144600404685E-3</v>
      </c>
      <c r="N775" s="9">
        <f t="shared" si="142"/>
        <v>9.1318243214772894E-3</v>
      </c>
    </row>
    <row r="776" spans="1:14" x14ac:dyDescent="0.35">
      <c r="A776" s="1">
        <v>43503</v>
      </c>
      <c r="B776" s="2" t="s">
        <v>776</v>
      </c>
      <c r="C776">
        <f t="shared" si="143"/>
        <v>78122.12</v>
      </c>
      <c r="D776">
        <f t="shared" si="144"/>
        <v>2019</v>
      </c>
      <c r="E776">
        <f t="shared" si="145"/>
        <v>2</v>
      </c>
      <c r="F776" t="str">
        <f t="shared" si="147"/>
        <v>February</v>
      </c>
      <c r="G776">
        <f t="shared" si="146"/>
        <v>7</v>
      </c>
      <c r="H776" s="7">
        <f t="shared" si="148"/>
        <v>-0.12305293500746693</v>
      </c>
      <c r="I776" s="9">
        <f t="shared" si="149"/>
        <v>-1.2312870729792793E-3</v>
      </c>
      <c r="J776" s="9">
        <f t="shared" si="138"/>
        <v>78009.745714285717</v>
      </c>
      <c r="K776" s="9">
        <f t="shared" si="141"/>
        <v>77287.577000000005</v>
      </c>
      <c r="L776" s="9">
        <f t="shared" si="140"/>
        <v>76474.475333333321</v>
      </c>
      <c r="M776" s="9">
        <f t="shared" si="139"/>
        <v>9.6628950722434069E-3</v>
      </c>
      <c r="N776" s="9">
        <f t="shared" si="142"/>
        <v>9.0212403199449731E-3</v>
      </c>
    </row>
    <row r="777" spans="1:14" x14ac:dyDescent="0.35">
      <c r="A777" s="1">
        <v>43504</v>
      </c>
      <c r="B777" s="2" t="s">
        <v>777</v>
      </c>
      <c r="C777">
        <f t="shared" si="143"/>
        <v>77891.13</v>
      </c>
      <c r="D777">
        <f t="shared" si="144"/>
        <v>2019</v>
      </c>
      <c r="E777">
        <f t="shared" si="145"/>
        <v>2</v>
      </c>
      <c r="F777" t="str">
        <f t="shared" si="147"/>
        <v>February</v>
      </c>
      <c r="G777">
        <f t="shared" si="146"/>
        <v>8</v>
      </c>
      <c r="H777" s="7">
        <f t="shared" si="148"/>
        <v>-0.29567809987746196</v>
      </c>
      <c r="I777" s="9">
        <f t="shared" si="149"/>
        <v>-2.9611609114710662E-3</v>
      </c>
      <c r="J777" s="9">
        <f t="shared" ref="J777:J840" si="150">AVERAGE(C771:C777)</f>
        <v>77912.431428571435</v>
      </c>
      <c r="K777" s="9">
        <f t="shared" si="141"/>
        <v>77316.774333333335</v>
      </c>
      <c r="L777" s="9">
        <f t="shared" si="140"/>
        <v>76502.429888888888</v>
      </c>
      <c r="M777" s="9">
        <f t="shared" si="139"/>
        <v>8.7314330350142851E-3</v>
      </c>
      <c r="N777" s="9">
        <f t="shared" si="142"/>
        <v>9.0427160333682432E-3</v>
      </c>
    </row>
    <row r="778" spans="1:14" x14ac:dyDescent="0.35">
      <c r="A778" s="1">
        <v>43507</v>
      </c>
      <c r="B778" s="2" t="s">
        <v>778</v>
      </c>
      <c r="C778">
        <f t="shared" si="143"/>
        <v>78121.37</v>
      </c>
      <c r="D778">
        <f t="shared" si="144"/>
        <v>2019</v>
      </c>
      <c r="E778">
        <f t="shared" si="145"/>
        <v>2</v>
      </c>
      <c r="F778" t="str">
        <f t="shared" si="147"/>
        <v>February</v>
      </c>
      <c r="G778">
        <f t="shared" si="146"/>
        <v>11</v>
      </c>
      <c r="H778" s="7">
        <f t="shared" si="148"/>
        <v>0.29559206548934475</v>
      </c>
      <c r="I778" s="9">
        <f t="shared" si="149"/>
        <v>2.9515605114799623E-3</v>
      </c>
      <c r="J778" s="9">
        <f t="shared" si="150"/>
        <v>77910.802857142859</v>
      </c>
      <c r="K778" s="9">
        <f t="shared" si="141"/>
        <v>77349.958333333328</v>
      </c>
      <c r="L778" s="9">
        <f t="shared" si="140"/>
        <v>76539.480777777775</v>
      </c>
      <c r="M778" s="9">
        <f t="shared" ref="M778:M841" si="151">STDEV(I772:I778)</f>
        <v>8.616797372555652E-3</v>
      </c>
      <c r="N778" s="9">
        <f t="shared" si="142"/>
        <v>9.0530656984638361E-3</v>
      </c>
    </row>
    <row r="779" spans="1:14" x14ac:dyDescent="0.35">
      <c r="A779" s="1">
        <v>43508</v>
      </c>
      <c r="B779" s="2" t="s">
        <v>779</v>
      </c>
      <c r="C779">
        <f t="shared" si="143"/>
        <v>77910.960000000006</v>
      </c>
      <c r="D779">
        <f t="shared" si="144"/>
        <v>2019</v>
      </c>
      <c r="E779">
        <f t="shared" si="145"/>
        <v>2</v>
      </c>
      <c r="F779" t="str">
        <f t="shared" si="147"/>
        <v>February</v>
      </c>
      <c r="G779">
        <f t="shared" si="146"/>
        <v>12</v>
      </c>
      <c r="H779" s="7">
        <f t="shared" si="148"/>
        <v>-0.26933731448896625</v>
      </c>
      <c r="I779" s="9">
        <f t="shared" si="149"/>
        <v>-2.6970068003316964E-3</v>
      </c>
      <c r="J779" s="9">
        <f t="shared" si="150"/>
        <v>78002.207142857136</v>
      </c>
      <c r="K779" s="9">
        <f t="shared" si="141"/>
        <v>77385.653333333335</v>
      </c>
      <c r="L779" s="9">
        <f t="shared" si="140"/>
        <v>76572.338888888888</v>
      </c>
      <c r="M779" s="9">
        <f t="shared" si="151"/>
        <v>7.3039763053540816E-3</v>
      </c>
      <c r="N779" s="9">
        <f t="shared" si="142"/>
        <v>9.0389519385008898E-3</v>
      </c>
    </row>
    <row r="780" spans="1:14" x14ac:dyDescent="0.35">
      <c r="A780" s="1">
        <v>43509</v>
      </c>
      <c r="B780" s="2" t="s">
        <v>780</v>
      </c>
      <c r="C780">
        <f t="shared" si="143"/>
        <v>78883.259999999995</v>
      </c>
      <c r="D780">
        <f t="shared" si="144"/>
        <v>2019</v>
      </c>
      <c r="E780">
        <f t="shared" si="145"/>
        <v>2</v>
      </c>
      <c r="F780" t="str">
        <f t="shared" si="147"/>
        <v>February</v>
      </c>
      <c r="G780">
        <f t="shared" si="146"/>
        <v>13</v>
      </c>
      <c r="H780" s="7">
        <f t="shared" si="148"/>
        <v>1.2479630593692959</v>
      </c>
      <c r="I780" s="9">
        <f t="shared" si="149"/>
        <v>1.2402401864033729E-2</v>
      </c>
      <c r="J780" s="9">
        <f t="shared" si="150"/>
        <v>78097.158571428576</v>
      </c>
      <c r="K780" s="9">
        <f t="shared" si="141"/>
        <v>77461.667333333316</v>
      </c>
      <c r="L780" s="9">
        <f t="shared" si="140"/>
        <v>76612.639666666655</v>
      </c>
      <c r="M780" s="9">
        <f t="shared" si="151"/>
        <v>7.3583225529271473E-3</v>
      </c>
      <c r="N780" s="9">
        <f t="shared" si="142"/>
        <v>9.268657627341503E-3</v>
      </c>
    </row>
    <row r="781" spans="1:14" x14ac:dyDescent="0.35">
      <c r="A781" s="1">
        <v>43510</v>
      </c>
      <c r="B781" s="2" t="s">
        <v>781</v>
      </c>
      <c r="C781">
        <f t="shared" si="143"/>
        <v>78796.86</v>
      </c>
      <c r="D781">
        <f t="shared" si="144"/>
        <v>2019</v>
      </c>
      <c r="E781">
        <f t="shared" si="145"/>
        <v>2</v>
      </c>
      <c r="F781" t="str">
        <f t="shared" si="147"/>
        <v>February</v>
      </c>
      <c r="G781">
        <f t="shared" si="146"/>
        <v>14</v>
      </c>
      <c r="H781" s="7">
        <f t="shared" si="148"/>
        <v>-0.10952894188195847</v>
      </c>
      <c r="I781" s="9">
        <f t="shared" si="149"/>
        <v>-1.0958896866263711E-3</v>
      </c>
      <c r="J781" s="9">
        <f t="shared" si="150"/>
        <v>78277.724285714299</v>
      </c>
      <c r="K781" s="9">
        <f t="shared" si="141"/>
        <v>77517.360666666646</v>
      </c>
      <c r="L781" s="9">
        <f t="shared" si="140"/>
        <v>76657.313888888893</v>
      </c>
      <c r="M781" s="9">
        <f t="shared" si="151"/>
        <v>6.0747081443171987E-3</v>
      </c>
      <c r="N781" s="9">
        <f t="shared" si="142"/>
        <v>9.2093856450131181E-3</v>
      </c>
    </row>
    <row r="782" spans="1:14" x14ac:dyDescent="0.35">
      <c r="A782" s="1">
        <v>43511</v>
      </c>
      <c r="B782" s="2" t="s">
        <v>782</v>
      </c>
      <c r="C782">
        <f t="shared" si="143"/>
        <v>79294.759999999995</v>
      </c>
      <c r="D782">
        <f t="shared" si="144"/>
        <v>2019</v>
      </c>
      <c r="E782">
        <f t="shared" si="145"/>
        <v>2</v>
      </c>
      <c r="F782" t="str">
        <f t="shared" si="147"/>
        <v>February</v>
      </c>
      <c r="G782">
        <f t="shared" si="146"/>
        <v>15</v>
      </c>
      <c r="H782" s="7">
        <f t="shared" si="148"/>
        <v>0.63187797077192431</v>
      </c>
      <c r="I782" s="9">
        <f t="shared" si="149"/>
        <v>6.2988999192758657E-3</v>
      </c>
      <c r="J782" s="9">
        <f t="shared" si="150"/>
        <v>78431.494285714274</v>
      </c>
      <c r="K782" s="9">
        <f t="shared" si="141"/>
        <v>77634.410999999993</v>
      </c>
      <c r="L782" s="9">
        <f t="shared" si="140"/>
        <v>76704.148888888885</v>
      </c>
      <c r="M782" s="9">
        <f t="shared" si="151"/>
        <v>5.6903561689730731E-3</v>
      </c>
      <c r="N782" s="9">
        <f t="shared" si="142"/>
        <v>8.5856312192890312E-3</v>
      </c>
    </row>
    <row r="783" spans="1:14" x14ac:dyDescent="0.35">
      <c r="A783" s="1">
        <v>43514</v>
      </c>
      <c r="B783" s="2" t="s">
        <v>783</v>
      </c>
      <c r="C783">
        <f t="shared" si="143"/>
        <v>78723.7</v>
      </c>
      <c r="D783">
        <f t="shared" si="144"/>
        <v>2019</v>
      </c>
      <c r="E783">
        <f t="shared" si="145"/>
        <v>2</v>
      </c>
      <c r="F783" t="str">
        <f t="shared" si="147"/>
        <v>February</v>
      </c>
      <c r="G783">
        <f t="shared" si="146"/>
        <v>18</v>
      </c>
      <c r="H783" s="7">
        <f t="shared" si="148"/>
        <v>-0.72017369117454633</v>
      </c>
      <c r="I783" s="9">
        <f t="shared" si="149"/>
        <v>-7.2277946014744779E-3</v>
      </c>
      <c r="J783" s="9">
        <f t="shared" si="150"/>
        <v>78517.434285714291</v>
      </c>
      <c r="K783" s="9">
        <f t="shared" si="141"/>
        <v>77756.285333333333</v>
      </c>
      <c r="L783" s="9">
        <f t="shared" si="140"/>
        <v>76758.45655555556</v>
      </c>
      <c r="M783" s="9">
        <f t="shared" si="151"/>
        <v>6.6242658406757927E-3</v>
      </c>
      <c r="N783" s="9">
        <f t="shared" si="142"/>
        <v>8.4951476601767394E-3</v>
      </c>
    </row>
    <row r="784" spans="1:14" x14ac:dyDescent="0.35">
      <c r="A784" s="1">
        <v>43515</v>
      </c>
      <c r="B784" s="2" t="s">
        <v>784</v>
      </c>
      <c r="C784">
        <f t="shared" si="143"/>
        <v>78870.36</v>
      </c>
      <c r="D784">
        <f t="shared" si="144"/>
        <v>2019</v>
      </c>
      <c r="E784">
        <f t="shared" si="145"/>
        <v>2</v>
      </c>
      <c r="F784" t="str">
        <f t="shared" si="147"/>
        <v>February</v>
      </c>
      <c r="G784">
        <f t="shared" si="146"/>
        <v>19</v>
      </c>
      <c r="H784" s="7">
        <f t="shared" si="148"/>
        <v>0.18629713796481048</v>
      </c>
      <c r="I784" s="9">
        <f t="shared" si="149"/>
        <v>1.8612382007087106E-3</v>
      </c>
      <c r="J784" s="9">
        <f t="shared" si="150"/>
        <v>78657.32428571429</v>
      </c>
      <c r="K784" s="9">
        <f t="shared" si="141"/>
        <v>77853.982000000004</v>
      </c>
      <c r="L784" s="9">
        <f t="shared" si="140"/>
        <v>76809.221000000005</v>
      </c>
      <c r="M784" s="9">
        <f t="shared" si="151"/>
        <v>6.3782124850343446E-3</v>
      </c>
      <c r="N784" s="9">
        <f t="shared" si="142"/>
        <v>8.2848569361505184E-3</v>
      </c>
    </row>
    <row r="785" spans="1:14" x14ac:dyDescent="0.35">
      <c r="A785" s="1">
        <v>43516</v>
      </c>
      <c r="B785" s="2" t="s">
        <v>785</v>
      </c>
      <c r="C785">
        <f t="shared" si="143"/>
        <v>78462.77</v>
      </c>
      <c r="D785">
        <f t="shared" si="144"/>
        <v>2019</v>
      </c>
      <c r="E785">
        <f t="shared" si="145"/>
        <v>2</v>
      </c>
      <c r="F785" t="str">
        <f t="shared" si="147"/>
        <v>February</v>
      </c>
      <c r="G785">
        <f t="shared" si="146"/>
        <v>20</v>
      </c>
      <c r="H785" s="7">
        <f t="shared" si="148"/>
        <v>-0.51678475919216871</v>
      </c>
      <c r="I785" s="9">
        <f t="shared" si="149"/>
        <v>-5.1812471006367775E-3</v>
      </c>
      <c r="J785" s="9">
        <f t="shared" si="150"/>
        <v>78706.095714285722</v>
      </c>
      <c r="K785" s="9">
        <f t="shared" si="141"/>
        <v>77915.629333333345</v>
      </c>
      <c r="L785" s="9">
        <f t="shared" si="140"/>
        <v>76858.556444444446</v>
      </c>
      <c r="M785" s="9">
        <f t="shared" si="151"/>
        <v>6.8532798616904277E-3</v>
      </c>
      <c r="N785" s="9">
        <f t="shared" si="142"/>
        <v>8.2381648556872442E-3</v>
      </c>
    </row>
    <row r="786" spans="1:14" x14ac:dyDescent="0.35">
      <c r="A786" s="1">
        <v>43517</v>
      </c>
      <c r="B786" s="2" t="s">
        <v>786</v>
      </c>
      <c r="C786">
        <f t="shared" si="143"/>
        <v>77740.69</v>
      </c>
      <c r="D786">
        <f t="shared" si="144"/>
        <v>2019</v>
      </c>
      <c r="E786">
        <f t="shared" si="145"/>
        <v>2</v>
      </c>
      <c r="F786" t="str">
        <f t="shared" si="147"/>
        <v>February</v>
      </c>
      <c r="G786">
        <f t="shared" si="146"/>
        <v>21</v>
      </c>
      <c r="H786" s="7">
        <f t="shared" si="148"/>
        <v>-0.92028359437221208</v>
      </c>
      <c r="I786" s="9">
        <f t="shared" si="149"/>
        <v>-9.245443647696399E-3</v>
      </c>
      <c r="J786" s="9">
        <f t="shared" si="150"/>
        <v>78681.771428571432</v>
      </c>
      <c r="K786" s="9">
        <f t="shared" si="141"/>
        <v>77954.001000000004</v>
      </c>
      <c r="L786" s="9">
        <f t="shared" si="140"/>
        <v>76908.143222222236</v>
      </c>
      <c r="M786" s="9">
        <f t="shared" si="151"/>
        <v>7.7679003536237252E-3</v>
      </c>
      <c r="N786" s="9">
        <f t="shared" si="142"/>
        <v>8.4385852550699688E-3</v>
      </c>
    </row>
    <row r="787" spans="1:14" x14ac:dyDescent="0.35">
      <c r="A787" s="1">
        <v>43518</v>
      </c>
      <c r="B787" s="2" t="s">
        <v>787</v>
      </c>
      <c r="C787">
        <f t="shared" si="143"/>
        <v>77990.539999999994</v>
      </c>
      <c r="D787">
        <f t="shared" si="144"/>
        <v>2019</v>
      </c>
      <c r="E787">
        <f t="shared" si="145"/>
        <v>2</v>
      </c>
      <c r="F787" t="str">
        <f t="shared" si="147"/>
        <v>February</v>
      </c>
      <c r="G787">
        <f t="shared" si="146"/>
        <v>22</v>
      </c>
      <c r="H787" s="7">
        <f t="shared" si="148"/>
        <v>0.3213889663186566</v>
      </c>
      <c r="I787" s="9">
        <f t="shared" si="149"/>
        <v>3.208736158713968E-3</v>
      </c>
      <c r="J787" s="9">
        <f t="shared" si="150"/>
        <v>78554.240000000005</v>
      </c>
      <c r="K787" s="9">
        <f t="shared" si="141"/>
        <v>78014.531999999992</v>
      </c>
      <c r="L787" s="9">
        <f t="shared" si="140"/>
        <v>76955.146888888892</v>
      </c>
      <c r="M787" s="9">
        <f t="shared" si="151"/>
        <v>5.7835451330513505E-3</v>
      </c>
      <c r="N787" s="9">
        <f t="shared" si="142"/>
        <v>8.3764551508750743E-3</v>
      </c>
    </row>
    <row r="788" spans="1:14" x14ac:dyDescent="0.35">
      <c r="A788" s="1">
        <v>43521</v>
      </c>
      <c r="B788" s="2" t="s">
        <v>788</v>
      </c>
      <c r="C788">
        <f t="shared" si="143"/>
        <v>77113.7</v>
      </c>
      <c r="D788">
        <f t="shared" si="144"/>
        <v>2019</v>
      </c>
      <c r="E788">
        <f t="shared" si="145"/>
        <v>2</v>
      </c>
      <c r="F788" t="str">
        <f t="shared" si="147"/>
        <v>February</v>
      </c>
      <c r="G788">
        <f t="shared" si="146"/>
        <v>25</v>
      </c>
      <c r="H788" s="7">
        <f t="shared" si="148"/>
        <v>-1.1242902023758221</v>
      </c>
      <c r="I788" s="9">
        <f t="shared" si="149"/>
        <v>-1.1306581189007023E-2</v>
      </c>
      <c r="J788" s="9">
        <f t="shared" si="150"/>
        <v>78313.78857142858</v>
      </c>
      <c r="K788" s="9">
        <f t="shared" si="141"/>
        <v>78064.258666666676</v>
      </c>
      <c r="L788" s="9">
        <f t="shared" si="140"/>
        <v>76999.956111111125</v>
      </c>
      <c r="M788" s="9">
        <f t="shared" si="151"/>
        <v>6.8219795018656442E-3</v>
      </c>
      <c r="N788" s="9">
        <f t="shared" si="142"/>
        <v>8.5407199180675946E-3</v>
      </c>
    </row>
    <row r="789" spans="1:14" x14ac:dyDescent="0.35">
      <c r="A789" s="1">
        <v>43522</v>
      </c>
      <c r="B789" s="2" t="s">
        <v>789</v>
      </c>
      <c r="C789">
        <f t="shared" si="143"/>
        <v>76656.42</v>
      </c>
      <c r="D789">
        <f t="shared" si="144"/>
        <v>2019</v>
      </c>
      <c r="E789">
        <f t="shared" si="145"/>
        <v>2</v>
      </c>
      <c r="F789" t="str">
        <f t="shared" si="147"/>
        <v>February</v>
      </c>
      <c r="G789">
        <f t="shared" si="146"/>
        <v>26</v>
      </c>
      <c r="H789" s="7">
        <f t="shared" si="148"/>
        <v>-0.59299450032873391</v>
      </c>
      <c r="I789" s="9">
        <f t="shared" si="149"/>
        <v>-5.9475969451149675E-3</v>
      </c>
      <c r="J789" s="9">
        <f t="shared" si="150"/>
        <v>77936.88285714286</v>
      </c>
      <c r="K789" s="9">
        <f t="shared" si="141"/>
        <v>78061.197000000015</v>
      </c>
      <c r="L789" s="9">
        <f t="shared" si="140"/>
        <v>77025.302777777804</v>
      </c>
      <c r="M789" s="9">
        <f t="shared" si="151"/>
        <v>5.4460672816764363E-3</v>
      </c>
      <c r="N789" s="9">
        <f t="shared" si="142"/>
        <v>8.1891976529361969E-3</v>
      </c>
    </row>
    <row r="790" spans="1:14" x14ac:dyDescent="0.35">
      <c r="A790" s="1">
        <v>43523</v>
      </c>
      <c r="B790" s="2" t="s">
        <v>790</v>
      </c>
      <c r="C790">
        <f t="shared" si="143"/>
        <v>77458.58</v>
      </c>
      <c r="D790">
        <f t="shared" si="144"/>
        <v>2019</v>
      </c>
      <c r="E790">
        <f t="shared" si="145"/>
        <v>2</v>
      </c>
      <c r="F790" t="str">
        <f t="shared" si="147"/>
        <v>February</v>
      </c>
      <c r="G790">
        <f t="shared" si="146"/>
        <v>27</v>
      </c>
      <c r="H790" s="7">
        <f t="shared" si="148"/>
        <v>1.0464355105547631</v>
      </c>
      <c r="I790" s="9">
        <f t="shared" si="149"/>
        <v>1.0409982727302872E-2</v>
      </c>
      <c r="J790" s="9">
        <f t="shared" si="150"/>
        <v>77756.151428571422</v>
      </c>
      <c r="K790" s="9">
        <f t="shared" si="141"/>
        <v>78044.392000000007</v>
      </c>
      <c r="L790" s="9">
        <f t="shared" si="140"/>
        <v>77053.570111111141</v>
      </c>
      <c r="M790" s="9">
        <f t="shared" si="151"/>
        <v>7.7477795111743292E-3</v>
      </c>
      <c r="N790" s="9">
        <f t="shared" si="142"/>
        <v>7.8900787199665482E-3</v>
      </c>
    </row>
    <row r="791" spans="1:14" x14ac:dyDescent="0.35">
      <c r="A791" s="1">
        <v>43524</v>
      </c>
      <c r="B791" s="2" t="s">
        <v>791</v>
      </c>
      <c r="C791">
        <f t="shared" si="143"/>
        <v>76614.960000000006</v>
      </c>
      <c r="D791">
        <f t="shared" si="144"/>
        <v>2019</v>
      </c>
      <c r="E791">
        <f t="shared" si="145"/>
        <v>2</v>
      </c>
      <c r="F791" t="str">
        <f t="shared" si="147"/>
        <v>February</v>
      </c>
      <c r="G791">
        <f t="shared" si="146"/>
        <v>28</v>
      </c>
      <c r="H791" s="7">
        <f t="shared" si="148"/>
        <v>-1.0891240195727772</v>
      </c>
      <c r="I791" s="9">
        <f t="shared" si="149"/>
        <v>-1.0950983937198731E-2</v>
      </c>
      <c r="J791" s="9">
        <f t="shared" si="150"/>
        <v>77433.951428571439</v>
      </c>
      <c r="K791" s="9">
        <f t="shared" si="141"/>
        <v>77992.363333333327</v>
      </c>
      <c r="L791" s="9">
        <f t="shared" si="140"/>
        <v>77064.950000000026</v>
      </c>
      <c r="M791" s="9">
        <f t="shared" si="151"/>
        <v>8.1021839532127941E-3</v>
      </c>
      <c r="N791" s="9">
        <f t="shared" si="142"/>
        <v>8.1063309072714352E-3</v>
      </c>
    </row>
    <row r="792" spans="1:14" x14ac:dyDescent="0.35">
      <c r="A792" s="1">
        <v>43525</v>
      </c>
      <c r="B792" s="2" t="s">
        <v>792</v>
      </c>
      <c r="C792">
        <f t="shared" si="143"/>
        <v>76100.17</v>
      </c>
      <c r="D792">
        <f t="shared" si="144"/>
        <v>2019</v>
      </c>
      <c r="E792">
        <f t="shared" si="145"/>
        <v>3</v>
      </c>
      <c r="F792" t="str">
        <f t="shared" si="147"/>
        <v>March</v>
      </c>
      <c r="G792">
        <f t="shared" si="146"/>
        <v>1</v>
      </c>
      <c r="H792" s="7">
        <f t="shared" si="148"/>
        <v>-0.67191838251956026</v>
      </c>
      <c r="I792" s="9">
        <f t="shared" si="149"/>
        <v>-6.7418591711245583E-3</v>
      </c>
      <c r="J792" s="9">
        <f t="shared" si="150"/>
        <v>77096.437142857147</v>
      </c>
      <c r="K792" s="9">
        <f t="shared" si="141"/>
        <v>77940.103666666662</v>
      </c>
      <c r="L792" s="9">
        <f t="shared" si="140"/>
        <v>77064.275555555578</v>
      </c>
      <c r="M792" s="9">
        <f t="shared" si="151"/>
        <v>8.1567464962559438E-3</v>
      </c>
      <c r="N792" s="9">
        <f t="shared" si="142"/>
        <v>8.1120091129325347E-3</v>
      </c>
    </row>
    <row r="793" spans="1:14" x14ac:dyDescent="0.35">
      <c r="A793" s="1">
        <v>43528</v>
      </c>
      <c r="B793" s="2" t="s">
        <v>793</v>
      </c>
      <c r="C793">
        <f t="shared" si="143"/>
        <v>76704.63</v>
      </c>
      <c r="D793">
        <f t="shared" si="144"/>
        <v>2019</v>
      </c>
      <c r="E793">
        <f t="shared" si="145"/>
        <v>3</v>
      </c>
      <c r="F793" t="str">
        <f t="shared" si="147"/>
        <v>March</v>
      </c>
      <c r="G793">
        <f t="shared" si="146"/>
        <v>4</v>
      </c>
      <c r="H793" s="7">
        <f t="shared" si="148"/>
        <v>0.79429520328273429</v>
      </c>
      <c r="I793" s="9">
        <f t="shared" si="149"/>
        <v>7.911572842079384E-3</v>
      </c>
      <c r="J793" s="9">
        <f t="shared" si="150"/>
        <v>76948.428571428565</v>
      </c>
      <c r="K793" s="9">
        <f t="shared" si="141"/>
        <v>77883.899999999994</v>
      </c>
      <c r="L793" s="9">
        <f t="shared" si="140"/>
        <v>77061.279666666669</v>
      </c>
      <c r="M793" s="9">
        <f t="shared" si="151"/>
        <v>8.9826740278277015E-3</v>
      </c>
      <c r="N793" s="9">
        <f t="shared" si="142"/>
        <v>8.0584672358034442E-3</v>
      </c>
    </row>
    <row r="794" spans="1:14" x14ac:dyDescent="0.35">
      <c r="A794" s="1">
        <v>43529</v>
      </c>
      <c r="B794" s="2" t="s">
        <v>794</v>
      </c>
      <c r="C794">
        <f t="shared" si="143"/>
        <v>76480.11</v>
      </c>
      <c r="D794">
        <f t="shared" si="144"/>
        <v>2019</v>
      </c>
      <c r="E794">
        <f t="shared" si="145"/>
        <v>3</v>
      </c>
      <c r="F794" t="str">
        <f t="shared" si="147"/>
        <v>March</v>
      </c>
      <c r="G794">
        <f t="shared" si="146"/>
        <v>5</v>
      </c>
      <c r="H794" s="7">
        <f t="shared" si="148"/>
        <v>-0.29270723292714412</v>
      </c>
      <c r="I794" s="9">
        <f t="shared" si="149"/>
        <v>-2.9313645833535526E-3</v>
      </c>
      <c r="J794" s="9">
        <f t="shared" si="150"/>
        <v>76732.652857142864</v>
      </c>
      <c r="K794" s="9">
        <f t="shared" si="141"/>
        <v>77834.136333333328</v>
      </c>
      <c r="L794" s="9">
        <f t="shared" si="140"/>
        <v>77047.17333333334</v>
      </c>
      <c r="M794" s="9">
        <f t="shared" si="151"/>
        <v>8.6939107977144336E-3</v>
      </c>
      <c r="N794" s="9">
        <f t="shared" si="142"/>
        <v>8.0227601985034761E-3</v>
      </c>
    </row>
    <row r="795" spans="1:14" x14ac:dyDescent="0.35">
      <c r="A795" s="1">
        <v>43530</v>
      </c>
      <c r="B795" s="2" t="s">
        <v>795</v>
      </c>
      <c r="C795">
        <f t="shared" si="143"/>
        <v>76047.34</v>
      </c>
      <c r="D795">
        <f t="shared" si="144"/>
        <v>2019</v>
      </c>
      <c r="E795">
        <f t="shared" si="145"/>
        <v>3</v>
      </c>
      <c r="F795" t="str">
        <f t="shared" si="147"/>
        <v>March</v>
      </c>
      <c r="G795">
        <f t="shared" si="146"/>
        <v>6</v>
      </c>
      <c r="H795" s="7">
        <f t="shared" si="148"/>
        <v>-0.56585954178152209</v>
      </c>
      <c r="I795" s="9">
        <f t="shared" si="149"/>
        <v>-5.6746659218608105E-3</v>
      </c>
      <c r="J795" s="9">
        <f t="shared" si="150"/>
        <v>76580.315714285709</v>
      </c>
      <c r="K795" s="9">
        <f t="shared" si="141"/>
        <v>77760.325999999986</v>
      </c>
      <c r="L795" s="9">
        <f t="shared" si="140"/>
        <v>77038.39444444445</v>
      </c>
      <c r="M795" s="9">
        <f t="shared" si="151"/>
        <v>8.0083874282939668E-3</v>
      </c>
      <c r="N795" s="9">
        <f t="shared" si="142"/>
        <v>8.0303820852689282E-3</v>
      </c>
    </row>
    <row r="796" spans="1:14" x14ac:dyDescent="0.35">
      <c r="A796" s="1">
        <v>43531</v>
      </c>
      <c r="B796" s="2" t="s">
        <v>796</v>
      </c>
      <c r="C796">
        <f t="shared" si="143"/>
        <v>75283.679999999993</v>
      </c>
      <c r="D796">
        <f t="shared" si="144"/>
        <v>2019</v>
      </c>
      <c r="E796">
        <f t="shared" si="145"/>
        <v>3</v>
      </c>
      <c r="F796" t="str">
        <f t="shared" si="147"/>
        <v>March</v>
      </c>
      <c r="G796">
        <f t="shared" si="146"/>
        <v>7</v>
      </c>
      <c r="H796" s="7">
        <f t="shared" si="148"/>
        <v>-1.0041902846306043</v>
      </c>
      <c r="I796" s="9">
        <f t="shared" si="149"/>
        <v>-1.0092662856656215E-2</v>
      </c>
      <c r="J796" s="9">
        <f t="shared" si="150"/>
        <v>76384.209999999992</v>
      </c>
      <c r="K796" s="9">
        <f t="shared" si="141"/>
        <v>77658.775333333324</v>
      </c>
      <c r="L796" s="9">
        <f t="shared" ref="L796:L859" si="152">AVERAGE(C707:C796)</f>
        <v>77019.171555555557</v>
      </c>
      <c r="M796" s="9">
        <f t="shared" si="151"/>
        <v>8.4886954140820318E-3</v>
      </c>
      <c r="N796" s="9">
        <f t="shared" si="142"/>
        <v>8.192137330963703E-3</v>
      </c>
    </row>
    <row r="797" spans="1:14" x14ac:dyDescent="0.35">
      <c r="A797" s="1">
        <v>43532</v>
      </c>
      <c r="B797" s="2" t="s">
        <v>797</v>
      </c>
      <c r="C797">
        <f t="shared" si="143"/>
        <v>74695.039999999994</v>
      </c>
      <c r="D797">
        <f t="shared" si="144"/>
        <v>2019</v>
      </c>
      <c r="E797">
        <f t="shared" si="145"/>
        <v>3</v>
      </c>
      <c r="F797" t="str">
        <f t="shared" si="147"/>
        <v>March</v>
      </c>
      <c r="G797">
        <f t="shared" si="146"/>
        <v>8</v>
      </c>
      <c r="H797" s="7">
        <f t="shared" si="148"/>
        <v>-0.78189589031779461</v>
      </c>
      <c r="I797" s="9">
        <f t="shared" si="149"/>
        <v>-7.8496872428977793E-3</v>
      </c>
      <c r="J797" s="9">
        <f t="shared" si="150"/>
        <v>75989.418571428556</v>
      </c>
      <c r="K797" s="9">
        <f t="shared" si="141"/>
        <v>77582.038</v>
      </c>
      <c r="L797" s="9">
        <f t="shared" si="152"/>
        <v>76993.998555555561</v>
      </c>
      <c r="M797" s="9">
        <f t="shared" si="151"/>
        <v>6.3730524874633498E-3</v>
      </c>
      <c r="N797" s="9">
        <f t="shared" si="142"/>
        <v>7.7347315589242748E-3</v>
      </c>
    </row>
    <row r="798" spans="1:14" x14ac:dyDescent="0.35">
      <c r="A798" s="1">
        <v>43535</v>
      </c>
      <c r="B798" s="2" t="s">
        <v>798</v>
      </c>
      <c r="C798">
        <f t="shared" si="143"/>
        <v>75585.23</v>
      </c>
      <c r="D798">
        <f t="shared" si="144"/>
        <v>2019</v>
      </c>
      <c r="E798">
        <f t="shared" si="145"/>
        <v>3</v>
      </c>
      <c r="F798" t="str">
        <f t="shared" si="147"/>
        <v>March</v>
      </c>
      <c r="G798">
        <f t="shared" si="146"/>
        <v>11</v>
      </c>
      <c r="H798" s="7">
        <f t="shared" si="148"/>
        <v>1.1917658789659962</v>
      </c>
      <c r="I798" s="9">
        <f t="shared" si="149"/>
        <v>1.184720272262438E-2</v>
      </c>
      <c r="J798" s="9">
        <f t="shared" si="150"/>
        <v>75842.314285714281</v>
      </c>
      <c r="K798" s="9">
        <f t="shared" si="141"/>
        <v>77509.044999999998</v>
      </c>
      <c r="L798" s="9">
        <f t="shared" si="152"/>
        <v>76981.087777777779</v>
      </c>
      <c r="M798" s="9">
        <f t="shared" si="151"/>
        <v>8.4312791595070671E-3</v>
      </c>
      <c r="N798" s="9">
        <f t="shared" si="142"/>
        <v>7.8296525085446139E-3</v>
      </c>
    </row>
    <row r="799" spans="1:14" x14ac:dyDescent="0.35">
      <c r="A799" s="1">
        <v>43536</v>
      </c>
      <c r="B799" s="2" t="s">
        <v>799</v>
      </c>
      <c r="C799">
        <f t="shared" si="143"/>
        <v>75243.44</v>
      </c>
      <c r="D799">
        <f t="shared" si="144"/>
        <v>2019</v>
      </c>
      <c r="E799">
        <f t="shared" si="145"/>
        <v>3</v>
      </c>
      <c r="F799" t="str">
        <f t="shared" si="147"/>
        <v>March</v>
      </c>
      <c r="G799">
        <f t="shared" si="146"/>
        <v>12</v>
      </c>
      <c r="H799" s="7">
        <f t="shared" si="148"/>
        <v>-0.45219151942779512</v>
      </c>
      <c r="I799" s="9">
        <f t="shared" si="149"/>
        <v>-4.5321699786443131E-3</v>
      </c>
      <c r="J799" s="9">
        <f t="shared" si="150"/>
        <v>75719.924285714282</v>
      </c>
      <c r="K799" s="9">
        <f t="shared" si="141"/>
        <v>77424.597333333353</v>
      </c>
      <c r="L799" s="9">
        <f t="shared" si="152"/>
        <v>76967.37911111112</v>
      </c>
      <c r="M799" s="9">
        <f t="shared" si="151"/>
        <v>8.2608729198343066E-3</v>
      </c>
      <c r="N799" s="9">
        <f t="shared" si="142"/>
        <v>7.8542192506052058E-3</v>
      </c>
    </row>
    <row r="800" spans="1:14" x14ac:dyDescent="0.35">
      <c r="A800" s="1">
        <v>43537</v>
      </c>
      <c r="B800" s="2" t="s">
        <v>800</v>
      </c>
      <c r="C800">
        <f t="shared" si="143"/>
        <v>74271.06</v>
      </c>
      <c r="D800">
        <f t="shared" si="144"/>
        <v>2019</v>
      </c>
      <c r="E800">
        <f t="shared" si="145"/>
        <v>3</v>
      </c>
      <c r="F800" t="str">
        <f t="shared" si="147"/>
        <v>March</v>
      </c>
      <c r="G800">
        <f t="shared" si="146"/>
        <v>13</v>
      </c>
      <c r="H800" s="7">
        <f t="shared" si="148"/>
        <v>-1.2923119942416303</v>
      </c>
      <c r="I800" s="9">
        <f t="shared" si="149"/>
        <v>-1.300734991993921E-2</v>
      </c>
      <c r="J800" s="9">
        <f t="shared" si="150"/>
        <v>75372.271428571417</v>
      </c>
      <c r="K800" s="9">
        <f t="shared" ref="K800:K863" si="153">AVERAGE(C771:C800)</f>
        <v>77281.221666666679</v>
      </c>
      <c r="L800" s="9">
        <f t="shared" si="152"/>
        <v>76918.814111111118</v>
      </c>
      <c r="M800" s="9">
        <f t="shared" si="151"/>
        <v>8.0194288845114436E-3</v>
      </c>
      <c r="N800" s="9">
        <f t="shared" si="142"/>
        <v>7.8466523354097442E-3</v>
      </c>
    </row>
    <row r="801" spans="1:14" x14ac:dyDescent="0.35">
      <c r="A801" s="1">
        <v>43538</v>
      </c>
      <c r="B801" s="2" t="s">
        <v>801</v>
      </c>
      <c r="C801">
        <f t="shared" si="143"/>
        <v>72527.92</v>
      </c>
      <c r="D801">
        <f t="shared" si="144"/>
        <v>2019</v>
      </c>
      <c r="E801">
        <f t="shared" si="145"/>
        <v>3</v>
      </c>
      <c r="F801" t="str">
        <f t="shared" si="147"/>
        <v>March</v>
      </c>
      <c r="G801">
        <f t="shared" si="146"/>
        <v>14</v>
      </c>
      <c r="H801" s="7">
        <f t="shared" si="148"/>
        <v>-2.3469976057969277</v>
      </c>
      <c r="I801" s="9">
        <f t="shared" si="149"/>
        <v>-2.3749782653652452E-2</v>
      </c>
      <c r="J801" s="9">
        <f t="shared" si="150"/>
        <v>74807.672857142854</v>
      </c>
      <c r="K801" s="9">
        <f t="shared" si="153"/>
        <v>77094.393333333326</v>
      </c>
      <c r="L801" s="9">
        <f t="shared" si="152"/>
        <v>76847.147777777791</v>
      </c>
      <c r="M801" s="9">
        <f t="shared" si="151"/>
        <v>1.0705450133481006E-2</v>
      </c>
      <c r="N801" s="9">
        <f t="shared" ref="N801:N864" si="154">STDEV(I772:I801)</f>
        <v>8.7868584154879407E-3</v>
      </c>
    </row>
    <row r="802" spans="1:14" x14ac:dyDescent="0.35">
      <c r="A802" s="1">
        <v>43539</v>
      </c>
      <c r="B802" s="2" t="s">
        <v>802</v>
      </c>
      <c r="C802">
        <f t="shared" si="143"/>
        <v>72905.5</v>
      </c>
      <c r="D802">
        <f t="shared" si="144"/>
        <v>2019</v>
      </c>
      <c r="E802">
        <f t="shared" si="145"/>
        <v>3</v>
      </c>
      <c r="F802" t="str">
        <f t="shared" si="147"/>
        <v>March</v>
      </c>
      <c r="G802">
        <f t="shared" si="146"/>
        <v>15</v>
      </c>
      <c r="H802" s="7">
        <f t="shared" si="148"/>
        <v>0.52059951533147752</v>
      </c>
      <c r="I802" s="9">
        <f t="shared" si="149"/>
        <v>5.1924908093025218E-3</v>
      </c>
      <c r="J802" s="9">
        <f t="shared" si="150"/>
        <v>74358.838571428569</v>
      </c>
      <c r="K802" s="9">
        <f t="shared" si="153"/>
        <v>76948.872333333318</v>
      </c>
      <c r="L802" s="9">
        <f t="shared" si="152"/>
        <v>76784.91</v>
      </c>
      <c r="M802" s="9">
        <f t="shared" si="151"/>
        <v>1.1763451348521159E-2</v>
      </c>
      <c r="N802" s="9">
        <f t="shared" si="154"/>
        <v>8.7395493330705391E-3</v>
      </c>
    </row>
    <row r="803" spans="1:14" x14ac:dyDescent="0.35">
      <c r="A803" s="1">
        <v>43542</v>
      </c>
      <c r="B803" s="2" t="s">
        <v>803</v>
      </c>
      <c r="C803">
        <f t="shared" si="143"/>
        <v>72895.539999999994</v>
      </c>
      <c r="D803">
        <f t="shared" si="144"/>
        <v>2019</v>
      </c>
      <c r="E803">
        <f t="shared" si="145"/>
        <v>3</v>
      </c>
      <c r="F803" t="str">
        <f t="shared" si="147"/>
        <v>March</v>
      </c>
      <c r="G803">
        <f t="shared" si="146"/>
        <v>18</v>
      </c>
      <c r="H803" s="7">
        <f t="shared" si="148"/>
        <v>-1.3661520735755743E-2</v>
      </c>
      <c r="I803" s="9">
        <f t="shared" si="149"/>
        <v>-1.3662454006497016E-4</v>
      </c>
      <c r="J803" s="9">
        <f t="shared" si="150"/>
        <v>74017.67571428571</v>
      </c>
      <c r="K803" s="9">
        <f t="shared" si="153"/>
        <v>76771.437000000005</v>
      </c>
      <c r="L803" s="9">
        <f t="shared" si="152"/>
        <v>76725.224333333332</v>
      </c>
      <c r="M803" s="9">
        <f t="shared" si="151"/>
        <v>1.1791859241749858E-2</v>
      </c>
      <c r="N803" s="9">
        <f t="shared" si="154"/>
        <v>8.332867183050369E-3</v>
      </c>
    </row>
    <row r="804" spans="1:14" x14ac:dyDescent="0.35">
      <c r="A804" s="1">
        <v>43543</v>
      </c>
      <c r="B804" s="2" t="s">
        <v>804</v>
      </c>
      <c r="C804">
        <f t="shared" si="143"/>
        <v>75008.679999999993</v>
      </c>
      <c r="D804">
        <f t="shared" si="144"/>
        <v>2019</v>
      </c>
      <c r="E804">
        <f t="shared" si="145"/>
        <v>3</v>
      </c>
      <c r="F804" t="str">
        <f t="shared" si="147"/>
        <v>March</v>
      </c>
      <c r="G804">
        <f t="shared" si="146"/>
        <v>19</v>
      </c>
      <c r="H804" s="7">
        <f t="shared" si="148"/>
        <v>2.8988604789812924</v>
      </c>
      <c r="I804" s="9">
        <f t="shared" si="149"/>
        <v>2.857638272821655E-2</v>
      </c>
      <c r="J804" s="9">
        <f t="shared" si="150"/>
        <v>74062.481428571424</v>
      </c>
      <c r="K804" s="9">
        <f t="shared" si="153"/>
        <v>76687.296333333332</v>
      </c>
      <c r="L804" s="9">
        <f t="shared" si="152"/>
        <v>76697.027666666676</v>
      </c>
      <c r="M804" s="9">
        <f t="shared" si="151"/>
        <v>1.7005990067898619E-2</v>
      </c>
      <c r="N804" s="9">
        <f t="shared" si="154"/>
        <v>9.9685839397540242E-3</v>
      </c>
    </row>
    <row r="805" spans="1:14" x14ac:dyDescent="0.35">
      <c r="A805" s="1">
        <v>43544</v>
      </c>
      <c r="B805" s="2" t="s">
        <v>805</v>
      </c>
      <c r="C805">
        <f t="shared" si="143"/>
        <v>75502.28</v>
      </c>
      <c r="D805">
        <f t="shared" si="144"/>
        <v>2019</v>
      </c>
      <c r="E805">
        <f t="shared" si="145"/>
        <v>3</v>
      </c>
      <c r="F805" t="str">
        <f t="shared" si="147"/>
        <v>March</v>
      </c>
      <c r="G805">
        <f t="shared" si="146"/>
        <v>20</v>
      </c>
      <c r="H805" s="7">
        <f t="shared" si="148"/>
        <v>0.6580571741830491</v>
      </c>
      <c r="I805" s="9">
        <f t="shared" si="149"/>
        <v>6.5590143014468251E-3</v>
      </c>
      <c r="J805" s="9">
        <f t="shared" si="150"/>
        <v>74050.631428571418</v>
      </c>
      <c r="K805" s="9">
        <f t="shared" si="153"/>
        <v>76596.759999999995</v>
      </c>
      <c r="L805" s="9">
        <f t="shared" si="152"/>
        <v>76674.546111111122</v>
      </c>
      <c r="M805" s="9">
        <f t="shared" si="151"/>
        <v>1.6533917648272421E-2</v>
      </c>
      <c r="N805" s="9">
        <f t="shared" si="154"/>
        <v>9.8998997161001256E-3</v>
      </c>
    </row>
    <row r="806" spans="1:14" x14ac:dyDescent="0.35">
      <c r="A806" s="1">
        <v>43546</v>
      </c>
      <c r="B806" s="2" t="s">
        <v>806</v>
      </c>
      <c r="C806">
        <f t="shared" si="143"/>
        <v>76454.36</v>
      </c>
      <c r="D806">
        <f t="shared" si="144"/>
        <v>2019</v>
      </c>
      <c r="E806">
        <f t="shared" si="145"/>
        <v>3</v>
      </c>
      <c r="F806" t="str">
        <f t="shared" si="147"/>
        <v>March</v>
      </c>
      <c r="G806">
        <f t="shared" si="146"/>
        <v>22</v>
      </c>
      <c r="H806" s="7">
        <f t="shared" si="148"/>
        <v>1.2609950322030032</v>
      </c>
      <c r="I806" s="9">
        <f t="shared" si="149"/>
        <v>1.2531107013420818E-2</v>
      </c>
      <c r="J806" s="9">
        <f t="shared" si="150"/>
        <v>74223.62</v>
      </c>
      <c r="K806" s="9">
        <f t="shared" si="153"/>
        <v>76541.167999999991</v>
      </c>
      <c r="L806" s="9">
        <f t="shared" si="152"/>
        <v>76671.082666666684</v>
      </c>
      <c r="M806" s="9">
        <f t="shared" si="151"/>
        <v>1.7031687274583589E-2</v>
      </c>
      <c r="N806" s="9">
        <f t="shared" si="154"/>
        <v>1.0211314348285776E-2</v>
      </c>
    </row>
    <row r="807" spans="1:14" x14ac:dyDescent="0.35">
      <c r="A807" s="1">
        <v>43549</v>
      </c>
      <c r="B807" s="2" t="s">
        <v>807</v>
      </c>
      <c r="C807">
        <f t="shared" si="143"/>
        <v>77664.05</v>
      </c>
      <c r="D807">
        <f t="shared" si="144"/>
        <v>2019</v>
      </c>
      <c r="E807">
        <f t="shared" si="145"/>
        <v>3</v>
      </c>
      <c r="F807" t="str">
        <f t="shared" si="147"/>
        <v>March</v>
      </c>
      <c r="G807">
        <f t="shared" si="146"/>
        <v>25</v>
      </c>
      <c r="H807" s="7">
        <f t="shared" si="148"/>
        <v>1.5822380829556382</v>
      </c>
      <c r="I807" s="9">
        <f t="shared" si="149"/>
        <v>1.5698511854986677E-2</v>
      </c>
      <c r="J807" s="9">
        <f t="shared" si="150"/>
        <v>74708.332857142843</v>
      </c>
      <c r="K807" s="9">
        <f t="shared" si="153"/>
        <v>76533.598666666643</v>
      </c>
      <c r="L807" s="9">
        <f t="shared" si="152"/>
        <v>76680.387333333347</v>
      </c>
      <c r="M807" s="9">
        <f t="shared" si="151"/>
        <v>1.6171284177260485E-2</v>
      </c>
      <c r="N807" s="9">
        <f t="shared" si="154"/>
        <v>1.0629772963423529E-2</v>
      </c>
    </row>
    <row r="808" spans="1:14" x14ac:dyDescent="0.35">
      <c r="A808" s="1">
        <v>43550</v>
      </c>
      <c r="B808" s="2" t="s">
        <v>808</v>
      </c>
      <c r="C808">
        <f t="shared" si="143"/>
        <v>77741.83</v>
      </c>
      <c r="D808">
        <f t="shared" si="144"/>
        <v>2019</v>
      </c>
      <c r="E808">
        <f t="shared" si="145"/>
        <v>3</v>
      </c>
      <c r="F808" t="str">
        <f t="shared" si="147"/>
        <v>March</v>
      </c>
      <c r="G808">
        <f t="shared" si="146"/>
        <v>26</v>
      </c>
      <c r="H808" s="7">
        <f t="shared" si="148"/>
        <v>0.10014929687545115</v>
      </c>
      <c r="I808" s="9">
        <f t="shared" si="149"/>
        <v>1.0009918092485186E-3</v>
      </c>
      <c r="J808" s="9">
        <f t="shared" si="150"/>
        <v>75453.177142857137</v>
      </c>
      <c r="K808" s="9">
        <f t="shared" si="153"/>
        <v>76520.94733333333</v>
      </c>
      <c r="L808" s="9">
        <f t="shared" si="152"/>
        <v>76688.442888888909</v>
      </c>
      <c r="M808" s="9">
        <f t="shared" si="151"/>
        <v>1.0021640092984504E-2</v>
      </c>
      <c r="N808" s="9">
        <f t="shared" si="154"/>
        <v>1.0616437995558574E-2</v>
      </c>
    </row>
    <row r="809" spans="1:14" x14ac:dyDescent="0.35">
      <c r="A809" s="1">
        <v>43551</v>
      </c>
      <c r="B809" s="2" t="s">
        <v>809</v>
      </c>
      <c r="C809">
        <f t="shared" si="143"/>
        <v>78556.539999999994</v>
      </c>
      <c r="D809">
        <f t="shared" si="144"/>
        <v>2019</v>
      </c>
      <c r="E809">
        <f t="shared" si="145"/>
        <v>3</v>
      </c>
      <c r="F809" t="str">
        <f t="shared" si="147"/>
        <v>March</v>
      </c>
      <c r="G809">
        <f t="shared" si="146"/>
        <v>27</v>
      </c>
      <c r="H809" s="7">
        <f t="shared" si="148"/>
        <v>1.0479686418495575</v>
      </c>
      <c r="I809" s="9">
        <f t="shared" si="149"/>
        <v>1.0425155154280686E-2</v>
      </c>
      <c r="J809" s="9">
        <f t="shared" si="150"/>
        <v>76260.468571428573</v>
      </c>
      <c r="K809" s="9">
        <f t="shared" si="153"/>
        <v>76542.46666666666</v>
      </c>
      <c r="L809" s="9">
        <f t="shared" si="152"/>
        <v>76704.838111111123</v>
      </c>
      <c r="M809" s="9">
        <f t="shared" si="151"/>
        <v>9.8032394247022665E-3</v>
      </c>
      <c r="N809" s="9">
        <f t="shared" si="154"/>
        <v>1.0777506444487467E-2</v>
      </c>
    </row>
    <row r="810" spans="1:14" x14ac:dyDescent="0.35">
      <c r="A810" s="1">
        <v>43552</v>
      </c>
      <c r="B810" s="2" t="s">
        <v>810</v>
      </c>
      <c r="C810">
        <f t="shared" si="143"/>
        <v>78697.83</v>
      </c>
      <c r="D810">
        <f t="shared" si="144"/>
        <v>2019</v>
      </c>
      <c r="E810">
        <f t="shared" si="145"/>
        <v>3</v>
      </c>
      <c r="F810" t="str">
        <f t="shared" si="147"/>
        <v>March</v>
      </c>
      <c r="G810">
        <f t="shared" si="146"/>
        <v>28</v>
      </c>
      <c r="H810" s="7">
        <f t="shared" si="148"/>
        <v>0.17985771776609327</v>
      </c>
      <c r="I810" s="9">
        <f t="shared" si="149"/>
        <v>1.7969616745103088E-3</v>
      </c>
      <c r="J810" s="9">
        <f t="shared" si="150"/>
        <v>77089.36714285714</v>
      </c>
      <c r="K810" s="9">
        <f t="shared" si="153"/>
        <v>76536.285666666678</v>
      </c>
      <c r="L810" s="9">
        <f t="shared" si="152"/>
        <v>76722.607888888902</v>
      </c>
      <c r="M810" s="9">
        <f t="shared" si="151"/>
        <v>9.4697252463830182E-3</v>
      </c>
      <c r="N810" s="9">
        <f t="shared" si="154"/>
        <v>1.0537256439942978E-2</v>
      </c>
    </row>
    <row r="811" spans="1:14" x14ac:dyDescent="0.35">
      <c r="A811" s="1">
        <v>43553</v>
      </c>
      <c r="B811" s="2" t="s">
        <v>811</v>
      </c>
      <c r="C811">
        <f t="shared" si="143"/>
        <v>78293.009999999995</v>
      </c>
      <c r="D811">
        <f t="shared" si="144"/>
        <v>2019</v>
      </c>
      <c r="E811">
        <f t="shared" si="145"/>
        <v>3</v>
      </c>
      <c r="F811" t="str">
        <f t="shared" si="147"/>
        <v>March</v>
      </c>
      <c r="G811">
        <f t="shared" si="146"/>
        <v>29</v>
      </c>
      <c r="H811" s="7">
        <f t="shared" si="148"/>
        <v>-0.51439791923107281</v>
      </c>
      <c r="I811" s="9">
        <f t="shared" si="149"/>
        <v>-5.1572549998307885E-3</v>
      </c>
      <c r="J811" s="9">
        <f t="shared" si="150"/>
        <v>77558.557142857142</v>
      </c>
      <c r="K811" s="9">
        <f t="shared" si="153"/>
        <v>76519.490666666665</v>
      </c>
      <c r="L811" s="9">
        <f t="shared" si="152"/>
        <v>76734.157888888905</v>
      </c>
      <c r="M811" s="9">
        <f t="shared" si="151"/>
        <v>7.3444608665727742E-3</v>
      </c>
      <c r="N811" s="9">
        <f t="shared" si="154"/>
        <v>1.0576794199827691E-2</v>
      </c>
    </row>
    <row r="812" spans="1:14" x14ac:dyDescent="0.35">
      <c r="A812" s="1">
        <v>43556</v>
      </c>
      <c r="B812" s="2" t="s">
        <v>812</v>
      </c>
      <c r="C812">
        <f t="shared" si="143"/>
        <v>77547.009999999995</v>
      </c>
      <c r="D812">
        <f t="shared" si="144"/>
        <v>2019</v>
      </c>
      <c r="E812">
        <f t="shared" si="145"/>
        <v>4</v>
      </c>
      <c r="F812" t="str">
        <f t="shared" si="147"/>
        <v>April</v>
      </c>
      <c r="G812">
        <f t="shared" si="146"/>
        <v>1</v>
      </c>
      <c r="H812" s="7">
        <f t="shared" si="148"/>
        <v>-0.95283091044781665</v>
      </c>
      <c r="I812" s="9">
        <f t="shared" si="149"/>
        <v>-9.5739938723368931E-3</v>
      </c>
      <c r="J812" s="9">
        <f t="shared" si="150"/>
        <v>77850.661428571431</v>
      </c>
      <c r="K812" s="9">
        <f t="shared" si="153"/>
        <v>76461.232333333319</v>
      </c>
      <c r="L812" s="9">
        <f t="shared" si="152"/>
        <v>76731.896777777802</v>
      </c>
      <c r="M812" s="9">
        <f t="shared" si="151"/>
        <v>9.4219612725156016E-3</v>
      </c>
      <c r="N812" s="9">
        <f t="shared" si="154"/>
        <v>1.0636611300576759E-2</v>
      </c>
    </row>
    <row r="813" spans="1:14" x14ac:dyDescent="0.35">
      <c r="A813" s="1">
        <v>43557</v>
      </c>
      <c r="B813" s="2" t="s">
        <v>813</v>
      </c>
      <c r="C813">
        <f t="shared" si="143"/>
        <v>78631.45</v>
      </c>
      <c r="D813">
        <f t="shared" si="144"/>
        <v>2019</v>
      </c>
      <c r="E813">
        <f t="shared" si="145"/>
        <v>4</v>
      </c>
      <c r="F813" t="str">
        <f t="shared" si="147"/>
        <v>April</v>
      </c>
      <c r="G813">
        <f t="shared" si="146"/>
        <v>2</v>
      </c>
      <c r="H813" s="7">
        <f t="shared" si="148"/>
        <v>1.3984291592931855</v>
      </c>
      <c r="I813" s="9">
        <f t="shared" si="149"/>
        <v>1.3887413523288211E-2</v>
      </c>
      <c r="J813" s="9">
        <f t="shared" si="150"/>
        <v>78161.674285714282</v>
      </c>
      <c r="K813" s="9">
        <f t="shared" si="153"/>
        <v>76458.157333333336</v>
      </c>
      <c r="L813" s="9">
        <f t="shared" si="152"/>
        <v>76746.498888888906</v>
      </c>
      <c r="M813" s="9">
        <f t="shared" si="151"/>
        <v>9.6423885091389289E-3</v>
      </c>
      <c r="N813" s="9">
        <f t="shared" si="154"/>
        <v>1.0888334452828524E-2</v>
      </c>
    </row>
    <row r="814" spans="1:14" x14ac:dyDescent="0.35">
      <c r="A814" s="1">
        <v>43558</v>
      </c>
      <c r="B814" s="2" t="s">
        <v>814</v>
      </c>
      <c r="C814">
        <f t="shared" si="143"/>
        <v>77733.87</v>
      </c>
      <c r="D814">
        <f t="shared" si="144"/>
        <v>2019</v>
      </c>
      <c r="E814">
        <f t="shared" si="145"/>
        <v>4</v>
      </c>
      <c r="F814" t="str">
        <f t="shared" si="147"/>
        <v>April</v>
      </c>
      <c r="G814">
        <f t="shared" si="146"/>
        <v>3</v>
      </c>
      <c r="H814" s="7">
        <f t="shared" si="148"/>
        <v>-1.1415025412859636</v>
      </c>
      <c r="I814" s="9">
        <f t="shared" si="149"/>
        <v>-1.1480676902565629E-2</v>
      </c>
      <c r="J814" s="9">
        <f t="shared" si="150"/>
        <v>78171.648571428581</v>
      </c>
      <c r="K814" s="9">
        <f t="shared" si="153"/>
        <v>76420.274333333349</v>
      </c>
      <c r="L814" s="9">
        <f t="shared" si="152"/>
        <v>76759.71088888892</v>
      </c>
      <c r="M814" s="9">
        <f t="shared" si="151"/>
        <v>9.6239665810880955E-3</v>
      </c>
      <c r="N814" s="9">
        <f t="shared" si="154"/>
        <v>1.1078846364272104E-2</v>
      </c>
    </row>
    <row r="815" spans="1:14" x14ac:dyDescent="0.35">
      <c r="A815" s="1">
        <v>43559</v>
      </c>
      <c r="B815" s="2" t="s">
        <v>815</v>
      </c>
      <c r="C815">
        <f t="shared" si="143"/>
        <v>77513.78</v>
      </c>
      <c r="D815">
        <f t="shared" si="144"/>
        <v>2019</v>
      </c>
      <c r="E815">
        <f t="shared" si="145"/>
        <v>4</v>
      </c>
      <c r="F815" t="str">
        <f t="shared" si="147"/>
        <v>April</v>
      </c>
      <c r="G815">
        <f t="shared" si="146"/>
        <v>4</v>
      </c>
      <c r="H815" s="7">
        <f t="shared" si="148"/>
        <v>-0.28313269363791682</v>
      </c>
      <c r="I815" s="9">
        <f t="shared" si="149"/>
        <v>-2.8353427242863625E-3</v>
      </c>
      <c r="J815" s="9">
        <f t="shared" si="150"/>
        <v>78139.069999999992</v>
      </c>
      <c r="K815" s="9">
        <f t="shared" si="153"/>
        <v>76388.641333333348</v>
      </c>
      <c r="L815" s="9">
        <f t="shared" si="152"/>
        <v>76789.013000000035</v>
      </c>
      <c r="M815" s="9">
        <f t="shared" si="151"/>
        <v>9.675088571076922E-3</v>
      </c>
      <c r="N815" s="9">
        <f t="shared" si="154"/>
        <v>1.1052795923122813E-2</v>
      </c>
    </row>
    <row r="816" spans="1:14" x14ac:dyDescent="0.35">
      <c r="A816" s="1">
        <v>43560</v>
      </c>
      <c r="B816" s="2" t="s">
        <v>816</v>
      </c>
      <c r="C816">
        <f t="shared" si="143"/>
        <v>76937.77</v>
      </c>
      <c r="D816">
        <f t="shared" si="144"/>
        <v>2019</v>
      </c>
      <c r="E816">
        <f t="shared" si="145"/>
        <v>4</v>
      </c>
      <c r="F816" t="str">
        <f t="shared" si="147"/>
        <v>April</v>
      </c>
      <c r="G816">
        <f t="shared" si="146"/>
        <v>5</v>
      </c>
      <c r="H816" s="7">
        <f t="shared" si="148"/>
        <v>-0.74310658053315781</v>
      </c>
      <c r="I816" s="9">
        <f t="shared" si="149"/>
        <v>-7.4588137247076644E-3</v>
      </c>
      <c r="J816" s="9">
        <f t="shared" si="150"/>
        <v>77907.817142857137</v>
      </c>
      <c r="K816" s="9">
        <f t="shared" si="153"/>
        <v>76361.877333333323</v>
      </c>
      <c r="L816" s="9">
        <f t="shared" si="152"/>
        <v>76817.810666666686</v>
      </c>
      <c r="M816" s="9">
        <f t="shared" si="151"/>
        <v>8.6399478466700711E-3</v>
      </c>
      <c r="N816" s="9">
        <f t="shared" si="154"/>
        <v>1.1008246567256021E-2</v>
      </c>
    </row>
    <row r="817" spans="1:14" x14ac:dyDescent="0.35">
      <c r="A817" s="1">
        <v>43563</v>
      </c>
      <c r="B817" s="2" t="s">
        <v>817</v>
      </c>
      <c r="C817">
        <f t="shared" si="143"/>
        <v>79010.83</v>
      </c>
      <c r="D817">
        <f t="shared" si="144"/>
        <v>2019</v>
      </c>
      <c r="E817">
        <f t="shared" si="145"/>
        <v>4</v>
      </c>
      <c r="F817" t="str">
        <f t="shared" si="147"/>
        <v>April</v>
      </c>
      <c r="G817">
        <f t="shared" si="146"/>
        <v>8</v>
      </c>
      <c r="H817" s="7">
        <f t="shared" si="148"/>
        <v>2.6944633305592265</v>
      </c>
      <c r="I817" s="9">
        <f t="shared" si="149"/>
        <v>2.6588018398319008E-2</v>
      </c>
      <c r="J817" s="9">
        <f t="shared" si="150"/>
        <v>77952.531428571427</v>
      </c>
      <c r="K817" s="9">
        <f t="shared" si="153"/>
        <v>76395.887000000017</v>
      </c>
      <c r="L817" s="9">
        <f t="shared" si="152"/>
        <v>76864.341888888899</v>
      </c>
      <c r="M817" s="9">
        <f t="shared" si="151"/>
        <v>1.4208388412174408E-2</v>
      </c>
      <c r="N817" s="9">
        <f t="shared" si="154"/>
        <v>1.2047108292077353E-2</v>
      </c>
    </row>
    <row r="818" spans="1:14" x14ac:dyDescent="0.35">
      <c r="A818" s="1">
        <v>43564</v>
      </c>
      <c r="B818" s="2" t="s">
        <v>818</v>
      </c>
      <c r="C818">
        <f t="shared" si="143"/>
        <v>78170.14</v>
      </c>
      <c r="D818">
        <f t="shared" si="144"/>
        <v>2019</v>
      </c>
      <c r="E818">
        <f t="shared" si="145"/>
        <v>4</v>
      </c>
      <c r="F818" t="str">
        <f t="shared" si="147"/>
        <v>April</v>
      </c>
      <c r="G818">
        <f t="shared" si="146"/>
        <v>9</v>
      </c>
      <c r="H818" s="7">
        <f t="shared" si="148"/>
        <v>-1.0640186921210704</v>
      </c>
      <c r="I818" s="9">
        <f t="shared" si="149"/>
        <v>-1.0697198479794525E-2</v>
      </c>
      <c r="J818" s="9">
        <f t="shared" si="150"/>
        <v>77934.978571428568</v>
      </c>
      <c r="K818" s="9">
        <f t="shared" si="153"/>
        <v>76431.101666666669</v>
      </c>
      <c r="L818" s="9">
        <f t="shared" si="152"/>
        <v>76909.418777777784</v>
      </c>
      <c r="M818" s="9">
        <f t="shared" si="151"/>
        <v>1.4725267447540082E-2</v>
      </c>
      <c r="N818" s="9">
        <f t="shared" si="154"/>
        <v>1.2027128245091502E-2</v>
      </c>
    </row>
    <row r="819" spans="1:14" x14ac:dyDescent="0.35">
      <c r="A819" s="1">
        <v>43565</v>
      </c>
      <c r="B819" s="2" t="s">
        <v>819</v>
      </c>
      <c r="C819">
        <f t="shared" si="143"/>
        <v>78811.05</v>
      </c>
      <c r="D819">
        <f t="shared" si="144"/>
        <v>2019</v>
      </c>
      <c r="E819">
        <f t="shared" si="145"/>
        <v>4</v>
      </c>
      <c r="F819" t="str">
        <f t="shared" si="147"/>
        <v>April</v>
      </c>
      <c r="G819">
        <f t="shared" si="146"/>
        <v>10</v>
      </c>
      <c r="H819" s="7">
        <f t="shared" si="148"/>
        <v>0.81989107349686663</v>
      </c>
      <c r="I819" s="9">
        <f t="shared" si="149"/>
        <v>8.165482260105255E-3</v>
      </c>
      <c r="J819" s="9">
        <f t="shared" si="150"/>
        <v>78115.555714285714</v>
      </c>
      <c r="K819" s="9">
        <f t="shared" si="153"/>
        <v>76502.922666666665</v>
      </c>
      <c r="L819" s="9">
        <f t="shared" si="152"/>
        <v>76941.65833333334</v>
      </c>
      <c r="M819" s="9">
        <f t="shared" si="151"/>
        <v>1.4370221574610586E-2</v>
      </c>
      <c r="N819" s="9">
        <f t="shared" si="154"/>
        <v>1.2044117546850974E-2</v>
      </c>
    </row>
    <row r="820" spans="1:14" x14ac:dyDescent="0.35">
      <c r="A820" s="1">
        <v>43566</v>
      </c>
      <c r="B820" s="2" t="s">
        <v>820</v>
      </c>
      <c r="C820">
        <f t="shared" si="143"/>
        <v>79829.39</v>
      </c>
      <c r="D820">
        <f t="shared" si="144"/>
        <v>2019</v>
      </c>
      <c r="E820">
        <f t="shared" si="145"/>
        <v>4</v>
      </c>
      <c r="F820" t="str">
        <f t="shared" si="147"/>
        <v>April</v>
      </c>
      <c r="G820">
        <f t="shared" si="146"/>
        <v>11</v>
      </c>
      <c r="H820" s="7">
        <f t="shared" si="148"/>
        <v>1.2921284515305866</v>
      </c>
      <c r="I820" s="9">
        <f t="shared" si="149"/>
        <v>1.2838516931740516E-2</v>
      </c>
      <c r="J820" s="9">
        <f t="shared" si="150"/>
        <v>78286.689999999988</v>
      </c>
      <c r="K820" s="9">
        <f t="shared" si="153"/>
        <v>76581.949666666667</v>
      </c>
      <c r="L820" s="9">
        <f t="shared" si="152"/>
        <v>76981.721555555559</v>
      </c>
      <c r="M820" s="9">
        <f t="shared" si="151"/>
        <v>1.423420334627837E-2</v>
      </c>
      <c r="N820" s="9">
        <f t="shared" si="154"/>
        <v>1.211800816262445E-2</v>
      </c>
    </row>
    <row r="821" spans="1:14" x14ac:dyDescent="0.35">
      <c r="A821" s="1">
        <v>43567</v>
      </c>
      <c r="B821" s="2" t="s">
        <v>821</v>
      </c>
      <c r="C821">
        <f t="shared" si="143"/>
        <v>79271.78</v>
      </c>
      <c r="D821">
        <f t="shared" si="144"/>
        <v>2019</v>
      </c>
      <c r="E821">
        <f t="shared" si="145"/>
        <v>4</v>
      </c>
      <c r="F821" t="str">
        <f t="shared" si="147"/>
        <v>April</v>
      </c>
      <c r="G821">
        <f t="shared" si="146"/>
        <v>12</v>
      </c>
      <c r="H821" s="7">
        <f t="shared" si="148"/>
        <v>-0.69850214313299974</v>
      </c>
      <c r="I821" s="9">
        <f t="shared" si="149"/>
        <v>-7.0095308929547543E-3</v>
      </c>
      <c r="J821" s="9">
        <f t="shared" si="150"/>
        <v>78506.391428571427</v>
      </c>
      <c r="K821" s="9">
        <f t="shared" si="153"/>
        <v>76670.510333333339</v>
      </c>
      <c r="L821" s="9">
        <f t="shared" si="152"/>
        <v>77015.475444444441</v>
      </c>
      <c r="M821" s="9">
        <f t="shared" si="151"/>
        <v>1.3606564836855111E-2</v>
      </c>
      <c r="N821" s="9">
        <f t="shared" si="154"/>
        <v>1.2004750890613931E-2</v>
      </c>
    </row>
    <row r="822" spans="1:14" x14ac:dyDescent="0.35">
      <c r="A822" s="1">
        <v>43570</v>
      </c>
      <c r="B822" s="2" t="s">
        <v>822</v>
      </c>
      <c r="C822">
        <f t="shared" si="143"/>
        <v>80227.19</v>
      </c>
      <c r="D822">
        <f t="shared" si="144"/>
        <v>2019</v>
      </c>
      <c r="E822">
        <f t="shared" si="145"/>
        <v>4</v>
      </c>
      <c r="F822" t="str">
        <f t="shared" si="147"/>
        <v>April</v>
      </c>
      <c r="G822">
        <f t="shared" si="146"/>
        <v>15</v>
      </c>
      <c r="H822" s="7">
        <f t="shared" si="148"/>
        <v>1.2052334386839849</v>
      </c>
      <c r="I822" s="9">
        <f t="shared" si="149"/>
        <v>1.1980283349148349E-2</v>
      </c>
      <c r="J822" s="9">
        <f t="shared" si="150"/>
        <v>78894.021428571417</v>
      </c>
      <c r="K822" s="9">
        <f t="shared" si="153"/>
        <v>76808.077666666664</v>
      </c>
      <c r="L822" s="9">
        <f t="shared" si="152"/>
        <v>77062.135000000009</v>
      </c>
      <c r="M822" s="9">
        <f t="shared" si="151"/>
        <v>1.3735793599390426E-2</v>
      </c>
      <c r="N822" s="9">
        <f t="shared" si="154"/>
        <v>1.2067552462293407E-2</v>
      </c>
    </row>
    <row r="823" spans="1:14" x14ac:dyDescent="0.35">
      <c r="A823" s="1">
        <v>43571</v>
      </c>
      <c r="B823" s="2" t="s">
        <v>823</v>
      </c>
      <c r="C823">
        <f t="shared" si="143"/>
        <v>79471.759999999995</v>
      </c>
      <c r="D823">
        <f t="shared" si="144"/>
        <v>2019</v>
      </c>
      <c r="E823">
        <f t="shared" si="145"/>
        <v>4</v>
      </c>
      <c r="F823" t="str">
        <f t="shared" si="147"/>
        <v>April</v>
      </c>
      <c r="G823">
        <f t="shared" si="146"/>
        <v>16</v>
      </c>
      <c r="H823" s="7">
        <f t="shared" si="148"/>
        <v>-0.94161343554474175</v>
      </c>
      <c r="I823" s="9">
        <f t="shared" si="149"/>
        <v>-9.4607464181901725E-3</v>
      </c>
      <c r="J823" s="9">
        <f t="shared" si="150"/>
        <v>79256.02</v>
      </c>
      <c r="K823" s="9">
        <f t="shared" si="153"/>
        <v>76900.315333333318</v>
      </c>
      <c r="L823" s="9">
        <f t="shared" si="152"/>
        <v>77113.015555555554</v>
      </c>
      <c r="M823" s="9">
        <f t="shared" si="151"/>
        <v>1.405353719274435E-2</v>
      </c>
      <c r="N823" s="9">
        <f t="shared" si="154"/>
        <v>1.2178508654063763E-2</v>
      </c>
    </row>
    <row r="824" spans="1:14" x14ac:dyDescent="0.35">
      <c r="A824" s="1">
        <v>43572</v>
      </c>
      <c r="B824" s="2" t="s">
        <v>824</v>
      </c>
      <c r="C824">
        <f t="shared" si="143"/>
        <v>79858.02</v>
      </c>
      <c r="D824">
        <f t="shared" si="144"/>
        <v>2019</v>
      </c>
      <c r="E824">
        <f t="shared" si="145"/>
        <v>4</v>
      </c>
      <c r="F824" t="str">
        <f t="shared" si="147"/>
        <v>April</v>
      </c>
      <c r="G824">
        <f t="shared" si="146"/>
        <v>17</v>
      </c>
      <c r="H824" s="7">
        <f t="shared" si="148"/>
        <v>0.48603428437977131</v>
      </c>
      <c r="I824" s="9">
        <f t="shared" si="149"/>
        <v>4.84856951039797E-3</v>
      </c>
      <c r="J824" s="9">
        <f t="shared" si="150"/>
        <v>79377.047142857133</v>
      </c>
      <c r="K824" s="9">
        <f t="shared" si="153"/>
        <v>77012.912333333341</v>
      </c>
      <c r="L824" s="9">
        <f t="shared" si="152"/>
        <v>77168.870111111115</v>
      </c>
      <c r="M824" s="9">
        <f t="shared" si="151"/>
        <v>1.0290430008743865E-2</v>
      </c>
      <c r="N824" s="9">
        <f t="shared" si="154"/>
        <v>1.2170743678236793E-2</v>
      </c>
    </row>
    <row r="825" spans="1:14" x14ac:dyDescent="0.35">
      <c r="A825" s="1">
        <v>43573</v>
      </c>
      <c r="B825" s="2" t="s">
        <v>825</v>
      </c>
      <c r="C825">
        <f t="shared" si="143"/>
        <v>79770.210000000006</v>
      </c>
      <c r="D825">
        <f t="shared" si="144"/>
        <v>2019</v>
      </c>
      <c r="E825">
        <f t="shared" si="145"/>
        <v>4</v>
      </c>
      <c r="F825" t="str">
        <f t="shared" si="147"/>
        <v>April</v>
      </c>
      <c r="G825">
        <f t="shared" si="146"/>
        <v>18</v>
      </c>
      <c r="H825" s="7">
        <f t="shared" si="148"/>
        <v>-0.10995764733460417</v>
      </c>
      <c r="I825" s="9">
        <f t="shared" si="149"/>
        <v>-1.1001814510765682E-3</v>
      </c>
      <c r="J825" s="9">
        <f t="shared" si="150"/>
        <v>79605.628571428577</v>
      </c>
      <c r="K825" s="9">
        <f t="shared" si="153"/>
        <v>77137.007999999987</v>
      </c>
      <c r="L825" s="9">
        <f t="shared" si="152"/>
        <v>77226.944888888873</v>
      </c>
      <c r="M825" s="9">
        <f t="shared" si="151"/>
        <v>8.9418118522720559E-3</v>
      </c>
      <c r="N825" s="9">
        <f t="shared" si="154"/>
        <v>1.2107013629192932E-2</v>
      </c>
    </row>
    <row r="826" spans="1:14" x14ac:dyDescent="0.35">
      <c r="A826" s="1">
        <v>43578</v>
      </c>
      <c r="B826" s="2" t="s">
        <v>826</v>
      </c>
      <c r="C826">
        <f t="shared" si="143"/>
        <v>78985.350000000006</v>
      </c>
      <c r="D826">
        <f t="shared" si="144"/>
        <v>2019</v>
      </c>
      <c r="E826">
        <f t="shared" si="145"/>
        <v>4</v>
      </c>
      <c r="F826" t="str">
        <f t="shared" si="147"/>
        <v>April</v>
      </c>
      <c r="G826">
        <f t="shared" si="146"/>
        <v>23</v>
      </c>
      <c r="H826" s="7">
        <f t="shared" si="148"/>
        <v>-0.98390113301695026</v>
      </c>
      <c r="I826" s="9">
        <f t="shared" si="149"/>
        <v>-9.8877342558471668E-3</v>
      </c>
      <c r="J826" s="9">
        <f t="shared" si="150"/>
        <v>79630.528571428586</v>
      </c>
      <c r="K826" s="9">
        <f t="shared" si="153"/>
        <v>77260.397000000012</v>
      </c>
      <c r="L826" s="9">
        <f t="shared" si="152"/>
        <v>77279.392777777772</v>
      </c>
      <c r="M826" s="9">
        <f t="shared" si="151"/>
        <v>9.7363841477763977E-3</v>
      </c>
      <c r="N826" s="9">
        <f t="shared" si="154"/>
        <v>1.2100248898107704E-2</v>
      </c>
    </row>
    <row r="827" spans="1:14" x14ac:dyDescent="0.35">
      <c r="A827" s="1">
        <v>43579</v>
      </c>
      <c r="B827" s="2" t="s">
        <v>827</v>
      </c>
      <c r="C827">
        <f t="shared" si="143"/>
        <v>80021.09</v>
      </c>
      <c r="D827">
        <f t="shared" si="144"/>
        <v>2019</v>
      </c>
      <c r="E827">
        <f t="shared" si="145"/>
        <v>4</v>
      </c>
      <c r="F827" t="str">
        <f t="shared" si="147"/>
        <v>April</v>
      </c>
      <c r="G827">
        <f t="shared" si="146"/>
        <v>24</v>
      </c>
      <c r="H827" s="7">
        <f t="shared" si="148"/>
        <v>1.3113064637935903</v>
      </c>
      <c r="I827" s="9">
        <f t="shared" si="149"/>
        <v>1.3027832698556438E-2</v>
      </c>
      <c r="J827" s="9">
        <f t="shared" si="150"/>
        <v>79657.914285714287</v>
      </c>
      <c r="K827" s="9">
        <f t="shared" si="153"/>
        <v>77437.931999999986</v>
      </c>
      <c r="L827" s="9">
        <f t="shared" si="152"/>
        <v>77341.817111111101</v>
      </c>
      <c r="M827" s="9">
        <f t="shared" si="151"/>
        <v>9.7771446967923874E-3</v>
      </c>
      <c r="N827" s="9">
        <f t="shared" si="154"/>
        <v>1.2138334536235605E-2</v>
      </c>
    </row>
    <row r="828" spans="1:14" x14ac:dyDescent="0.35">
      <c r="A828" s="1">
        <v>43580</v>
      </c>
      <c r="B828" s="2" t="s">
        <v>828</v>
      </c>
      <c r="C828">
        <f t="shared" si="143"/>
        <v>79975.59</v>
      </c>
      <c r="D828">
        <f t="shared" si="144"/>
        <v>2019</v>
      </c>
      <c r="E828">
        <f t="shared" si="145"/>
        <v>4</v>
      </c>
      <c r="F828" t="str">
        <f t="shared" si="147"/>
        <v>April</v>
      </c>
      <c r="G828">
        <f t="shared" si="146"/>
        <v>25</v>
      </c>
      <c r="H828" s="7">
        <f t="shared" si="148"/>
        <v>-5.6860010279789992E-2</v>
      </c>
      <c r="I828" s="9">
        <f t="shared" si="149"/>
        <v>-5.6876181713979548E-4</v>
      </c>
      <c r="J828" s="9">
        <f t="shared" si="150"/>
        <v>79758.458571428564</v>
      </c>
      <c r="K828" s="9">
        <f t="shared" si="153"/>
        <v>77584.277333333317</v>
      </c>
      <c r="L828" s="9">
        <f t="shared" si="152"/>
        <v>77395.925999999992</v>
      </c>
      <c r="M828" s="9">
        <f t="shared" si="151"/>
        <v>9.2592777679539086E-3</v>
      </c>
      <c r="N828" s="9">
        <f t="shared" si="154"/>
        <v>1.2012458723248918E-2</v>
      </c>
    </row>
    <row r="829" spans="1:14" x14ac:dyDescent="0.35">
      <c r="A829" s="1">
        <v>43581</v>
      </c>
      <c r="B829" s="2" t="s">
        <v>829</v>
      </c>
      <c r="C829">
        <f t="shared" si="143"/>
        <v>79534.22</v>
      </c>
      <c r="D829">
        <f t="shared" si="144"/>
        <v>2019</v>
      </c>
      <c r="E829">
        <f t="shared" si="145"/>
        <v>4</v>
      </c>
      <c r="F829" t="str">
        <f t="shared" si="147"/>
        <v>April</v>
      </c>
      <c r="G829">
        <f t="shared" si="146"/>
        <v>26</v>
      </c>
      <c r="H829" s="7">
        <f t="shared" si="148"/>
        <v>-0.55188089265736628</v>
      </c>
      <c r="I829" s="9">
        <f t="shared" si="149"/>
        <v>-5.5340938147486777E-3</v>
      </c>
      <c r="J829" s="9">
        <f t="shared" si="150"/>
        <v>79659.462857142833</v>
      </c>
      <c r="K829" s="9">
        <f t="shared" si="153"/>
        <v>77727.30333333333</v>
      </c>
      <c r="L829" s="9">
        <f t="shared" si="152"/>
        <v>77439.307555555526</v>
      </c>
      <c r="M829" s="9">
        <f t="shared" si="151"/>
        <v>8.184487931805623E-3</v>
      </c>
      <c r="N829" s="9">
        <f t="shared" si="154"/>
        <v>1.2032283040778637E-2</v>
      </c>
    </row>
    <row r="830" spans="1:14" x14ac:dyDescent="0.35">
      <c r="A830" s="1">
        <v>43584</v>
      </c>
      <c r="B830" s="2" t="s">
        <v>830</v>
      </c>
      <c r="C830">
        <f t="shared" si="143"/>
        <v>79582.83</v>
      </c>
      <c r="D830">
        <f t="shared" si="144"/>
        <v>2019</v>
      </c>
      <c r="E830">
        <f t="shared" si="145"/>
        <v>4</v>
      </c>
      <c r="F830" t="str">
        <f t="shared" si="147"/>
        <v>April</v>
      </c>
      <c r="G830">
        <f t="shared" si="146"/>
        <v>29</v>
      </c>
      <c r="H830" s="7">
        <f t="shared" si="148"/>
        <v>6.1118346291697566E-2</v>
      </c>
      <c r="I830" s="9">
        <f t="shared" si="149"/>
        <v>6.1099676637101389E-4</v>
      </c>
      <c r="J830" s="9">
        <f t="shared" si="150"/>
        <v>79675.329999999987</v>
      </c>
      <c r="K830" s="9">
        <f t="shared" si="153"/>
        <v>77904.362333333338</v>
      </c>
      <c r="L830" s="9">
        <f t="shared" si="152"/>
        <v>77470.569888888873</v>
      </c>
      <c r="M830" s="9">
        <f t="shared" si="151"/>
        <v>7.3400168912450868E-3</v>
      </c>
      <c r="N830" s="9">
        <f t="shared" si="154"/>
        <v>1.1704919491538639E-2</v>
      </c>
    </row>
    <row r="831" spans="1:14" x14ac:dyDescent="0.35">
      <c r="A831" s="1">
        <v>43585</v>
      </c>
      <c r="B831" s="2" t="s">
        <v>831</v>
      </c>
      <c r="C831">
        <f t="shared" si="143"/>
        <v>80240.92</v>
      </c>
      <c r="D831">
        <f t="shared" si="144"/>
        <v>2019</v>
      </c>
      <c r="E831">
        <f t="shared" si="145"/>
        <v>4</v>
      </c>
      <c r="F831" t="str">
        <f t="shared" si="147"/>
        <v>April</v>
      </c>
      <c r="G831">
        <f t="shared" si="146"/>
        <v>30</v>
      </c>
      <c r="H831" s="7">
        <f t="shared" si="148"/>
        <v>0.82692460170114135</v>
      </c>
      <c r="I831" s="9">
        <f t="shared" si="149"/>
        <v>8.235243125741365E-3</v>
      </c>
      <c r="J831" s="9">
        <f t="shared" si="150"/>
        <v>79730.03</v>
      </c>
      <c r="K831" s="9">
        <f t="shared" si="153"/>
        <v>78161.462333333344</v>
      </c>
      <c r="L831" s="9">
        <f t="shared" si="152"/>
        <v>77495.309555555534</v>
      </c>
      <c r="M831" s="9">
        <f t="shared" si="151"/>
        <v>7.7950387666152919E-3</v>
      </c>
      <c r="N831" s="9">
        <f t="shared" si="154"/>
        <v>1.0660140767671021E-2</v>
      </c>
    </row>
    <row r="832" spans="1:14" x14ac:dyDescent="0.35">
      <c r="A832" s="1">
        <v>43587</v>
      </c>
      <c r="B832" s="2" t="s">
        <v>832</v>
      </c>
      <c r="C832">
        <f t="shared" si="143"/>
        <v>79802.09</v>
      </c>
      <c r="D832">
        <f t="shared" si="144"/>
        <v>2019</v>
      </c>
      <c r="E832">
        <f t="shared" si="145"/>
        <v>5</v>
      </c>
      <c r="F832" t="str">
        <f t="shared" si="147"/>
        <v>May</v>
      </c>
      <c r="G832">
        <f t="shared" si="146"/>
        <v>2</v>
      </c>
      <c r="H832" s="7">
        <f t="shared" si="148"/>
        <v>-0.54689053914137797</v>
      </c>
      <c r="I832" s="9">
        <f t="shared" si="149"/>
        <v>-5.4839146021519701E-3</v>
      </c>
      <c r="J832" s="9">
        <f t="shared" si="150"/>
        <v>79734.584285714285</v>
      </c>
      <c r="K832" s="9">
        <f t="shared" si="153"/>
        <v>78391.348666666672</v>
      </c>
      <c r="L832" s="9">
        <f t="shared" si="152"/>
        <v>77509.42377777776</v>
      </c>
      <c r="M832" s="9">
        <f t="shared" si="151"/>
        <v>8.1310562642417789E-3</v>
      </c>
      <c r="N832" s="9">
        <f t="shared" si="154"/>
        <v>1.0774752113778535E-2</v>
      </c>
    </row>
    <row r="833" spans="1:14" x14ac:dyDescent="0.35">
      <c r="A833" s="1">
        <v>43588</v>
      </c>
      <c r="B833" s="2" t="s">
        <v>833</v>
      </c>
      <c r="C833">
        <f t="shared" si="143"/>
        <v>79816.87</v>
      </c>
      <c r="D833">
        <f t="shared" si="144"/>
        <v>2019</v>
      </c>
      <c r="E833">
        <f t="shared" si="145"/>
        <v>5</v>
      </c>
      <c r="F833" t="str">
        <f t="shared" si="147"/>
        <v>May</v>
      </c>
      <c r="G833">
        <f t="shared" si="146"/>
        <v>3</v>
      </c>
      <c r="H833" s="7">
        <f t="shared" si="148"/>
        <v>1.8520818189096094E-2</v>
      </c>
      <c r="I833" s="9">
        <f t="shared" si="149"/>
        <v>1.8519103297299995E-4</v>
      </c>
      <c r="J833" s="9">
        <f t="shared" si="150"/>
        <v>79853.372857142851</v>
      </c>
      <c r="K833" s="9">
        <f t="shared" si="153"/>
        <v>78622.059666666668</v>
      </c>
      <c r="L833" s="9">
        <f t="shared" si="152"/>
        <v>77528.942111111086</v>
      </c>
      <c r="M833" s="9">
        <f t="shared" si="151"/>
        <v>6.8715195116165785E-3</v>
      </c>
      <c r="N833" s="9">
        <f t="shared" si="154"/>
        <v>1.0771668172046778E-2</v>
      </c>
    </row>
    <row r="834" spans="1:14" x14ac:dyDescent="0.35">
      <c r="A834" s="1">
        <v>43591</v>
      </c>
      <c r="B834" s="2" t="s">
        <v>834</v>
      </c>
      <c r="C834">
        <f t="shared" si="143"/>
        <v>79476.600000000006</v>
      </c>
      <c r="D834">
        <f t="shared" si="144"/>
        <v>2019</v>
      </c>
      <c r="E834">
        <f t="shared" si="145"/>
        <v>5</v>
      </c>
      <c r="F834" t="str">
        <f t="shared" si="147"/>
        <v>May</v>
      </c>
      <c r="G834">
        <f t="shared" si="146"/>
        <v>6</v>
      </c>
      <c r="H834" s="7">
        <f t="shared" si="148"/>
        <v>-0.4263133846265702</v>
      </c>
      <c r="I834" s="9">
        <f t="shared" si="149"/>
        <v>-4.2722469107259976E-3</v>
      </c>
      <c r="J834" s="9">
        <f t="shared" si="150"/>
        <v>79775.588571428569</v>
      </c>
      <c r="K834" s="9">
        <f t="shared" si="153"/>
        <v>78770.99033333335</v>
      </c>
      <c r="L834" s="9">
        <f t="shared" si="152"/>
        <v>77547.262888888843</v>
      </c>
      <c r="M834" s="9">
        <f t="shared" si="151"/>
        <v>4.8449719711672282E-3</v>
      </c>
      <c r="N834" s="9">
        <f t="shared" si="154"/>
        <v>9.7009631530877907E-3</v>
      </c>
    </row>
    <row r="835" spans="1:14" x14ac:dyDescent="0.35">
      <c r="A835" s="1">
        <v>43592</v>
      </c>
      <c r="B835" s="2" t="s">
        <v>835</v>
      </c>
      <c r="C835">
        <f t="shared" ref="C835:C898" si="155">_xlfn.NUMBERVALUE(B835,".",",")</f>
        <v>80324.86</v>
      </c>
      <c r="D835">
        <f t="shared" ref="D835:D898" si="156">YEAR(A835)</f>
        <v>2019</v>
      </c>
      <c r="E835">
        <f t="shared" ref="E835:E898" si="157">MONTH(A835)</f>
        <v>5</v>
      </c>
      <c r="F835" t="str">
        <f t="shared" si="147"/>
        <v>May</v>
      </c>
      <c r="G835">
        <f t="shared" ref="G835:G898" si="158">DAY(A835)</f>
        <v>7</v>
      </c>
      <c r="H835" s="7">
        <f t="shared" si="148"/>
        <v>1.067307861685068</v>
      </c>
      <c r="I835" s="9">
        <f t="shared" si="149"/>
        <v>1.0616523369777302E-2</v>
      </c>
      <c r="J835" s="9">
        <f t="shared" si="150"/>
        <v>79825.484285714265</v>
      </c>
      <c r="K835" s="9">
        <f t="shared" si="153"/>
        <v>78931.743000000002</v>
      </c>
      <c r="L835" s="9">
        <f t="shared" si="152"/>
        <v>77592.182111111077</v>
      </c>
      <c r="M835" s="9">
        <f t="shared" si="151"/>
        <v>6.5469614641550343E-3</v>
      </c>
      <c r="N835" s="9">
        <f t="shared" si="154"/>
        <v>9.7955693315950453E-3</v>
      </c>
    </row>
    <row r="836" spans="1:14" x14ac:dyDescent="0.35">
      <c r="A836" s="1">
        <v>43594</v>
      </c>
      <c r="B836" s="2" t="s">
        <v>836</v>
      </c>
      <c r="C836">
        <f t="shared" si="155"/>
        <v>80791.360000000001</v>
      </c>
      <c r="D836">
        <f t="shared" si="156"/>
        <v>2019</v>
      </c>
      <c r="E836">
        <f t="shared" si="157"/>
        <v>5</v>
      </c>
      <c r="F836" t="str">
        <f t="shared" ref="F836:F899" si="159">TEXT(A836,"mmmm")</f>
        <v>May</v>
      </c>
      <c r="G836">
        <f t="shared" si="158"/>
        <v>9</v>
      </c>
      <c r="H836" s="7">
        <f t="shared" ref="H836:H899" si="160">((C836-C835)/C835)*100</f>
        <v>0.58076665181862741</v>
      </c>
      <c r="I836" s="9">
        <f t="shared" ref="I836:I899" si="161">LN(C836/C835)</f>
        <v>5.790867035472989E-3</v>
      </c>
      <c r="J836" s="9">
        <f t="shared" si="150"/>
        <v>80005.075714285704</v>
      </c>
      <c r="K836" s="9">
        <f t="shared" si="153"/>
        <v>79076.309666666668</v>
      </c>
      <c r="L836" s="9">
        <f t="shared" si="152"/>
        <v>77635.018222222192</v>
      </c>
      <c r="M836" s="9">
        <f t="shared" si="151"/>
        <v>6.1598410102299836E-3</v>
      </c>
      <c r="N836" s="9">
        <f t="shared" si="154"/>
        <v>9.6229885774715244E-3</v>
      </c>
    </row>
    <row r="837" spans="1:14" x14ac:dyDescent="0.35">
      <c r="A837" s="1">
        <v>43595</v>
      </c>
      <c r="B837" s="2" t="s">
        <v>837</v>
      </c>
      <c r="C837">
        <f t="shared" si="155"/>
        <v>80508.97</v>
      </c>
      <c r="D837">
        <f t="shared" si="156"/>
        <v>2019</v>
      </c>
      <c r="E837">
        <f t="shared" si="157"/>
        <v>5</v>
      </c>
      <c r="F837" t="str">
        <f t="shared" si="159"/>
        <v>May</v>
      </c>
      <c r="G837">
        <f t="shared" si="158"/>
        <v>10</v>
      </c>
      <c r="H837" s="7">
        <f t="shared" si="160"/>
        <v>-0.34952994973719892</v>
      </c>
      <c r="I837" s="9">
        <f t="shared" si="161"/>
        <v>-3.5014223282421523E-3</v>
      </c>
      <c r="J837" s="9">
        <f t="shared" si="150"/>
        <v>80137.381428571418</v>
      </c>
      <c r="K837" s="9">
        <f t="shared" si="153"/>
        <v>79171.140333333344</v>
      </c>
      <c r="L837" s="9">
        <f t="shared" si="152"/>
        <v>77673.83777777775</v>
      </c>
      <c r="M837" s="9">
        <f t="shared" si="151"/>
        <v>6.5263472808411247E-3</v>
      </c>
      <c r="N837" s="9">
        <f t="shared" si="154"/>
        <v>9.3025937396624507E-3</v>
      </c>
    </row>
    <row r="838" spans="1:14" x14ac:dyDescent="0.35">
      <c r="A838" s="1">
        <v>43598</v>
      </c>
      <c r="B838" s="2" t="s">
        <v>838</v>
      </c>
      <c r="C838">
        <f t="shared" si="155"/>
        <v>79725.460000000006</v>
      </c>
      <c r="D838">
        <f t="shared" si="156"/>
        <v>2019</v>
      </c>
      <c r="E838">
        <f t="shared" si="157"/>
        <v>5</v>
      </c>
      <c r="F838" t="str">
        <f t="shared" si="159"/>
        <v>May</v>
      </c>
      <c r="G838">
        <f t="shared" si="158"/>
        <v>13</v>
      </c>
      <c r="H838" s="7">
        <f t="shared" si="160"/>
        <v>-0.97319590599655514</v>
      </c>
      <c r="I838" s="9">
        <f t="shared" si="161"/>
        <v>-9.7796240749645248E-3</v>
      </c>
      <c r="J838" s="9">
        <f t="shared" si="150"/>
        <v>80063.744285714274</v>
      </c>
      <c r="K838" s="9">
        <f t="shared" si="153"/>
        <v>79237.261333333343</v>
      </c>
      <c r="L838" s="9">
        <f t="shared" si="152"/>
        <v>77702.722333333295</v>
      </c>
      <c r="M838" s="9">
        <f t="shared" si="151"/>
        <v>7.0305536508332581E-3</v>
      </c>
      <c r="N838" s="9">
        <f t="shared" si="154"/>
        <v>9.5162847535338862E-3</v>
      </c>
    </row>
    <row r="839" spans="1:14" x14ac:dyDescent="0.35">
      <c r="A839" s="1">
        <v>43599</v>
      </c>
      <c r="B839" s="2" t="s">
        <v>839</v>
      </c>
      <c r="C839">
        <f t="shared" si="155"/>
        <v>80037.009999999995</v>
      </c>
      <c r="D839">
        <f t="shared" si="156"/>
        <v>2019</v>
      </c>
      <c r="E839">
        <f t="shared" si="157"/>
        <v>5</v>
      </c>
      <c r="F839" t="str">
        <f t="shared" si="159"/>
        <v>May</v>
      </c>
      <c r="G839">
        <f t="shared" si="158"/>
        <v>14</v>
      </c>
      <c r="H839" s="7">
        <f t="shared" si="160"/>
        <v>0.39077855430371722</v>
      </c>
      <c r="I839" s="9">
        <f t="shared" si="161"/>
        <v>3.9001699826490717E-3</v>
      </c>
      <c r="J839" s="9">
        <f t="shared" si="150"/>
        <v>80097.304285714286</v>
      </c>
      <c r="K839" s="9">
        <f t="shared" si="153"/>
        <v>79286.610333333345</v>
      </c>
      <c r="L839" s="9">
        <f t="shared" si="152"/>
        <v>77738.243444444408</v>
      </c>
      <c r="M839" s="9">
        <f t="shared" si="151"/>
        <v>6.9090410004883336E-3</v>
      </c>
      <c r="N839" s="9">
        <f t="shared" si="154"/>
        <v>9.3629845298586999E-3</v>
      </c>
    </row>
    <row r="840" spans="1:14" x14ac:dyDescent="0.35">
      <c r="A840" s="1">
        <v>43600</v>
      </c>
      <c r="B840" s="2" t="s">
        <v>840</v>
      </c>
      <c r="C840">
        <f t="shared" si="155"/>
        <v>80128.63</v>
      </c>
      <c r="D840">
        <f t="shared" si="156"/>
        <v>2019</v>
      </c>
      <c r="E840">
        <f t="shared" si="157"/>
        <v>5</v>
      </c>
      <c r="F840" t="str">
        <f t="shared" si="159"/>
        <v>May</v>
      </c>
      <c r="G840">
        <f t="shared" si="158"/>
        <v>15</v>
      </c>
      <c r="H840" s="7">
        <f t="shared" si="160"/>
        <v>0.1144720423714103</v>
      </c>
      <c r="I840" s="9">
        <f t="shared" si="161"/>
        <v>1.1440657308690331E-3</v>
      </c>
      <c r="J840" s="9">
        <f t="shared" si="150"/>
        <v>80141.841428571453</v>
      </c>
      <c r="K840" s="9">
        <f t="shared" si="153"/>
        <v>79334.303666666674</v>
      </c>
      <c r="L840" s="9">
        <f t="shared" si="152"/>
        <v>77777.41888888886</v>
      </c>
      <c r="M840" s="9">
        <f t="shared" si="151"/>
        <v>6.9131158074106688E-3</v>
      </c>
      <c r="N840" s="9">
        <f t="shared" si="154"/>
        <v>9.3609186973781493E-3</v>
      </c>
    </row>
    <row r="841" spans="1:14" x14ac:dyDescent="0.35">
      <c r="A841" s="1">
        <v>43601</v>
      </c>
      <c r="B841" s="2" t="s">
        <v>841</v>
      </c>
      <c r="C841">
        <f t="shared" si="155"/>
        <v>79269.77</v>
      </c>
      <c r="D841">
        <f t="shared" si="156"/>
        <v>2019</v>
      </c>
      <c r="E841">
        <f t="shared" si="157"/>
        <v>5</v>
      </c>
      <c r="F841" t="str">
        <f t="shared" si="159"/>
        <v>May</v>
      </c>
      <c r="G841">
        <f t="shared" si="158"/>
        <v>16</v>
      </c>
      <c r="H841" s="7">
        <f t="shared" si="160"/>
        <v>-1.0718515966140949</v>
      </c>
      <c r="I841" s="9">
        <f t="shared" si="161"/>
        <v>-1.0776373057910765E-2</v>
      </c>
      <c r="J841" s="9">
        <f t="shared" ref="J841:J904" si="162">AVERAGE(C835:C841)</f>
        <v>80112.294285714292</v>
      </c>
      <c r="K841" s="9">
        <f t="shared" si="153"/>
        <v>79366.862333333353</v>
      </c>
      <c r="L841" s="9">
        <f t="shared" si="152"/>
        <v>77801.237888888849</v>
      </c>
      <c r="M841" s="9">
        <f t="shared" si="151"/>
        <v>8.0189995294417012E-3</v>
      </c>
      <c r="N841" s="9">
        <f t="shared" si="154"/>
        <v>9.5347046128139851E-3</v>
      </c>
    </row>
    <row r="842" spans="1:14" x14ac:dyDescent="0.35">
      <c r="A842" s="1">
        <v>43602</v>
      </c>
      <c r="B842" s="2" t="s">
        <v>842</v>
      </c>
      <c r="C842">
        <f t="shared" si="155"/>
        <v>79505.06</v>
      </c>
      <c r="D842">
        <f t="shared" si="156"/>
        <v>2019</v>
      </c>
      <c r="E842">
        <f t="shared" si="157"/>
        <v>5</v>
      </c>
      <c r="F842" t="str">
        <f t="shared" si="159"/>
        <v>May</v>
      </c>
      <c r="G842">
        <f t="shared" si="158"/>
        <v>17</v>
      </c>
      <c r="H842" s="7">
        <f t="shared" si="160"/>
        <v>0.29682185276933892</v>
      </c>
      <c r="I842" s="9">
        <f t="shared" si="161"/>
        <v>2.9638220647060457E-3</v>
      </c>
      <c r="J842" s="9">
        <f t="shared" si="162"/>
        <v>79995.180000000008</v>
      </c>
      <c r="K842" s="9">
        <f t="shared" si="153"/>
        <v>79432.130666666679</v>
      </c>
      <c r="L842" s="9">
        <f t="shared" si="152"/>
        <v>77842.591333333286</v>
      </c>
      <c r="M842" s="9">
        <f t="shared" ref="M842:M905" si="163">STDEV(I836:I842)</f>
        <v>6.6812673465179535E-3</v>
      </c>
      <c r="N842" s="9">
        <f t="shared" si="154"/>
        <v>9.3549301067079576E-3</v>
      </c>
    </row>
    <row r="843" spans="1:14" x14ac:dyDescent="0.35">
      <c r="A843" s="1">
        <v>43605</v>
      </c>
      <c r="B843" s="2" t="s">
        <v>843</v>
      </c>
      <c r="C843">
        <f t="shared" si="155"/>
        <v>79865.48</v>
      </c>
      <c r="D843">
        <f t="shared" si="156"/>
        <v>2019</v>
      </c>
      <c r="E843">
        <f t="shared" si="157"/>
        <v>5</v>
      </c>
      <c r="F843" t="str">
        <f t="shared" si="159"/>
        <v>May</v>
      </c>
      <c r="G843">
        <f t="shared" si="158"/>
        <v>20</v>
      </c>
      <c r="H843" s="7">
        <f t="shared" si="160"/>
        <v>0.4533296371325275</v>
      </c>
      <c r="I843" s="9">
        <f t="shared" si="161"/>
        <v>4.5230519323808593E-3</v>
      </c>
      <c r="J843" s="9">
        <f t="shared" si="162"/>
        <v>79862.911428571431</v>
      </c>
      <c r="K843" s="9">
        <f t="shared" si="153"/>
        <v>79473.264999999999</v>
      </c>
      <c r="L843" s="9">
        <f t="shared" si="152"/>
        <v>77895.902555555513</v>
      </c>
      <c r="M843" s="9">
        <f t="shared" si="163"/>
        <v>6.4654758990071457E-3</v>
      </c>
      <c r="N843" s="9">
        <f t="shared" si="154"/>
        <v>9.0557069590441117E-3</v>
      </c>
    </row>
    <row r="844" spans="1:14" x14ac:dyDescent="0.35">
      <c r="A844" s="1">
        <v>43606</v>
      </c>
      <c r="B844" s="2" t="s">
        <v>844</v>
      </c>
      <c r="C844">
        <f t="shared" si="155"/>
        <v>79385.11</v>
      </c>
      <c r="D844">
        <f t="shared" si="156"/>
        <v>2019</v>
      </c>
      <c r="E844">
        <f t="shared" si="157"/>
        <v>5</v>
      </c>
      <c r="F844" t="str">
        <f t="shared" si="159"/>
        <v>May</v>
      </c>
      <c r="G844">
        <f t="shared" si="158"/>
        <v>21</v>
      </c>
      <c r="H844" s="7">
        <f t="shared" si="160"/>
        <v>-0.60147387832640009</v>
      </c>
      <c r="I844" s="9">
        <f t="shared" si="161"/>
        <v>-6.0329001852577327E-3</v>
      </c>
      <c r="J844" s="9">
        <f t="shared" si="162"/>
        <v>79702.36</v>
      </c>
      <c r="K844" s="9">
        <f t="shared" si="153"/>
        <v>79528.306333333327</v>
      </c>
      <c r="L844" s="9">
        <f t="shared" si="152"/>
        <v>77934.187555555516</v>
      </c>
      <c r="M844" s="9">
        <f t="shared" si="163"/>
        <v>6.6545469767194231E-3</v>
      </c>
      <c r="N844" s="9">
        <f t="shared" si="154"/>
        <v>8.8592717561164491E-3</v>
      </c>
    </row>
    <row r="845" spans="1:14" x14ac:dyDescent="0.35">
      <c r="A845" s="1">
        <v>43607</v>
      </c>
      <c r="B845" s="2" t="s">
        <v>845</v>
      </c>
      <c r="C845">
        <f t="shared" si="155"/>
        <v>79167.8</v>
      </c>
      <c r="D845">
        <f t="shared" si="156"/>
        <v>2019</v>
      </c>
      <c r="E845">
        <f t="shared" si="157"/>
        <v>5</v>
      </c>
      <c r="F845" t="str">
        <f t="shared" si="159"/>
        <v>May</v>
      </c>
      <c r="G845">
        <f t="shared" si="158"/>
        <v>22</v>
      </c>
      <c r="H845" s="7">
        <f t="shared" si="160"/>
        <v>-0.27374151147488196</v>
      </c>
      <c r="I845" s="9">
        <f t="shared" si="161"/>
        <v>-2.7411686871260939E-3</v>
      </c>
      <c r="J845" s="9">
        <f t="shared" si="162"/>
        <v>79622.694285714286</v>
      </c>
      <c r="K845" s="9">
        <f t="shared" si="153"/>
        <v>79583.440333333332</v>
      </c>
      <c r="L845" s="9">
        <f t="shared" si="152"/>
        <v>77962.570333333308</v>
      </c>
      <c r="M845" s="9">
        <f t="shared" si="163"/>
        <v>5.7556326205166703E-3</v>
      </c>
      <c r="N845" s="9">
        <f t="shared" si="154"/>
        <v>8.8579922212318283E-3</v>
      </c>
    </row>
    <row r="846" spans="1:14" x14ac:dyDescent="0.35">
      <c r="A846" s="1">
        <v>43608</v>
      </c>
      <c r="B846" s="2" t="s">
        <v>846</v>
      </c>
      <c r="C846">
        <f t="shared" si="155"/>
        <v>79333.72</v>
      </c>
      <c r="D846">
        <f t="shared" si="156"/>
        <v>2019</v>
      </c>
      <c r="E846">
        <f t="shared" si="157"/>
        <v>5</v>
      </c>
      <c r="F846" t="str">
        <f t="shared" si="159"/>
        <v>May</v>
      </c>
      <c r="G846">
        <f t="shared" si="158"/>
        <v>23</v>
      </c>
      <c r="H846" s="7">
        <f t="shared" si="160"/>
        <v>0.20958015758932072</v>
      </c>
      <c r="I846" s="9">
        <f t="shared" si="161"/>
        <v>2.0936084474771706E-3</v>
      </c>
      <c r="J846" s="9">
        <f t="shared" si="162"/>
        <v>79522.224285714285</v>
      </c>
      <c r="K846" s="9">
        <f t="shared" si="153"/>
        <v>79663.305333333337</v>
      </c>
      <c r="L846" s="9">
        <f t="shared" si="152"/>
        <v>77993.061222222183</v>
      </c>
      <c r="M846" s="9">
        <f t="shared" si="163"/>
        <v>5.5354369327300559E-3</v>
      </c>
      <c r="N846" s="9">
        <f t="shared" si="154"/>
        <v>8.7251489214287461E-3</v>
      </c>
    </row>
    <row r="847" spans="1:14" x14ac:dyDescent="0.35">
      <c r="A847" s="1">
        <v>43609</v>
      </c>
      <c r="B847" s="2" t="s">
        <v>847</v>
      </c>
      <c r="C847">
        <f t="shared" si="155"/>
        <v>78627.55</v>
      </c>
      <c r="D847">
        <f t="shared" si="156"/>
        <v>2019</v>
      </c>
      <c r="E847">
        <f t="shared" si="157"/>
        <v>5</v>
      </c>
      <c r="F847" t="str">
        <f t="shared" si="159"/>
        <v>May</v>
      </c>
      <c r="G847">
        <f t="shared" si="158"/>
        <v>24</v>
      </c>
      <c r="H847" s="7">
        <f t="shared" si="160"/>
        <v>-0.89012591367201521</v>
      </c>
      <c r="I847" s="9">
        <f t="shared" si="161"/>
        <v>-8.9411120139500748E-3</v>
      </c>
      <c r="J847" s="9">
        <f t="shared" si="162"/>
        <v>79307.784285714282</v>
      </c>
      <c r="K847" s="9">
        <f t="shared" si="153"/>
        <v>79650.529333333325</v>
      </c>
      <c r="L847" s="9">
        <f t="shared" si="152"/>
        <v>78020.316111111068</v>
      </c>
      <c r="M847" s="9">
        <f t="shared" si="163"/>
        <v>6.0898716938043683E-3</v>
      </c>
      <c r="N847" s="9">
        <f t="shared" si="154"/>
        <v>7.4539934179795458E-3</v>
      </c>
    </row>
    <row r="848" spans="1:14" x14ac:dyDescent="0.35">
      <c r="A848" s="1">
        <v>43612</v>
      </c>
      <c r="B848" s="2" t="s">
        <v>848</v>
      </c>
      <c r="C848">
        <f t="shared" si="155"/>
        <v>78522.100000000006</v>
      </c>
      <c r="D848">
        <f t="shared" si="156"/>
        <v>2019</v>
      </c>
      <c r="E848">
        <f t="shared" si="157"/>
        <v>5</v>
      </c>
      <c r="F848" t="str">
        <f t="shared" si="159"/>
        <v>May</v>
      </c>
      <c r="G848">
        <f t="shared" si="158"/>
        <v>27</v>
      </c>
      <c r="H848" s="7">
        <f t="shared" si="160"/>
        <v>-0.13411329743836237</v>
      </c>
      <c r="I848" s="9">
        <f t="shared" si="161"/>
        <v>-1.3420330980915406E-3</v>
      </c>
      <c r="J848" s="9">
        <f t="shared" si="162"/>
        <v>79200.974285714285</v>
      </c>
      <c r="K848" s="9">
        <f t="shared" si="153"/>
        <v>79662.261333333343</v>
      </c>
      <c r="L848" s="9">
        <f t="shared" si="152"/>
        <v>78052.540555555504</v>
      </c>
      <c r="M848" s="9">
        <f t="shared" si="163"/>
        <v>4.9404805165209542E-3</v>
      </c>
      <c r="N848" s="9">
        <f t="shared" si="154"/>
        <v>7.1890362461309136E-3</v>
      </c>
    </row>
    <row r="849" spans="1:14" x14ac:dyDescent="0.35">
      <c r="A849" s="1">
        <v>43613</v>
      </c>
      <c r="B849" s="2" t="s">
        <v>849</v>
      </c>
      <c r="C849">
        <f t="shared" si="155"/>
        <v>78000.31</v>
      </c>
      <c r="D849">
        <f t="shared" si="156"/>
        <v>2019</v>
      </c>
      <c r="E849">
        <f t="shared" si="157"/>
        <v>5</v>
      </c>
      <c r="F849" t="str">
        <f t="shared" si="159"/>
        <v>May</v>
      </c>
      <c r="G849">
        <f t="shared" si="158"/>
        <v>28</v>
      </c>
      <c r="H849" s="7">
        <f t="shared" si="160"/>
        <v>-0.66451355732973028</v>
      </c>
      <c r="I849" s="9">
        <f t="shared" si="161"/>
        <v>-6.6673127883572301E-3</v>
      </c>
      <c r="J849" s="9">
        <f t="shared" si="162"/>
        <v>78986.010000000009</v>
      </c>
      <c r="K849" s="9">
        <f t="shared" si="153"/>
        <v>79635.236666666679</v>
      </c>
      <c r="L849" s="9">
        <f t="shared" si="152"/>
        <v>78066.452111111066</v>
      </c>
      <c r="M849" s="9">
        <f t="shared" si="163"/>
        <v>4.8783540782282742E-3</v>
      </c>
      <c r="N849" s="9">
        <f t="shared" si="154"/>
        <v>7.1285524929260557E-3</v>
      </c>
    </row>
    <row r="850" spans="1:14" x14ac:dyDescent="0.35">
      <c r="A850" s="1">
        <v>43614</v>
      </c>
      <c r="B850" s="2" t="s">
        <v>850</v>
      </c>
      <c r="C850">
        <f t="shared" si="155"/>
        <v>78342.7</v>
      </c>
      <c r="D850">
        <f t="shared" si="156"/>
        <v>2019</v>
      </c>
      <c r="E850">
        <f t="shared" si="157"/>
        <v>5</v>
      </c>
      <c r="F850" t="str">
        <f t="shared" si="159"/>
        <v>May</v>
      </c>
      <c r="G850">
        <f t="shared" si="158"/>
        <v>29</v>
      </c>
      <c r="H850" s="7">
        <f t="shared" si="160"/>
        <v>0.43895979387774153</v>
      </c>
      <c r="I850" s="9">
        <f t="shared" si="161"/>
        <v>4.3799917550090923E-3</v>
      </c>
      <c r="J850" s="9">
        <f t="shared" si="162"/>
        <v>78768.47</v>
      </c>
      <c r="K850" s="9">
        <f t="shared" si="153"/>
        <v>79585.680333333352</v>
      </c>
      <c r="L850" s="9">
        <f t="shared" si="152"/>
        <v>78070.673999999955</v>
      </c>
      <c r="M850" s="9">
        <f t="shared" si="163"/>
        <v>4.8430777914247264E-3</v>
      </c>
      <c r="N850" s="9">
        <f t="shared" si="154"/>
        <v>6.7461675049396664E-3</v>
      </c>
    </row>
    <row r="851" spans="1:14" x14ac:dyDescent="0.35">
      <c r="A851" s="1">
        <v>43615</v>
      </c>
      <c r="B851" s="2" t="s">
        <v>851</v>
      </c>
      <c r="C851">
        <f t="shared" si="155"/>
        <v>76858.94</v>
      </c>
      <c r="D851">
        <f t="shared" si="156"/>
        <v>2019</v>
      </c>
      <c r="E851">
        <f t="shared" si="157"/>
        <v>5</v>
      </c>
      <c r="F851" t="str">
        <f t="shared" si="159"/>
        <v>May</v>
      </c>
      <c r="G851">
        <f t="shared" si="158"/>
        <v>30</v>
      </c>
      <c r="H851" s="7">
        <f t="shared" si="160"/>
        <v>-1.8939352358292409</v>
      </c>
      <c r="I851" s="9">
        <f t="shared" si="161"/>
        <v>-1.9120999062953763E-2</v>
      </c>
      <c r="J851" s="9">
        <f t="shared" si="162"/>
        <v>78407.588571428583</v>
      </c>
      <c r="K851" s="9">
        <f t="shared" si="153"/>
        <v>79505.252333333337</v>
      </c>
      <c r="L851" s="9">
        <f t="shared" si="152"/>
        <v>78056.041999999958</v>
      </c>
      <c r="M851" s="9">
        <f t="shared" si="163"/>
        <v>7.8897606265662789E-3</v>
      </c>
      <c r="N851" s="9">
        <f t="shared" si="154"/>
        <v>7.4653755862873102E-3</v>
      </c>
    </row>
    <row r="852" spans="1:14" x14ac:dyDescent="0.35">
      <c r="A852" s="1">
        <v>43616</v>
      </c>
      <c r="B852" s="2" t="s">
        <v>852</v>
      </c>
      <c r="C852">
        <f t="shared" si="155"/>
        <v>75439.3</v>
      </c>
      <c r="D852">
        <f t="shared" si="156"/>
        <v>2019</v>
      </c>
      <c r="E852">
        <f t="shared" si="157"/>
        <v>5</v>
      </c>
      <c r="F852" t="str">
        <f t="shared" si="159"/>
        <v>May</v>
      </c>
      <c r="G852">
        <f t="shared" si="158"/>
        <v>31</v>
      </c>
      <c r="H852" s="7">
        <f t="shared" si="160"/>
        <v>-1.8470720517352952</v>
      </c>
      <c r="I852" s="9">
        <f t="shared" si="161"/>
        <v>-1.8643434347707634E-2</v>
      </c>
      <c r="J852" s="9">
        <f t="shared" si="162"/>
        <v>77874.945714285728</v>
      </c>
      <c r="K852" s="9">
        <f t="shared" si="153"/>
        <v>79345.656000000003</v>
      </c>
      <c r="L852" s="9">
        <f t="shared" si="152"/>
        <v>78031.279111111056</v>
      </c>
      <c r="M852" s="9">
        <f t="shared" si="163"/>
        <v>9.4029699258562586E-3</v>
      </c>
      <c r="N852" s="9">
        <f t="shared" si="154"/>
        <v>7.7145341831606267E-3</v>
      </c>
    </row>
    <row r="853" spans="1:14" x14ac:dyDescent="0.35">
      <c r="A853" s="1">
        <v>43619</v>
      </c>
      <c r="B853" s="2" t="s">
        <v>853</v>
      </c>
      <c r="C853">
        <f t="shared" si="155"/>
        <v>74567.61</v>
      </c>
      <c r="D853">
        <f t="shared" si="156"/>
        <v>2019</v>
      </c>
      <c r="E853">
        <f t="shared" si="157"/>
        <v>6</v>
      </c>
      <c r="F853" t="str">
        <f t="shared" si="159"/>
        <v>June</v>
      </c>
      <c r="G853">
        <f t="shared" si="158"/>
        <v>3</v>
      </c>
      <c r="H853" s="7">
        <f t="shared" si="160"/>
        <v>-1.1554852709396857</v>
      </c>
      <c r="I853" s="9">
        <f t="shared" si="161"/>
        <v>-1.1622128765360219E-2</v>
      </c>
      <c r="J853" s="9">
        <f t="shared" si="162"/>
        <v>77194.072857142863</v>
      </c>
      <c r="K853" s="9">
        <f t="shared" si="153"/>
        <v>79182.184333333338</v>
      </c>
      <c r="L853" s="9">
        <f t="shared" si="152"/>
        <v>77988.799888888854</v>
      </c>
      <c r="M853" s="9">
        <f t="shared" si="163"/>
        <v>8.6145626955150129E-3</v>
      </c>
      <c r="N853" s="9">
        <f t="shared" si="154"/>
        <v>7.7957834370503565E-3</v>
      </c>
    </row>
    <row r="854" spans="1:14" x14ac:dyDescent="0.35">
      <c r="A854" s="1">
        <v>43620</v>
      </c>
      <c r="B854" s="2" t="s">
        <v>854</v>
      </c>
      <c r="C854">
        <f t="shared" si="155"/>
        <v>74436.479999999996</v>
      </c>
      <c r="D854">
        <f t="shared" si="156"/>
        <v>2019</v>
      </c>
      <c r="E854">
        <f t="shared" si="157"/>
        <v>6</v>
      </c>
      <c r="F854" t="str">
        <f t="shared" si="159"/>
        <v>June</v>
      </c>
      <c r="G854">
        <f t="shared" si="158"/>
        <v>4</v>
      </c>
      <c r="H854" s="7">
        <f t="shared" si="160"/>
        <v>-0.17585383251522296</v>
      </c>
      <c r="I854" s="9">
        <f t="shared" si="161"/>
        <v>-1.7600863688017178E-3</v>
      </c>
      <c r="J854" s="9">
        <f t="shared" si="162"/>
        <v>76595.348571428563</v>
      </c>
      <c r="K854" s="9">
        <f t="shared" si="153"/>
        <v>79001.466333333345</v>
      </c>
      <c r="L854" s="9">
        <f t="shared" si="152"/>
        <v>77949.504999999976</v>
      </c>
      <c r="M854" s="9">
        <f t="shared" si="163"/>
        <v>9.0200739456317864E-3</v>
      </c>
      <c r="N854" s="9">
        <f t="shared" si="154"/>
        <v>7.68456498149769E-3</v>
      </c>
    </row>
    <row r="855" spans="1:14" x14ac:dyDescent="0.35">
      <c r="A855" s="1">
        <v>43621</v>
      </c>
      <c r="B855" s="2" t="s">
        <v>855</v>
      </c>
      <c r="C855">
        <f t="shared" si="155"/>
        <v>73048.570000000007</v>
      </c>
      <c r="D855">
        <f t="shared" si="156"/>
        <v>2019</v>
      </c>
      <c r="E855">
        <f t="shared" si="157"/>
        <v>6</v>
      </c>
      <c r="F855" t="str">
        <f t="shared" si="159"/>
        <v>June</v>
      </c>
      <c r="G855">
        <f t="shared" si="158"/>
        <v>5</v>
      </c>
      <c r="H855" s="7">
        <f t="shared" si="160"/>
        <v>-1.8645561961016817</v>
      </c>
      <c r="I855" s="9">
        <f t="shared" si="161"/>
        <v>-1.882158187887879E-2</v>
      </c>
      <c r="J855" s="9">
        <f t="shared" si="162"/>
        <v>75813.4157142857</v>
      </c>
      <c r="K855" s="9">
        <f t="shared" si="153"/>
        <v>78777.411666666652</v>
      </c>
      <c r="L855" s="9">
        <f t="shared" si="152"/>
        <v>77891.581888888875</v>
      </c>
      <c r="M855" s="9">
        <f t="shared" si="163"/>
        <v>9.3399995172991582E-3</v>
      </c>
      <c r="N855" s="9">
        <f t="shared" si="154"/>
        <v>8.2462900568595447E-3</v>
      </c>
    </row>
    <row r="856" spans="1:14" x14ac:dyDescent="0.35">
      <c r="A856" s="1">
        <v>43622</v>
      </c>
      <c r="B856" s="2" t="s">
        <v>856</v>
      </c>
      <c r="C856">
        <f t="shared" si="155"/>
        <v>73597.14</v>
      </c>
      <c r="D856">
        <f t="shared" si="156"/>
        <v>2019</v>
      </c>
      <c r="E856">
        <f t="shared" si="157"/>
        <v>6</v>
      </c>
      <c r="F856" t="str">
        <f t="shared" si="159"/>
        <v>June</v>
      </c>
      <c r="G856">
        <f t="shared" si="158"/>
        <v>6</v>
      </c>
      <c r="H856" s="7">
        <f t="shared" si="160"/>
        <v>0.75096610378545725</v>
      </c>
      <c r="I856" s="9">
        <f t="shared" si="161"/>
        <v>7.4816039121844069E-3</v>
      </c>
      <c r="J856" s="9">
        <f t="shared" si="162"/>
        <v>75184.391428571427</v>
      </c>
      <c r="K856" s="9">
        <f t="shared" si="153"/>
        <v>78597.804666666678</v>
      </c>
      <c r="L856" s="9">
        <f t="shared" si="152"/>
        <v>77838.992333333314</v>
      </c>
      <c r="M856" s="9">
        <f t="shared" si="163"/>
        <v>1.153568778874573E-2</v>
      </c>
      <c r="N856" s="9">
        <f t="shared" si="154"/>
        <v>8.3503418379262829E-3</v>
      </c>
    </row>
    <row r="857" spans="1:14" x14ac:dyDescent="0.35">
      <c r="A857" s="1">
        <v>43623</v>
      </c>
      <c r="B857" s="2" t="s">
        <v>857</v>
      </c>
      <c r="C857">
        <f t="shared" si="155"/>
        <v>74277.56</v>
      </c>
      <c r="D857">
        <f t="shared" si="156"/>
        <v>2019</v>
      </c>
      <c r="E857">
        <f t="shared" si="157"/>
        <v>6</v>
      </c>
      <c r="F857" t="str">
        <f t="shared" si="159"/>
        <v>June</v>
      </c>
      <c r="G857">
        <f t="shared" si="158"/>
        <v>7</v>
      </c>
      <c r="H857" s="7">
        <f t="shared" si="160"/>
        <v>0.9245196212787592</v>
      </c>
      <c r="I857" s="9">
        <f t="shared" si="161"/>
        <v>9.202720980147773E-3</v>
      </c>
      <c r="J857" s="9">
        <f t="shared" si="162"/>
        <v>74603.657142857133</v>
      </c>
      <c r="K857" s="9">
        <f t="shared" si="153"/>
        <v>78406.353666666677</v>
      </c>
      <c r="L857" s="9">
        <f t="shared" si="152"/>
        <v>77808.77455555553</v>
      </c>
      <c r="M857" s="9">
        <f t="shared" si="163"/>
        <v>1.2521195867120489E-2</v>
      </c>
      <c r="N857" s="9">
        <f t="shared" si="154"/>
        <v>8.1337486040609502E-3</v>
      </c>
    </row>
    <row r="858" spans="1:14" x14ac:dyDescent="0.35">
      <c r="A858" s="1">
        <v>43626</v>
      </c>
      <c r="B858" s="2" t="s">
        <v>858</v>
      </c>
      <c r="C858">
        <f t="shared" si="155"/>
        <v>73493.47</v>
      </c>
      <c r="D858">
        <f t="shared" si="156"/>
        <v>2019</v>
      </c>
      <c r="E858">
        <f t="shared" si="157"/>
        <v>6</v>
      </c>
      <c r="F858" t="str">
        <f t="shared" si="159"/>
        <v>June</v>
      </c>
      <c r="G858">
        <f t="shared" si="158"/>
        <v>10</v>
      </c>
      <c r="H858" s="7">
        <f t="shared" si="160"/>
        <v>-1.0556216440066106</v>
      </c>
      <c r="I858" s="9">
        <f t="shared" si="161"/>
        <v>-1.0612328529752336E-2</v>
      </c>
      <c r="J858" s="9">
        <f t="shared" si="162"/>
        <v>74122.875714285721</v>
      </c>
      <c r="K858" s="9">
        <f t="shared" si="153"/>
        <v>78190.283000000025</v>
      </c>
      <c r="L858" s="9">
        <f t="shared" si="152"/>
        <v>77761.201777777736</v>
      </c>
      <c r="M858" s="9">
        <f t="shared" si="163"/>
        <v>1.1596581834991553E-2</v>
      </c>
      <c r="N858" s="9">
        <f t="shared" si="154"/>
        <v>8.2580016739522803E-3</v>
      </c>
    </row>
    <row r="859" spans="1:14" x14ac:dyDescent="0.35">
      <c r="A859" s="1">
        <v>43627</v>
      </c>
      <c r="B859" s="2" t="s">
        <v>859</v>
      </c>
      <c r="C859">
        <f t="shared" si="155"/>
        <v>73225.13</v>
      </c>
      <c r="D859">
        <f t="shared" si="156"/>
        <v>2019</v>
      </c>
      <c r="E859">
        <f t="shared" si="157"/>
        <v>6</v>
      </c>
      <c r="F859" t="str">
        <f t="shared" si="159"/>
        <v>June</v>
      </c>
      <c r="G859">
        <f t="shared" si="158"/>
        <v>11</v>
      </c>
      <c r="H859" s="7">
        <f t="shared" si="160"/>
        <v>-0.36512087400417548</v>
      </c>
      <c r="I859" s="9">
        <f t="shared" si="161"/>
        <v>-3.6578906723851211E-3</v>
      </c>
      <c r="J859" s="9">
        <f t="shared" si="162"/>
        <v>73806.565714285709</v>
      </c>
      <c r="K859" s="9">
        <f t="shared" si="153"/>
        <v>77979.98000000001</v>
      </c>
      <c r="L859" s="9">
        <f t="shared" si="152"/>
        <v>77710.626888888859</v>
      </c>
      <c r="M859" s="9">
        <f t="shared" si="163"/>
        <v>1.0265758420739336E-2</v>
      </c>
      <c r="N859" s="9">
        <f t="shared" si="154"/>
        <v>8.2438110169022107E-3</v>
      </c>
    </row>
    <row r="860" spans="1:14" x14ac:dyDescent="0.35">
      <c r="A860" s="1">
        <v>43628</v>
      </c>
      <c r="B860" s="2" t="s">
        <v>860</v>
      </c>
      <c r="C860">
        <f t="shared" si="155"/>
        <v>73836.91</v>
      </c>
      <c r="D860">
        <f t="shared" si="156"/>
        <v>2019</v>
      </c>
      <c r="E860">
        <f t="shared" si="157"/>
        <v>6</v>
      </c>
      <c r="F860" t="str">
        <f t="shared" si="159"/>
        <v>June</v>
      </c>
      <c r="G860">
        <f t="shared" si="158"/>
        <v>12</v>
      </c>
      <c r="H860" s="7">
        <f t="shared" si="160"/>
        <v>0.83547820263343864</v>
      </c>
      <c r="I860" s="9">
        <f t="shared" si="161"/>
        <v>8.3200740195367787E-3</v>
      </c>
      <c r="J860" s="9">
        <f t="shared" si="162"/>
        <v>73702.180000000008</v>
      </c>
      <c r="K860" s="9">
        <f t="shared" si="153"/>
        <v>77788.449333333352</v>
      </c>
      <c r="L860" s="9">
        <f t="shared" ref="L860:L923" si="164">AVERAGE(C771:C860)</f>
        <v>77658.011111111075</v>
      </c>
      <c r="M860" s="9">
        <f t="shared" si="163"/>
        <v>1.0641008266757316E-2</v>
      </c>
      <c r="N860" s="9">
        <f t="shared" si="154"/>
        <v>8.4694132221038512E-3</v>
      </c>
    </row>
    <row r="861" spans="1:14" x14ac:dyDescent="0.35">
      <c r="A861" s="1">
        <v>43629</v>
      </c>
      <c r="B861" s="2" t="s">
        <v>861</v>
      </c>
      <c r="C861">
        <f t="shared" si="155"/>
        <v>73040.509999999995</v>
      </c>
      <c r="D861">
        <f t="shared" si="156"/>
        <v>2019</v>
      </c>
      <c r="E861">
        <f t="shared" si="157"/>
        <v>6</v>
      </c>
      <c r="F861" t="str">
        <f t="shared" si="159"/>
        <v>June</v>
      </c>
      <c r="G861">
        <f t="shared" si="158"/>
        <v>13</v>
      </c>
      <c r="H861" s="7">
        <f t="shared" si="160"/>
        <v>-1.0785933485028134</v>
      </c>
      <c r="I861" s="9">
        <f t="shared" si="161"/>
        <v>-1.0844523344015337E-2</v>
      </c>
      <c r="J861" s="9">
        <f t="shared" si="162"/>
        <v>73502.755714285726</v>
      </c>
      <c r="K861" s="9">
        <f t="shared" si="153"/>
        <v>77548.435666666657</v>
      </c>
      <c r="L861" s="9">
        <f t="shared" si="164"/>
        <v>77601.430444444399</v>
      </c>
      <c r="M861" s="9">
        <f t="shared" si="163"/>
        <v>1.1229001668507184E-2</v>
      </c>
      <c r="N861" s="9">
        <f t="shared" si="154"/>
        <v>8.3511834568048889E-3</v>
      </c>
    </row>
    <row r="862" spans="1:14" x14ac:dyDescent="0.35">
      <c r="A862" s="1">
        <v>43630</v>
      </c>
      <c r="B862" s="2" t="s">
        <v>862</v>
      </c>
      <c r="C862">
        <f t="shared" si="155"/>
        <v>73359.600000000006</v>
      </c>
      <c r="D862">
        <f t="shared" si="156"/>
        <v>2019</v>
      </c>
      <c r="E862">
        <f t="shared" si="157"/>
        <v>6</v>
      </c>
      <c r="F862" t="str">
        <f t="shared" si="159"/>
        <v>June</v>
      </c>
      <c r="G862">
        <f t="shared" si="158"/>
        <v>14</v>
      </c>
      <c r="H862" s="7">
        <f t="shared" si="160"/>
        <v>0.4368671576910006</v>
      </c>
      <c r="I862" s="9">
        <f t="shared" si="161"/>
        <v>4.3591566329481898E-3</v>
      </c>
      <c r="J862" s="9">
        <f t="shared" si="162"/>
        <v>73547.188571428575</v>
      </c>
      <c r="K862" s="9">
        <f t="shared" si="153"/>
        <v>77333.686000000016</v>
      </c>
      <c r="L862" s="9">
        <f t="shared" si="164"/>
        <v>77557.968999999954</v>
      </c>
      <c r="M862" s="9">
        <f t="shared" si="163"/>
        <v>8.8498286268383838E-3</v>
      </c>
      <c r="N862" s="9">
        <f t="shared" si="154"/>
        <v>8.4484666052151713E-3</v>
      </c>
    </row>
    <row r="863" spans="1:14" x14ac:dyDescent="0.35">
      <c r="A863" s="1">
        <v>43634</v>
      </c>
      <c r="B863" s="2" t="s">
        <v>863</v>
      </c>
      <c r="C863">
        <f t="shared" si="155"/>
        <v>72989.34</v>
      </c>
      <c r="D863">
        <f t="shared" si="156"/>
        <v>2019</v>
      </c>
      <c r="E863">
        <f t="shared" si="157"/>
        <v>6</v>
      </c>
      <c r="F863" t="str">
        <f t="shared" si="159"/>
        <v>June</v>
      </c>
      <c r="G863">
        <f t="shared" si="158"/>
        <v>18</v>
      </c>
      <c r="H863" s="7">
        <f t="shared" si="160"/>
        <v>-0.50471921875256853</v>
      </c>
      <c r="I863" s="9">
        <f t="shared" si="161"/>
        <v>-5.0599722825473981E-3</v>
      </c>
      <c r="J863" s="9">
        <f t="shared" si="162"/>
        <v>73460.36</v>
      </c>
      <c r="K863" s="9">
        <f t="shared" si="153"/>
        <v>77106.101666666669</v>
      </c>
      <c r="L863" s="9">
        <f t="shared" si="164"/>
        <v>77499.866111111085</v>
      </c>
      <c r="M863" s="9">
        <f t="shared" si="163"/>
        <v>8.4882307171334024E-3</v>
      </c>
      <c r="N863" s="9">
        <f t="shared" si="154"/>
        <v>8.4387007657554906E-3</v>
      </c>
    </row>
    <row r="864" spans="1:14" x14ac:dyDescent="0.35">
      <c r="A864" s="1">
        <v>43635</v>
      </c>
      <c r="B864" s="2" t="s">
        <v>864</v>
      </c>
      <c r="C864">
        <f t="shared" si="155"/>
        <v>74294.67</v>
      </c>
      <c r="D864">
        <f t="shared" si="156"/>
        <v>2019</v>
      </c>
      <c r="E864">
        <f t="shared" si="157"/>
        <v>6</v>
      </c>
      <c r="F864" t="str">
        <f t="shared" si="159"/>
        <v>June</v>
      </c>
      <c r="G864">
        <f t="shared" si="158"/>
        <v>19</v>
      </c>
      <c r="H864" s="7">
        <f t="shared" si="160"/>
        <v>1.7883844407964256</v>
      </c>
      <c r="I864" s="9">
        <f t="shared" si="161"/>
        <v>1.7725809857880529E-2</v>
      </c>
      <c r="J864" s="9">
        <f t="shared" si="162"/>
        <v>73462.804285714272</v>
      </c>
      <c r="K864" s="9">
        <f t="shared" ref="K864:K927" si="165">AVERAGE(C835:C864)</f>
        <v>76933.370666666669</v>
      </c>
      <c r="L864" s="9">
        <f t="shared" si="164"/>
        <v>77463.885777777745</v>
      </c>
      <c r="M864" s="9">
        <f t="shared" si="163"/>
        <v>1.0580101778436829E-2</v>
      </c>
      <c r="N864" s="9">
        <f t="shared" si="154"/>
        <v>9.2402793828939983E-3</v>
      </c>
    </row>
    <row r="865" spans="1:14" x14ac:dyDescent="0.35">
      <c r="A865" s="1">
        <v>43636</v>
      </c>
      <c r="B865" s="2" t="s">
        <v>865</v>
      </c>
      <c r="C865">
        <f t="shared" si="155"/>
        <v>75835.45</v>
      </c>
      <c r="D865">
        <f t="shared" si="156"/>
        <v>2019</v>
      </c>
      <c r="E865">
        <f t="shared" si="157"/>
        <v>6</v>
      </c>
      <c r="F865" t="str">
        <f t="shared" si="159"/>
        <v>June</v>
      </c>
      <c r="G865">
        <f t="shared" si="158"/>
        <v>20</v>
      </c>
      <c r="H865" s="7">
        <f t="shared" si="160"/>
        <v>2.0738769012635752</v>
      </c>
      <c r="I865" s="9">
        <f t="shared" si="161"/>
        <v>2.0526648475299523E-2</v>
      </c>
      <c r="J865" s="9">
        <f t="shared" si="162"/>
        <v>73797.372857142851</v>
      </c>
      <c r="K865" s="9">
        <f t="shared" si="165"/>
        <v>76783.723666666672</v>
      </c>
      <c r="L865" s="9">
        <f t="shared" si="164"/>
        <v>77437.408888888851</v>
      </c>
      <c r="M865" s="9">
        <f t="shared" si="163"/>
        <v>1.1830641830868134E-2</v>
      </c>
      <c r="N865" s="9">
        <f t="shared" ref="N865:N928" si="166">STDEV(I836:I865)</f>
        <v>9.8715965669125376E-3</v>
      </c>
    </row>
    <row r="866" spans="1:14" x14ac:dyDescent="0.35">
      <c r="A866" s="1">
        <v>43637</v>
      </c>
      <c r="B866" s="2" t="s">
        <v>866</v>
      </c>
      <c r="C866">
        <f t="shared" si="155"/>
        <v>74422.179999999993</v>
      </c>
      <c r="D866">
        <f t="shared" si="156"/>
        <v>2019</v>
      </c>
      <c r="E866">
        <f t="shared" si="157"/>
        <v>6</v>
      </c>
      <c r="F866" t="str">
        <f t="shared" si="159"/>
        <v>June</v>
      </c>
      <c r="G866">
        <f t="shared" si="158"/>
        <v>21</v>
      </c>
      <c r="H866" s="7">
        <f t="shared" si="160"/>
        <v>-1.8636007302653363</v>
      </c>
      <c r="I866" s="9">
        <f t="shared" si="161"/>
        <v>-1.8811845731080974E-2</v>
      </c>
      <c r="J866" s="9">
        <f t="shared" si="162"/>
        <v>73968.37999999999</v>
      </c>
      <c r="K866" s="9">
        <f t="shared" si="165"/>
        <v>76571.41766666669</v>
      </c>
      <c r="L866" s="9">
        <f t="shared" si="164"/>
        <v>77396.298444444401</v>
      </c>
      <c r="M866" s="9">
        <f t="shared" si="163"/>
        <v>1.4624770978505893E-2</v>
      </c>
      <c r="N866" s="9">
        <f t="shared" si="166"/>
        <v>1.0224795554478545E-2</v>
      </c>
    </row>
    <row r="867" spans="1:14" x14ac:dyDescent="0.35">
      <c r="A867" s="1">
        <v>43640</v>
      </c>
      <c r="B867" s="2" t="s">
        <v>867</v>
      </c>
      <c r="C867">
        <f t="shared" si="155"/>
        <v>74548.14</v>
      </c>
      <c r="D867">
        <f t="shared" si="156"/>
        <v>2019</v>
      </c>
      <c r="E867">
        <f t="shared" si="157"/>
        <v>6</v>
      </c>
      <c r="F867" t="str">
        <f t="shared" si="159"/>
        <v>June</v>
      </c>
      <c r="G867">
        <f t="shared" si="158"/>
        <v>24</v>
      </c>
      <c r="H867" s="7">
        <f t="shared" si="160"/>
        <v>0.16925061856560292</v>
      </c>
      <c r="I867" s="9">
        <f t="shared" si="161"/>
        <v>1.6910755111180355E-3</v>
      </c>
      <c r="J867" s="9">
        <f t="shared" si="162"/>
        <v>74069.984285714294</v>
      </c>
      <c r="K867" s="9">
        <f t="shared" si="165"/>
        <v>76372.723333333342</v>
      </c>
      <c r="L867" s="9">
        <f t="shared" si="164"/>
        <v>77359.154111111071</v>
      </c>
      <c r="M867" s="9">
        <f t="shared" si="163"/>
        <v>1.4383867485591381E-2</v>
      </c>
      <c r="N867" s="9">
        <f t="shared" si="166"/>
        <v>1.0255316095295475E-2</v>
      </c>
    </row>
    <row r="868" spans="1:14" x14ac:dyDescent="0.35">
      <c r="A868" s="1">
        <v>43641</v>
      </c>
      <c r="B868" s="2" t="s">
        <v>868</v>
      </c>
      <c r="C868">
        <f t="shared" si="155"/>
        <v>74467.259999999995</v>
      </c>
      <c r="D868">
        <f t="shared" si="156"/>
        <v>2019</v>
      </c>
      <c r="E868">
        <f t="shared" si="157"/>
        <v>6</v>
      </c>
      <c r="F868" t="str">
        <f t="shared" si="159"/>
        <v>June</v>
      </c>
      <c r="G868">
        <f t="shared" si="158"/>
        <v>25</v>
      </c>
      <c r="H868" s="7">
        <f t="shared" si="160"/>
        <v>-0.10849365255793726</v>
      </c>
      <c r="I868" s="9">
        <f t="shared" si="161"/>
        <v>-1.0855254952466691E-3</v>
      </c>
      <c r="J868" s="9">
        <f t="shared" si="162"/>
        <v>74273.805714285714</v>
      </c>
      <c r="K868" s="9">
        <f t="shared" si="165"/>
        <v>76197.45</v>
      </c>
      <c r="L868" s="9">
        <f t="shared" si="164"/>
        <v>77318.552888888851</v>
      </c>
      <c r="M868" s="9">
        <f t="shared" si="163"/>
        <v>1.3445033987470559E-2</v>
      </c>
      <c r="N868" s="9">
        <f t="shared" si="166"/>
        <v>1.0166844106700429E-2</v>
      </c>
    </row>
    <row r="869" spans="1:14" x14ac:dyDescent="0.35">
      <c r="A869" s="1">
        <v>43642</v>
      </c>
      <c r="B869" s="2" t="s">
        <v>869</v>
      </c>
      <c r="C869">
        <f t="shared" si="155"/>
        <v>74011.12</v>
      </c>
      <c r="D869">
        <f t="shared" si="156"/>
        <v>2019</v>
      </c>
      <c r="E869">
        <f t="shared" si="157"/>
        <v>6</v>
      </c>
      <c r="F869" t="str">
        <f t="shared" si="159"/>
        <v>June</v>
      </c>
      <c r="G869">
        <f t="shared" si="158"/>
        <v>26</v>
      </c>
      <c r="H869" s="7">
        <f t="shared" si="160"/>
        <v>-0.61253764405995259</v>
      </c>
      <c r="I869" s="9">
        <f t="shared" si="161"/>
        <v>-6.1442135210688659E-3</v>
      </c>
      <c r="J869" s="9">
        <f t="shared" si="162"/>
        <v>74366.880000000005</v>
      </c>
      <c r="K869" s="9">
        <f t="shared" si="165"/>
        <v>75996.587</v>
      </c>
      <c r="L869" s="9">
        <f t="shared" si="164"/>
        <v>77275.221333333306</v>
      </c>
      <c r="M869" s="9">
        <f t="shared" si="163"/>
        <v>1.3818208417788462E-2</v>
      </c>
      <c r="N869" s="9">
        <f t="shared" si="166"/>
        <v>1.0121785547579963E-2</v>
      </c>
    </row>
    <row r="870" spans="1:14" x14ac:dyDescent="0.35">
      <c r="A870" s="1">
        <v>43643</v>
      </c>
      <c r="B870" s="2" t="s">
        <v>870</v>
      </c>
      <c r="C870">
        <f t="shared" si="155"/>
        <v>74557.31</v>
      </c>
      <c r="D870">
        <f t="shared" si="156"/>
        <v>2019</v>
      </c>
      <c r="E870">
        <f t="shared" si="157"/>
        <v>6</v>
      </c>
      <c r="F870" t="str">
        <f t="shared" si="159"/>
        <v>June</v>
      </c>
      <c r="G870">
        <f t="shared" si="158"/>
        <v>27</v>
      </c>
      <c r="H870" s="7">
        <f t="shared" si="160"/>
        <v>0.73798369758490667</v>
      </c>
      <c r="I870" s="9">
        <f t="shared" si="161"/>
        <v>7.3527392153231591E-3</v>
      </c>
      <c r="J870" s="9">
        <f t="shared" si="162"/>
        <v>74590.875714285721</v>
      </c>
      <c r="K870" s="9">
        <f t="shared" si="165"/>
        <v>75810.876333333319</v>
      </c>
      <c r="L870" s="9">
        <f t="shared" si="164"/>
        <v>77227.155222222194</v>
      </c>
      <c r="M870" s="9">
        <f t="shared" si="163"/>
        <v>1.366716266480934E-2</v>
      </c>
      <c r="N870" s="9">
        <f t="shared" si="166"/>
        <v>1.0263650515915724E-2</v>
      </c>
    </row>
    <row r="871" spans="1:14" x14ac:dyDescent="0.35">
      <c r="A871" s="1">
        <v>43644</v>
      </c>
      <c r="B871" s="2" t="s">
        <v>871</v>
      </c>
      <c r="C871">
        <f t="shared" si="155"/>
        <v>74693.42</v>
      </c>
      <c r="D871">
        <f t="shared" si="156"/>
        <v>2019</v>
      </c>
      <c r="E871">
        <f t="shared" si="157"/>
        <v>6</v>
      </c>
      <c r="F871" t="str">
        <f t="shared" si="159"/>
        <v>June</v>
      </c>
      <c r="G871">
        <f t="shared" si="158"/>
        <v>28</v>
      </c>
      <c r="H871" s="7">
        <f t="shared" si="160"/>
        <v>0.18255755203614588</v>
      </c>
      <c r="I871" s="9">
        <f t="shared" si="161"/>
        <v>1.8239111826462227E-3</v>
      </c>
      <c r="J871" s="9">
        <f t="shared" si="162"/>
        <v>74647.839999999997</v>
      </c>
      <c r="K871" s="9">
        <f t="shared" si="165"/>
        <v>75658.331333333321</v>
      </c>
      <c r="L871" s="9">
        <f t="shared" si="164"/>
        <v>77181.561444444407</v>
      </c>
      <c r="M871" s="9">
        <f t="shared" si="163"/>
        <v>1.2043771082626796E-2</v>
      </c>
      <c r="N871" s="9">
        <f t="shared" si="166"/>
        <v>1.016649908331118E-2</v>
      </c>
    </row>
    <row r="872" spans="1:14" x14ac:dyDescent="0.35">
      <c r="A872" s="1">
        <v>43647</v>
      </c>
      <c r="B872" s="2" t="s">
        <v>872</v>
      </c>
      <c r="C872">
        <f t="shared" si="155"/>
        <v>74322.91</v>
      </c>
      <c r="D872">
        <f t="shared" si="156"/>
        <v>2019</v>
      </c>
      <c r="E872">
        <f t="shared" si="157"/>
        <v>7</v>
      </c>
      <c r="F872" t="str">
        <f t="shared" si="159"/>
        <v>July</v>
      </c>
      <c r="G872">
        <f t="shared" si="158"/>
        <v>1</v>
      </c>
      <c r="H872" s="7">
        <f t="shared" si="160"/>
        <v>-0.49604101673212281</v>
      </c>
      <c r="I872" s="9">
        <f t="shared" si="161"/>
        <v>-4.9727538385350304E-3</v>
      </c>
      <c r="J872" s="9">
        <f t="shared" si="162"/>
        <v>74431.76285714285</v>
      </c>
      <c r="K872" s="9">
        <f t="shared" si="165"/>
        <v>75485.592999999979</v>
      </c>
      <c r="L872" s="9">
        <f t="shared" si="164"/>
        <v>77126.318666666615</v>
      </c>
      <c r="M872" s="9">
        <f t="shared" si="163"/>
        <v>8.3646975804614609E-3</v>
      </c>
      <c r="N872" s="9">
        <f t="shared" si="166"/>
        <v>1.0136575381987761E-2</v>
      </c>
    </row>
    <row r="873" spans="1:14" x14ac:dyDescent="0.35">
      <c r="A873" s="1">
        <v>43648</v>
      </c>
      <c r="B873" s="2" t="s">
        <v>873</v>
      </c>
      <c r="C873">
        <f t="shared" si="155"/>
        <v>75020.009999999995</v>
      </c>
      <c r="D873">
        <f t="shared" si="156"/>
        <v>2019</v>
      </c>
      <c r="E873">
        <f t="shared" si="157"/>
        <v>7</v>
      </c>
      <c r="F873" t="str">
        <f t="shared" si="159"/>
        <v>July</v>
      </c>
      <c r="G873">
        <f t="shared" si="158"/>
        <v>2</v>
      </c>
      <c r="H873" s="7">
        <f t="shared" si="160"/>
        <v>0.93793421167173252</v>
      </c>
      <c r="I873" s="9">
        <f t="shared" si="161"/>
        <v>9.335629207091637E-3</v>
      </c>
      <c r="J873" s="9">
        <f t="shared" si="162"/>
        <v>74517.167142857128</v>
      </c>
      <c r="K873" s="9">
        <f t="shared" si="165"/>
        <v>75324.077333333305</v>
      </c>
      <c r="L873" s="9">
        <f t="shared" si="164"/>
        <v>77085.166555555523</v>
      </c>
      <c r="M873" s="9">
        <f t="shared" si="163"/>
        <v>5.8010963482088484E-3</v>
      </c>
      <c r="N873" s="9">
        <f t="shared" si="166"/>
        <v>1.0284409973743695E-2</v>
      </c>
    </row>
    <row r="874" spans="1:14" x14ac:dyDescent="0.35">
      <c r="A874" s="1">
        <v>43649</v>
      </c>
      <c r="B874" s="2" t="s">
        <v>874</v>
      </c>
      <c r="C874">
        <f t="shared" si="155"/>
        <v>74828</v>
      </c>
      <c r="D874">
        <f t="shared" si="156"/>
        <v>2019</v>
      </c>
      <c r="E874">
        <f t="shared" si="157"/>
        <v>7</v>
      </c>
      <c r="F874" t="str">
        <f t="shared" si="159"/>
        <v>July</v>
      </c>
      <c r="G874">
        <f t="shared" si="158"/>
        <v>3</v>
      </c>
      <c r="H874" s="7">
        <f t="shared" si="160"/>
        <v>-0.25594504719473482</v>
      </c>
      <c r="I874" s="9">
        <f t="shared" si="161"/>
        <v>-2.5627314648614991E-3</v>
      </c>
      <c r="J874" s="9">
        <f t="shared" si="162"/>
        <v>74557.147142857153</v>
      </c>
      <c r="K874" s="9">
        <f t="shared" si="165"/>
        <v>75172.173666666655</v>
      </c>
      <c r="L874" s="9">
        <f t="shared" si="164"/>
        <v>77040.25144444441</v>
      </c>
      <c r="M874" s="9">
        <f t="shared" si="163"/>
        <v>5.9548750700193429E-3</v>
      </c>
      <c r="N874" s="9">
        <f t="shared" si="166"/>
        <v>1.0257971604290907E-2</v>
      </c>
    </row>
    <row r="875" spans="1:14" x14ac:dyDescent="0.35">
      <c r="A875" s="1">
        <v>43650</v>
      </c>
      <c r="B875" s="2" t="s">
        <v>875</v>
      </c>
      <c r="C875">
        <f t="shared" si="155"/>
        <v>73127.92</v>
      </c>
      <c r="D875">
        <f t="shared" si="156"/>
        <v>2019</v>
      </c>
      <c r="E875">
        <f t="shared" si="157"/>
        <v>7</v>
      </c>
      <c r="F875" t="str">
        <f t="shared" si="159"/>
        <v>July</v>
      </c>
      <c r="G875">
        <f t="shared" si="158"/>
        <v>4</v>
      </c>
      <c r="H875" s="7">
        <f t="shared" si="160"/>
        <v>-2.2719837493986228</v>
      </c>
      <c r="I875" s="9">
        <f t="shared" si="161"/>
        <v>-2.2981910107951999E-2</v>
      </c>
      <c r="J875" s="9">
        <f t="shared" si="162"/>
        <v>74365.812857142853</v>
      </c>
      <c r="K875" s="9">
        <f t="shared" si="165"/>
        <v>74970.844333333327</v>
      </c>
      <c r="L875" s="9">
        <f t="shared" si="164"/>
        <v>76980.975333333292</v>
      </c>
      <c r="M875" s="9">
        <f t="shared" si="163"/>
        <v>1.0760281476141456E-2</v>
      </c>
      <c r="N875" s="9">
        <f t="shared" si="166"/>
        <v>1.0952527147291257E-2</v>
      </c>
    </row>
    <row r="876" spans="1:14" x14ac:dyDescent="0.35">
      <c r="A876" s="1">
        <v>43651</v>
      </c>
      <c r="B876" s="2" t="s">
        <v>876</v>
      </c>
      <c r="C876">
        <f t="shared" si="155"/>
        <v>73368.25</v>
      </c>
      <c r="D876">
        <f t="shared" si="156"/>
        <v>2019</v>
      </c>
      <c r="E876">
        <f t="shared" si="157"/>
        <v>7</v>
      </c>
      <c r="F876" t="str">
        <f t="shared" si="159"/>
        <v>July</v>
      </c>
      <c r="G876">
        <f t="shared" si="158"/>
        <v>5</v>
      </c>
      <c r="H876" s="7">
        <f t="shared" si="160"/>
        <v>0.32864328699626866</v>
      </c>
      <c r="I876" s="9">
        <f t="shared" si="161"/>
        <v>3.2810443522318243E-3</v>
      </c>
      <c r="J876" s="9">
        <f t="shared" si="162"/>
        <v>74273.974285714285</v>
      </c>
      <c r="K876" s="9">
        <f t="shared" si="165"/>
        <v>74771.995333333325</v>
      </c>
      <c r="L876" s="9">
        <f t="shared" si="164"/>
        <v>76932.392666666623</v>
      </c>
      <c r="M876" s="9">
        <f t="shared" si="163"/>
        <v>1.0831281407244285E-2</v>
      </c>
      <c r="N876" s="9">
        <f t="shared" si="166"/>
        <v>1.0972371279260264E-2</v>
      </c>
    </row>
    <row r="877" spans="1:14" x14ac:dyDescent="0.35">
      <c r="A877" s="1">
        <v>43654</v>
      </c>
      <c r="B877" s="2" t="s">
        <v>877</v>
      </c>
      <c r="C877">
        <f t="shared" si="155"/>
        <v>73151.38</v>
      </c>
      <c r="D877">
        <f t="shared" si="156"/>
        <v>2019</v>
      </c>
      <c r="E877">
        <f t="shared" si="157"/>
        <v>7</v>
      </c>
      <c r="F877" t="str">
        <f t="shared" si="159"/>
        <v>July</v>
      </c>
      <c r="G877">
        <f t="shared" si="158"/>
        <v>8</v>
      </c>
      <c r="H877" s="7">
        <f t="shared" si="160"/>
        <v>-0.29559107652151351</v>
      </c>
      <c r="I877" s="9">
        <f t="shared" si="161"/>
        <v>-2.960288097571854E-3</v>
      </c>
      <c r="J877" s="9">
        <f t="shared" si="162"/>
        <v>74073.127142857149</v>
      </c>
      <c r="K877" s="9">
        <f t="shared" si="165"/>
        <v>74589.456333333321</v>
      </c>
      <c r="L877" s="9">
        <f t="shared" si="164"/>
        <v>76878.624222222192</v>
      </c>
      <c r="M877" s="9">
        <f t="shared" si="163"/>
        <v>1.014642982672068E-2</v>
      </c>
      <c r="N877" s="9">
        <f t="shared" si="166"/>
        <v>1.0907433954608286E-2</v>
      </c>
    </row>
    <row r="878" spans="1:14" x14ac:dyDescent="0.35">
      <c r="A878" s="1">
        <v>43655</v>
      </c>
      <c r="B878" s="2" t="s">
        <v>878</v>
      </c>
      <c r="C878">
        <f t="shared" si="155"/>
        <v>73127.34</v>
      </c>
      <c r="D878">
        <f t="shared" si="156"/>
        <v>2019</v>
      </c>
      <c r="E878">
        <f t="shared" si="157"/>
        <v>7</v>
      </c>
      <c r="F878" t="str">
        <f t="shared" si="159"/>
        <v>July</v>
      </c>
      <c r="G878">
        <f t="shared" si="158"/>
        <v>9</v>
      </c>
      <c r="H878" s="7">
        <f t="shared" si="160"/>
        <v>-3.2863358148551874E-2</v>
      </c>
      <c r="I878" s="9">
        <f t="shared" si="161"/>
        <v>-3.2868759333466258E-4</v>
      </c>
      <c r="J878" s="9">
        <f t="shared" si="162"/>
        <v>73849.401428571422</v>
      </c>
      <c r="K878" s="9">
        <f t="shared" si="165"/>
        <v>74409.630999999979</v>
      </c>
      <c r="L878" s="9">
        <f t="shared" si="164"/>
        <v>76834.331333333292</v>
      </c>
      <c r="M878" s="9">
        <f t="shared" si="163"/>
        <v>1.0017578761053638E-2</v>
      </c>
      <c r="N878" s="9">
        <f t="shared" si="166"/>
        <v>1.0912411590019558E-2</v>
      </c>
    </row>
    <row r="879" spans="1:14" x14ac:dyDescent="0.35">
      <c r="A879" s="1">
        <v>43656</v>
      </c>
      <c r="B879" s="2" t="s">
        <v>879</v>
      </c>
      <c r="C879">
        <f t="shared" si="155"/>
        <v>72891.45</v>
      </c>
      <c r="D879">
        <f t="shared" si="156"/>
        <v>2019</v>
      </c>
      <c r="E879">
        <f t="shared" si="157"/>
        <v>7</v>
      </c>
      <c r="F879" t="str">
        <f t="shared" si="159"/>
        <v>July</v>
      </c>
      <c r="G879">
        <f t="shared" si="158"/>
        <v>10</v>
      </c>
      <c r="H879" s="7">
        <f t="shared" si="160"/>
        <v>-0.32257429300723839</v>
      </c>
      <c r="I879" s="9">
        <f t="shared" si="161"/>
        <v>-3.2309568543366506E-3</v>
      </c>
      <c r="J879" s="9">
        <f t="shared" si="162"/>
        <v>73644.907142857148</v>
      </c>
      <c r="K879" s="9">
        <f t="shared" si="165"/>
        <v>74239.335666666651</v>
      </c>
      <c r="L879" s="9">
        <f t="shared" si="164"/>
        <v>76792.498333333293</v>
      </c>
      <c r="M879" s="9">
        <f t="shared" si="163"/>
        <v>9.9827675257037774E-3</v>
      </c>
      <c r="N879" s="9">
        <f t="shared" si="166"/>
        <v>1.088377411605496E-2</v>
      </c>
    </row>
    <row r="880" spans="1:14" x14ac:dyDescent="0.35">
      <c r="A880" s="1">
        <v>43657</v>
      </c>
      <c r="B880" s="2" t="s">
        <v>880</v>
      </c>
      <c r="C880">
        <f t="shared" si="155"/>
        <v>72242.33</v>
      </c>
      <c r="D880">
        <f t="shared" si="156"/>
        <v>2019</v>
      </c>
      <c r="E880">
        <f t="shared" si="157"/>
        <v>7</v>
      </c>
      <c r="F880" t="str">
        <f t="shared" si="159"/>
        <v>July</v>
      </c>
      <c r="G880">
        <f t="shared" si="158"/>
        <v>11</v>
      </c>
      <c r="H880" s="7">
        <f t="shared" si="160"/>
        <v>-0.89052968489444961</v>
      </c>
      <c r="I880" s="9">
        <f t="shared" si="161"/>
        <v>-8.9451859979868438E-3</v>
      </c>
      <c r="J880" s="9">
        <f t="shared" si="162"/>
        <v>73248.095714285722</v>
      </c>
      <c r="K880" s="9">
        <f t="shared" si="165"/>
        <v>74035.989999999991</v>
      </c>
      <c r="L880" s="9">
        <f t="shared" si="164"/>
        <v>76734.539999999964</v>
      </c>
      <c r="M880" s="9">
        <f t="shared" si="163"/>
        <v>8.577848958515117E-3</v>
      </c>
      <c r="N880" s="9">
        <f t="shared" si="166"/>
        <v>1.0875431317529936E-2</v>
      </c>
    </row>
    <row r="881" spans="1:14" x14ac:dyDescent="0.35">
      <c r="A881" s="1">
        <v>43658</v>
      </c>
      <c r="B881" s="2" t="s">
        <v>881</v>
      </c>
      <c r="C881">
        <f t="shared" si="155"/>
        <v>71938.009999999995</v>
      </c>
      <c r="D881">
        <f t="shared" si="156"/>
        <v>2019</v>
      </c>
      <c r="E881">
        <f t="shared" si="157"/>
        <v>7</v>
      </c>
      <c r="F881" t="str">
        <f t="shared" si="159"/>
        <v>July</v>
      </c>
      <c r="G881">
        <f t="shared" si="158"/>
        <v>12</v>
      </c>
      <c r="H881" s="7">
        <f t="shared" si="160"/>
        <v>-0.42124887167953606</v>
      </c>
      <c r="I881" s="9">
        <f t="shared" si="161"/>
        <v>-4.2213862433346282E-3</v>
      </c>
      <c r="J881" s="9">
        <f t="shared" si="162"/>
        <v>72835.240000000005</v>
      </c>
      <c r="K881" s="9">
        <f t="shared" si="165"/>
        <v>73871.958999999988</v>
      </c>
      <c r="L881" s="9">
        <f t="shared" si="164"/>
        <v>76682.573888888845</v>
      </c>
      <c r="M881" s="9">
        <f t="shared" si="163"/>
        <v>8.5093747957996103E-3</v>
      </c>
      <c r="N881" s="9">
        <f t="shared" si="166"/>
        <v>1.0430900423572044E-2</v>
      </c>
    </row>
    <row r="882" spans="1:14" x14ac:dyDescent="0.35">
      <c r="A882" s="1">
        <v>43661</v>
      </c>
      <c r="B882" s="2" t="s">
        <v>882</v>
      </c>
      <c r="C882">
        <f t="shared" si="155"/>
        <v>72576.86</v>
      </c>
      <c r="D882">
        <f t="shared" si="156"/>
        <v>2019</v>
      </c>
      <c r="E882">
        <f t="shared" si="157"/>
        <v>7</v>
      </c>
      <c r="F882" t="str">
        <f t="shared" si="159"/>
        <v>July</v>
      </c>
      <c r="G882">
        <f t="shared" si="158"/>
        <v>15</v>
      </c>
      <c r="H882" s="7">
        <f t="shared" si="160"/>
        <v>0.88805625843695957</v>
      </c>
      <c r="I882" s="9">
        <f t="shared" si="161"/>
        <v>8.8413622979186327E-3</v>
      </c>
      <c r="J882" s="9">
        <f t="shared" si="162"/>
        <v>72756.517142857148</v>
      </c>
      <c r="K882" s="9">
        <f t="shared" si="165"/>
        <v>73776.54433333331</v>
      </c>
      <c r="L882" s="9">
        <f t="shared" si="164"/>
        <v>76643.425999999963</v>
      </c>
      <c r="M882" s="9">
        <f t="shared" si="163"/>
        <v>5.743230256189836E-3</v>
      </c>
      <c r="N882" s="9">
        <f t="shared" si="166"/>
        <v>1.0140321588740467E-2</v>
      </c>
    </row>
    <row r="883" spans="1:14" x14ac:dyDescent="0.35">
      <c r="A883" s="1">
        <v>43662</v>
      </c>
      <c r="B883" s="2" t="s">
        <v>883</v>
      </c>
      <c r="C883">
        <f t="shared" si="155"/>
        <v>72155.289999999994</v>
      </c>
      <c r="D883">
        <f t="shared" si="156"/>
        <v>2019</v>
      </c>
      <c r="E883">
        <f t="shared" si="157"/>
        <v>7</v>
      </c>
      <c r="F883" t="str">
        <f t="shared" si="159"/>
        <v>July</v>
      </c>
      <c r="G883">
        <f t="shared" si="158"/>
        <v>16</v>
      </c>
      <c r="H883" s="7">
        <f t="shared" si="160"/>
        <v>-0.5808600702758524</v>
      </c>
      <c r="I883" s="9">
        <f t="shared" si="161"/>
        <v>-5.8255362368339839E-3</v>
      </c>
      <c r="J883" s="9">
        <f t="shared" si="162"/>
        <v>72583.237142857135</v>
      </c>
      <c r="K883" s="9">
        <f t="shared" si="165"/>
        <v>73696.133666666661</v>
      </c>
      <c r="L883" s="9">
        <f t="shared" si="164"/>
        <v>76592.877777777743</v>
      </c>
      <c r="M883" s="9">
        <f t="shared" si="163"/>
        <v>5.6206730084708409E-3</v>
      </c>
      <c r="N883" s="9">
        <f t="shared" si="166"/>
        <v>9.9907696249801892E-3</v>
      </c>
    </row>
    <row r="884" spans="1:14" x14ac:dyDescent="0.35">
      <c r="A884" s="1">
        <v>43663</v>
      </c>
      <c r="B884" s="2" t="s">
        <v>884</v>
      </c>
      <c r="C884">
        <f t="shared" si="155"/>
        <v>72607.460000000006</v>
      </c>
      <c r="D884">
        <f t="shared" si="156"/>
        <v>2019</v>
      </c>
      <c r="E884">
        <f t="shared" si="157"/>
        <v>7</v>
      </c>
      <c r="F884" t="str">
        <f t="shared" si="159"/>
        <v>July</v>
      </c>
      <c r="G884">
        <f t="shared" si="158"/>
        <v>17</v>
      </c>
      <c r="H884" s="7">
        <f t="shared" si="160"/>
        <v>0.6266623001584678</v>
      </c>
      <c r="I884" s="9">
        <f t="shared" si="161"/>
        <v>6.247069367314056E-3</v>
      </c>
      <c r="J884" s="9">
        <f t="shared" si="162"/>
        <v>72505.534285714282</v>
      </c>
      <c r="K884" s="9">
        <f t="shared" si="165"/>
        <v>73635.166333333342</v>
      </c>
      <c r="L884" s="9">
        <f t="shared" si="164"/>
        <v>76549.848333333313</v>
      </c>
      <c r="M884" s="9">
        <f t="shared" si="163"/>
        <v>6.4750636845693375E-3</v>
      </c>
      <c r="N884" s="9">
        <f t="shared" si="166"/>
        <v>1.0078988666239398E-2</v>
      </c>
    </row>
    <row r="885" spans="1:14" x14ac:dyDescent="0.35">
      <c r="A885" s="1">
        <v>43664</v>
      </c>
      <c r="B885" s="2" t="s">
        <v>885</v>
      </c>
      <c r="C885">
        <f t="shared" si="155"/>
        <v>72998.69</v>
      </c>
      <c r="D885">
        <f t="shared" si="156"/>
        <v>2019</v>
      </c>
      <c r="E885">
        <f t="shared" si="157"/>
        <v>7</v>
      </c>
      <c r="F885" t="str">
        <f t="shared" si="159"/>
        <v>July</v>
      </c>
      <c r="G885">
        <f t="shared" si="158"/>
        <v>18</v>
      </c>
      <c r="H885" s="7">
        <f t="shared" si="160"/>
        <v>0.53882893025041212</v>
      </c>
      <c r="I885" s="9">
        <f t="shared" si="161"/>
        <v>5.3738244091224461E-3</v>
      </c>
      <c r="J885" s="9">
        <f t="shared" si="162"/>
        <v>72487.155714285705</v>
      </c>
      <c r="K885" s="9">
        <f t="shared" si="165"/>
        <v>73633.503666666656</v>
      </c>
      <c r="L885" s="9">
        <f t="shared" si="164"/>
        <v>76515.974444444422</v>
      </c>
      <c r="M885" s="9">
        <f t="shared" si="163"/>
        <v>6.926315030590588E-3</v>
      </c>
      <c r="N885" s="9">
        <f t="shared" si="166"/>
        <v>9.5434327222645911E-3</v>
      </c>
    </row>
    <row r="886" spans="1:14" x14ac:dyDescent="0.35">
      <c r="A886" s="1">
        <v>43665</v>
      </c>
      <c r="B886" s="2" t="s">
        <v>886</v>
      </c>
      <c r="C886">
        <f t="shared" si="155"/>
        <v>72822.47</v>
      </c>
      <c r="D886">
        <f t="shared" si="156"/>
        <v>2019</v>
      </c>
      <c r="E886">
        <f t="shared" si="157"/>
        <v>7</v>
      </c>
      <c r="F886" t="str">
        <f t="shared" si="159"/>
        <v>July</v>
      </c>
      <c r="G886">
        <f t="shared" si="158"/>
        <v>19</v>
      </c>
      <c r="H886" s="7">
        <f t="shared" si="160"/>
        <v>-0.24140159227515065</v>
      </c>
      <c r="I886" s="9">
        <f t="shared" si="161"/>
        <v>-2.416934356899519E-3</v>
      </c>
      <c r="J886" s="9">
        <f t="shared" si="162"/>
        <v>72477.301428571431</v>
      </c>
      <c r="K886" s="9">
        <f t="shared" si="165"/>
        <v>73607.681333333341</v>
      </c>
      <c r="L886" s="9">
        <f t="shared" si="164"/>
        <v>76488.627666666653</v>
      </c>
      <c r="M886" s="9">
        <f t="shared" si="163"/>
        <v>6.8745956529327407E-3</v>
      </c>
      <c r="N886" s="9">
        <f t="shared" si="166"/>
        <v>9.4456458085554872E-3</v>
      </c>
    </row>
    <row r="887" spans="1:14" x14ac:dyDescent="0.35">
      <c r="A887" s="1">
        <v>43668</v>
      </c>
      <c r="B887" s="2" t="s">
        <v>887</v>
      </c>
      <c r="C887">
        <f t="shared" si="155"/>
        <v>72982.8</v>
      </c>
      <c r="D887">
        <f t="shared" si="156"/>
        <v>2019</v>
      </c>
      <c r="E887">
        <f t="shared" si="157"/>
        <v>7</v>
      </c>
      <c r="F887" t="str">
        <f t="shared" si="159"/>
        <v>July</v>
      </c>
      <c r="G887">
        <f t="shared" si="158"/>
        <v>22</v>
      </c>
      <c r="H887" s="7">
        <f t="shared" si="160"/>
        <v>0.22016556153616013</v>
      </c>
      <c r="I887" s="9">
        <f t="shared" si="161"/>
        <v>2.1992355231261699E-3</v>
      </c>
      <c r="J887" s="9">
        <f t="shared" si="162"/>
        <v>72583.082857142857</v>
      </c>
      <c r="K887" s="9">
        <f t="shared" si="165"/>
        <v>73564.522666666671</v>
      </c>
      <c r="L887" s="9">
        <f t="shared" si="164"/>
        <v>76469.602777777749</v>
      </c>
      <c r="M887" s="9">
        <f t="shared" si="163"/>
        <v>5.6811496726584089E-3</v>
      </c>
      <c r="N887" s="9">
        <f t="shared" si="166"/>
        <v>9.2865449192739112E-3</v>
      </c>
    </row>
    <row r="888" spans="1:14" x14ac:dyDescent="0.35">
      <c r="A888" s="1">
        <v>43669</v>
      </c>
      <c r="B888" s="2" t="s">
        <v>888</v>
      </c>
      <c r="C888">
        <f t="shared" si="155"/>
        <v>70710.27</v>
      </c>
      <c r="D888">
        <f t="shared" si="156"/>
        <v>2019</v>
      </c>
      <c r="E888">
        <f t="shared" si="157"/>
        <v>7</v>
      </c>
      <c r="F888" t="str">
        <f t="shared" si="159"/>
        <v>July</v>
      </c>
      <c r="G888">
        <f t="shared" si="158"/>
        <v>23</v>
      </c>
      <c r="H888" s="7">
        <f t="shared" si="160"/>
        <v>-3.1137884542659351</v>
      </c>
      <c r="I888" s="9">
        <f t="shared" si="161"/>
        <v>-3.1632972926024551E-2</v>
      </c>
      <c r="J888" s="9">
        <f t="shared" si="162"/>
        <v>72407.69142857143</v>
      </c>
      <c r="K888" s="9">
        <f t="shared" si="165"/>
        <v>73471.749333333355</v>
      </c>
      <c r="L888" s="9">
        <f t="shared" si="164"/>
        <v>76415.436555555527</v>
      </c>
      <c r="M888" s="9">
        <f t="shared" si="163"/>
        <v>1.3838365511727246E-2</v>
      </c>
      <c r="N888" s="9">
        <f t="shared" si="166"/>
        <v>1.0747267164848463E-2</v>
      </c>
    </row>
    <row r="889" spans="1:14" x14ac:dyDescent="0.35">
      <c r="A889" s="1">
        <v>43670</v>
      </c>
      <c r="B889" s="2" t="s">
        <v>889</v>
      </c>
      <c r="C889">
        <f t="shared" si="155"/>
        <v>69640.23</v>
      </c>
      <c r="D889">
        <f t="shared" si="156"/>
        <v>2019</v>
      </c>
      <c r="E889">
        <f t="shared" si="157"/>
        <v>7</v>
      </c>
      <c r="F889" t="str">
        <f t="shared" si="159"/>
        <v>July</v>
      </c>
      <c r="G889">
        <f t="shared" si="158"/>
        <v>24</v>
      </c>
      <c r="H889" s="7">
        <f t="shared" si="160"/>
        <v>-1.5132738143978353</v>
      </c>
      <c r="I889" s="9">
        <f t="shared" si="161"/>
        <v>-1.5248406427964229E-2</v>
      </c>
      <c r="J889" s="9">
        <f t="shared" si="162"/>
        <v>71988.172857142854</v>
      </c>
      <c r="K889" s="9">
        <f t="shared" si="165"/>
        <v>73352.252666666667</v>
      </c>
      <c r="L889" s="9">
        <f t="shared" si="164"/>
        <v>76353.17866666663</v>
      </c>
      <c r="M889" s="9">
        <f t="shared" si="163"/>
        <v>1.3552145676261118E-2</v>
      </c>
      <c r="N889" s="9">
        <f t="shared" si="166"/>
        <v>1.1039792968254128E-2</v>
      </c>
    </row>
    <row r="890" spans="1:14" x14ac:dyDescent="0.35">
      <c r="A890" s="1">
        <v>43671</v>
      </c>
      <c r="B890" s="2" t="s">
        <v>890</v>
      </c>
      <c r="C890">
        <f t="shared" si="155"/>
        <v>69011.45</v>
      </c>
      <c r="D890">
        <f t="shared" si="156"/>
        <v>2019</v>
      </c>
      <c r="E890">
        <f t="shared" si="157"/>
        <v>7</v>
      </c>
      <c r="F890" t="str">
        <f t="shared" si="159"/>
        <v>July</v>
      </c>
      <c r="G890">
        <f t="shared" si="158"/>
        <v>25</v>
      </c>
      <c r="H890" s="7">
        <f t="shared" si="160"/>
        <v>-0.90289764982108611</v>
      </c>
      <c r="I890" s="9">
        <f t="shared" si="161"/>
        <v>-9.0699847347429554E-3</v>
      </c>
      <c r="J890" s="9">
        <f t="shared" si="162"/>
        <v>71539.052857142859</v>
      </c>
      <c r="K890" s="9">
        <f t="shared" si="165"/>
        <v>73191.404000000024</v>
      </c>
      <c r="L890" s="9">
        <f t="shared" si="164"/>
        <v>76294.738555555523</v>
      </c>
      <c r="M890" s="9">
        <f t="shared" si="163"/>
        <v>1.3604533227053768E-2</v>
      </c>
      <c r="N890" s="9">
        <f t="shared" si="166"/>
        <v>1.095319190076084E-2</v>
      </c>
    </row>
    <row r="891" spans="1:14" x14ac:dyDescent="0.35">
      <c r="A891" s="1">
        <v>43672</v>
      </c>
      <c r="B891" s="2" t="s">
        <v>891</v>
      </c>
      <c r="C891">
        <f t="shared" si="155"/>
        <v>69439.320000000007</v>
      </c>
      <c r="D891">
        <f t="shared" si="156"/>
        <v>2019</v>
      </c>
      <c r="E891">
        <f t="shared" si="157"/>
        <v>7</v>
      </c>
      <c r="F891" t="str">
        <f t="shared" si="159"/>
        <v>July</v>
      </c>
      <c r="G891">
        <f t="shared" si="158"/>
        <v>26</v>
      </c>
      <c r="H891" s="7">
        <f t="shared" si="160"/>
        <v>0.61999856545545695</v>
      </c>
      <c r="I891" s="9">
        <f t="shared" si="161"/>
        <v>6.1808448180292203E-3</v>
      </c>
      <c r="J891" s="9">
        <f t="shared" si="162"/>
        <v>71086.461428571434</v>
      </c>
      <c r="K891" s="9">
        <f t="shared" si="165"/>
        <v>73071.364333333346</v>
      </c>
      <c r="L891" s="9">
        <f t="shared" si="164"/>
        <v>76260.420777777748</v>
      </c>
      <c r="M891" s="9">
        <f t="shared" si="163"/>
        <v>1.3594320978197409E-2</v>
      </c>
      <c r="N891" s="9">
        <f t="shared" si="166"/>
        <v>1.0933733220829795E-2</v>
      </c>
    </row>
    <row r="892" spans="1:14" x14ac:dyDescent="0.35">
      <c r="A892" s="1">
        <v>43675</v>
      </c>
      <c r="B892" s="2" t="s">
        <v>892</v>
      </c>
      <c r="C892">
        <f t="shared" si="155"/>
        <v>69305.19</v>
      </c>
      <c r="D892">
        <f t="shared" si="156"/>
        <v>2019</v>
      </c>
      <c r="E892">
        <f t="shared" si="157"/>
        <v>7</v>
      </c>
      <c r="F892" t="str">
        <f t="shared" si="159"/>
        <v>July</v>
      </c>
      <c r="G892">
        <f t="shared" si="158"/>
        <v>29</v>
      </c>
      <c r="H892" s="7">
        <f t="shared" si="160"/>
        <v>-0.19316145377000329</v>
      </c>
      <c r="I892" s="9">
        <f t="shared" si="161"/>
        <v>-1.9334825109182899E-3</v>
      </c>
      <c r="J892" s="9">
        <f t="shared" si="162"/>
        <v>70558.818571428579</v>
      </c>
      <c r="K892" s="9">
        <f t="shared" si="165"/>
        <v>72936.217333333334</v>
      </c>
      <c r="L892" s="9">
        <f t="shared" si="164"/>
        <v>76220.417333333302</v>
      </c>
      <c r="M892" s="9">
        <f t="shared" si="163"/>
        <v>1.2799216243616377E-2</v>
      </c>
      <c r="N892" s="9">
        <f t="shared" si="166"/>
        <v>1.0873971701230804E-2</v>
      </c>
    </row>
    <row r="893" spans="1:14" x14ac:dyDescent="0.35">
      <c r="A893" s="1">
        <v>43676</v>
      </c>
      <c r="B893" s="2" t="s">
        <v>893</v>
      </c>
      <c r="C893">
        <f t="shared" si="155"/>
        <v>66046.649999999994</v>
      </c>
      <c r="D893">
        <f t="shared" si="156"/>
        <v>2019</v>
      </c>
      <c r="E893">
        <f t="shared" si="157"/>
        <v>7</v>
      </c>
      <c r="F893" t="str">
        <f t="shared" si="159"/>
        <v>July</v>
      </c>
      <c r="G893">
        <f t="shared" si="158"/>
        <v>30</v>
      </c>
      <c r="H893" s="7">
        <f t="shared" si="160"/>
        <v>-4.7017258014876058</v>
      </c>
      <c r="I893" s="9">
        <f t="shared" si="161"/>
        <v>-4.815848463658335E-2</v>
      </c>
      <c r="J893" s="9">
        <f t="shared" si="162"/>
        <v>69590.844285714295</v>
      </c>
      <c r="K893" s="9">
        <f t="shared" si="165"/>
        <v>72704.794333333339</v>
      </c>
      <c r="L893" s="9">
        <f t="shared" si="164"/>
        <v>76144.318555555539</v>
      </c>
      <c r="M893" s="9">
        <f t="shared" si="163"/>
        <v>1.9658983313088838E-2</v>
      </c>
      <c r="N893" s="9">
        <f t="shared" si="166"/>
        <v>1.3768305897988277E-2</v>
      </c>
    </row>
    <row r="894" spans="1:14" x14ac:dyDescent="0.35">
      <c r="A894" s="1">
        <v>43677</v>
      </c>
      <c r="B894" s="2" t="s">
        <v>894</v>
      </c>
      <c r="C894">
        <f t="shared" si="155"/>
        <v>67123.100000000006</v>
      </c>
      <c r="D894">
        <f t="shared" si="156"/>
        <v>2019</v>
      </c>
      <c r="E894">
        <f t="shared" si="157"/>
        <v>7</v>
      </c>
      <c r="F894" t="str">
        <f t="shared" si="159"/>
        <v>July</v>
      </c>
      <c r="G894">
        <f t="shared" si="158"/>
        <v>31</v>
      </c>
      <c r="H894" s="7">
        <f t="shared" si="160"/>
        <v>1.6298328529910477</v>
      </c>
      <c r="I894" s="9">
        <f t="shared" si="161"/>
        <v>1.6166936498133968E-2</v>
      </c>
      <c r="J894" s="9">
        <f t="shared" si="162"/>
        <v>68753.744285714274</v>
      </c>
      <c r="K894" s="9">
        <f t="shared" si="165"/>
        <v>72465.742000000013</v>
      </c>
      <c r="L894" s="9">
        <f t="shared" si="164"/>
        <v>76056.700999999986</v>
      </c>
      <c r="M894" s="9">
        <f t="shared" si="163"/>
        <v>2.2125655296667771E-2</v>
      </c>
      <c r="N894" s="9">
        <f t="shared" si="166"/>
        <v>1.3688805090257461E-2</v>
      </c>
    </row>
    <row r="895" spans="1:14" x14ac:dyDescent="0.35">
      <c r="A895" s="1">
        <v>43678</v>
      </c>
      <c r="B895" s="2" t="s">
        <v>895</v>
      </c>
      <c r="C895">
        <f t="shared" si="155"/>
        <v>67414.27</v>
      </c>
      <c r="D895">
        <f t="shared" si="156"/>
        <v>2019</v>
      </c>
      <c r="E895">
        <f t="shared" si="157"/>
        <v>8</v>
      </c>
      <c r="F895" t="str">
        <f t="shared" si="159"/>
        <v>August</v>
      </c>
      <c r="G895">
        <f t="shared" si="158"/>
        <v>1</v>
      </c>
      <c r="H895" s="7">
        <f t="shared" si="160"/>
        <v>0.43378509037871943</v>
      </c>
      <c r="I895" s="9">
        <f t="shared" si="161"/>
        <v>4.3284695487173664E-3</v>
      </c>
      <c r="J895" s="9">
        <f t="shared" si="162"/>
        <v>68282.887142857144</v>
      </c>
      <c r="K895" s="9">
        <f t="shared" si="165"/>
        <v>72185.036000000007</v>
      </c>
      <c r="L895" s="9">
        <f t="shared" si="164"/>
        <v>75966.834222222198</v>
      </c>
      <c r="M895" s="9">
        <f t="shared" si="163"/>
        <v>2.0938634209326026E-2</v>
      </c>
      <c r="N895" s="9">
        <f t="shared" si="166"/>
        <v>1.3016097404373287E-2</v>
      </c>
    </row>
    <row r="896" spans="1:14" x14ac:dyDescent="0.35">
      <c r="A896" s="1">
        <v>43679</v>
      </c>
      <c r="B896" s="2" t="s">
        <v>896</v>
      </c>
      <c r="C896">
        <f t="shared" si="155"/>
        <v>66671.649999999994</v>
      </c>
      <c r="D896">
        <f t="shared" si="156"/>
        <v>2019</v>
      </c>
      <c r="E896">
        <f t="shared" si="157"/>
        <v>8</v>
      </c>
      <c r="F896" t="str">
        <f t="shared" si="159"/>
        <v>August</v>
      </c>
      <c r="G896">
        <f t="shared" si="158"/>
        <v>2</v>
      </c>
      <c r="H896" s="7">
        <f t="shared" si="160"/>
        <v>-1.1015768619908068</v>
      </c>
      <c r="I896" s="9">
        <f t="shared" si="161"/>
        <v>-1.1076891490483437E-2</v>
      </c>
      <c r="J896" s="9">
        <f t="shared" si="162"/>
        <v>67858.804285714286</v>
      </c>
      <c r="K896" s="9">
        <f t="shared" si="165"/>
        <v>71926.684999999998</v>
      </c>
      <c r="L896" s="9">
        <f t="shared" si="164"/>
        <v>75858.137444444423</v>
      </c>
      <c r="M896" s="9">
        <f t="shared" si="163"/>
        <v>2.0716935699289354E-2</v>
      </c>
      <c r="N896" s="9">
        <f t="shared" si="166"/>
        <v>1.2785580440589127E-2</v>
      </c>
    </row>
    <row r="897" spans="1:14" x14ac:dyDescent="0.35">
      <c r="A897" s="1">
        <v>43682</v>
      </c>
      <c r="B897" s="2" t="s">
        <v>897</v>
      </c>
      <c r="C897">
        <f t="shared" si="155"/>
        <v>66385.58</v>
      </c>
      <c r="D897">
        <f t="shared" si="156"/>
        <v>2019</v>
      </c>
      <c r="E897">
        <f t="shared" si="157"/>
        <v>8</v>
      </c>
      <c r="F897" t="str">
        <f t="shared" si="159"/>
        <v>August</v>
      </c>
      <c r="G897">
        <f t="shared" si="158"/>
        <v>5</v>
      </c>
      <c r="H897" s="7">
        <f t="shared" si="160"/>
        <v>-0.42907292679871045</v>
      </c>
      <c r="I897" s="9">
        <f t="shared" si="161"/>
        <v>-4.2999608631267309E-3</v>
      </c>
      <c r="J897" s="9">
        <f t="shared" si="162"/>
        <v>67483.680000000008</v>
      </c>
      <c r="K897" s="9">
        <f t="shared" si="165"/>
        <v>71654.599666666662</v>
      </c>
      <c r="L897" s="9">
        <f t="shared" si="164"/>
        <v>75732.821111111101</v>
      </c>
      <c r="M897" s="9">
        <f t="shared" si="163"/>
        <v>2.0686118653198263E-2</v>
      </c>
      <c r="N897" s="9">
        <f t="shared" si="166"/>
        <v>1.2745750475440564E-2</v>
      </c>
    </row>
    <row r="898" spans="1:14" x14ac:dyDescent="0.35">
      <c r="A898" s="1">
        <v>43683</v>
      </c>
      <c r="B898" s="2" t="s">
        <v>898</v>
      </c>
      <c r="C898">
        <f t="shared" si="155"/>
        <v>67123.41</v>
      </c>
      <c r="D898">
        <f t="shared" si="156"/>
        <v>2019</v>
      </c>
      <c r="E898">
        <f t="shared" si="157"/>
        <v>8</v>
      </c>
      <c r="F898" t="str">
        <f t="shared" si="159"/>
        <v>August</v>
      </c>
      <c r="G898">
        <f t="shared" si="158"/>
        <v>6</v>
      </c>
      <c r="H898" s="7">
        <f t="shared" si="160"/>
        <v>1.11143112706103</v>
      </c>
      <c r="I898" s="9">
        <f t="shared" si="161"/>
        <v>1.1053001174487626E-2</v>
      </c>
      <c r="J898" s="9">
        <f t="shared" si="162"/>
        <v>67152.835714285713</v>
      </c>
      <c r="K898" s="9">
        <f t="shared" si="165"/>
        <v>71409.804666666649</v>
      </c>
      <c r="L898" s="9">
        <f t="shared" si="164"/>
        <v>75614.838666666663</v>
      </c>
      <c r="M898" s="9">
        <f t="shared" si="163"/>
        <v>2.1221329210587642E-2</v>
      </c>
      <c r="N898" s="9">
        <f t="shared" si="166"/>
        <v>1.3026620809893833E-2</v>
      </c>
    </row>
    <row r="899" spans="1:14" x14ac:dyDescent="0.35">
      <c r="A899" s="1">
        <v>43684</v>
      </c>
      <c r="B899" s="2" t="s">
        <v>899</v>
      </c>
      <c r="C899">
        <f t="shared" ref="C899:C962" si="167">_xlfn.NUMBERVALUE(B899,".",",")</f>
        <v>67103.09</v>
      </c>
      <c r="D899">
        <f t="shared" ref="D899:D962" si="168">YEAR(A899)</f>
        <v>2019</v>
      </c>
      <c r="E899">
        <f t="shared" ref="E899:E962" si="169">MONTH(A899)</f>
        <v>8</v>
      </c>
      <c r="F899" t="str">
        <f t="shared" si="159"/>
        <v>August</v>
      </c>
      <c r="G899">
        <f t="shared" ref="G899:G962" si="170">DAY(A899)</f>
        <v>7</v>
      </c>
      <c r="H899" s="7">
        <f t="shared" si="160"/>
        <v>-3.0272597890969762E-2</v>
      </c>
      <c r="I899" s="9">
        <f t="shared" si="161"/>
        <v>-3.027718096685069E-4</v>
      </c>
      <c r="J899" s="9">
        <f t="shared" si="162"/>
        <v>66838.25</v>
      </c>
      <c r="K899" s="9">
        <f t="shared" si="165"/>
        <v>71179.536999999997</v>
      </c>
      <c r="L899" s="9">
        <f t="shared" si="164"/>
        <v>75487.578111111114</v>
      </c>
      <c r="M899" s="9">
        <f t="shared" si="163"/>
        <v>2.1267527740293533E-2</v>
      </c>
      <c r="N899" s="9">
        <f t="shared" si="166"/>
        <v>1.3028786050861507E-2</v>
      </c>
    </row>
    <row r="900" spans="1:14" x14ac:dyDescent="0.35">
      <c r="A900" s="1">
        <v>43685</v>
      </c>
      <c r="B900" s="2" t="s">
        <v>900</v>
      </c>
      <c r="C900">
        <f t="shared" si="167"/>
        <v>65850.84</v>
      </c>
      <c r="D900">
        <f t="shared" si="168"/>
        <v>2019</v>
      </c>
      <c r="E900">
        <f t="shared" si="169"/>
        <v>8</v>
      </c>
      <c r="F900" t="str">
        <f t="shared" ref="F900:F963" si="171">TEXT(A900,"mmmm")</f>
        <v>August</v>
      </c>
      <c r="G900">
        <f t="shared" si="170"/>
        <v>8</v>
      </c>
      <c r="H900" s="7">
        <f t="shared" ref="H900:H963" si="172">((C900-C899)/C899)*100</f>
        <v>-1.866158473477153</v>
      </c>
      <c r="I900" s="9">
        <f t="shared" ref="I900:I963" si="173">LN(C900/C899)</f>
        <v>-1.8837909215810859E-2</v>
      </c>
      <c r="J900" s="9">
        <f t="shared" si="162"/>
        <v>66810.277142857129</v>
      </c>
      <c r="K900" s="9">
        <f t="shared" si="165"/>
        <v>70889.321333333326</v>
      </c>
      <c r="L900" s="9">
        <f t="shared" si="164"/>
        <v>75344.833777777778</v>
      </c>
      <c r="M900" s="9">
        <f t="shared" si="163"/>
        <v>1.2228113884796882E-2</v>
      </c>
      <c r="N900" s="9">
        <f t="shared" si="166"/>
        <v>1.3169428106616006E-2</v>
      </c>
    </row>
    <row r="901" spans="1:14" x14ac:dyDescent="0.35">
      <c r="A901" s="1">
        <v>43689</v>
      </c>
      <c r="B901" s="2" t="s">
        <v>901</v>
      </c>
      <c r="C901">
        <f t="shared" si="167"/>
        <v>64975.95</v>
      </c>
      <c r="D901">
        <f t="shared" si="168"/>
        <v>2019</v>
      </c>
      <c r="E901">
        <f t="shared" si="169"/>
        <v>8</v>
      </c>
      <c r="F901" t="str">
        <f t="shared" si="171"/>
        <v>August</v>
      </c>
      <c r="G901">
        <f t="shared" si="170"/>
        <v>12</v>
      </c>
      <c r="H901" s="7">
        <f t="shared" si="172"/>
        <v>-1.32859353046977</v>
      </c>
      <c r="I901" s="9">
        <f t="shared" si="173"/>
        <v>-1.3374982943418387E-2</v>
      </c>
      <c r="J901" s="9">
        <f t="shared" si="162"/>
        <v>66503.541428571421</v>
      </c>
      <c r="K901" s="9">
        <f t="shared" si="165"/>
        <v>70565.405666666658</v>
      </c>
      <c r="L901" s="9">
        <f t="shared" si="164"/>
        <v>75196.866444444444</v>
      </c>
      <c r="M901" s="9">
        <f t="shared" si="163"/>
        <v>1.0527304928857914E-2</v>
      </c>
      <c r="N901" s="9">
        <f t="shared" si="166"/>
        <v>1.3224353365399035E-2</v>
      </c>
    </row>
    <row r="902" spans="1:14" x14ac:dyDescent="0.35">
      <c r="A902" s="1">
        <v>43690</v>
      </c>
      <c r="B902" s="2" t="s">
        <v>902</v>
      </c>
      <c r="C902">
        <f t="shared" si="167"/>
        <v>65539.240000000005</v>
      </c>
      <c r="D902">
        <f t="shared" si="168"/>
        <v>2019</v>
      </c>
      <c r="E902">
        <f t="shared" si="169"/>
        <v>8</v>
      </c>
      <c r="F902" t="str">
        <f t="shared" si="171"/>
        <v>August</v>
      </c>
      <c r="G902">
        <f t="shared" si="170"/>
        <v>13</v>
      </c>
      <c r="H902" s="7">
        <f t="shared" si="172"/>
        <v>0.86692076068146473</v>
      </c>
      <c r="I902" s="9">
        <f t="shared" si="173"/>
        <v>8.6318458027612455E-3</v>
      </c>
      <c r="J902" s="9">
        <f t="shared" si="162"/>
        <v>66235.679999999993</v>
      </c>
      <c r="K902" s="9">
        <f t="shared" si="165"/>
        <v>70272.616666666669</v>
      </c>
      <c r="L902" s="9">
        <f t="shared" si="164"/>
        <v>75063.446777777775</v>
      </c>
      <c r="M902" s="9">
        <f t="shared" si="163"/>
        <v>1.1240150746854265E-2</v>
      </c>
      <c r="N902" s="9">
        <f t="shared" si="166"/>
        <v>1.3444191589745627E-2</v>
      </c>
    </row>
    <row r="903" spans="1:14" x14ac:dyDescent="0.35">
      <c r="A903" s="1">
        <v>43691</v>
      </c>
      <c r="B903" s="2" t="s">
        <v>903</v>
      </c>
      <c r="C903">
        <f t="shared" si="167"/>
        <v>65794.28</v>
      </c>
      <c r="D903">
        <f t="shared" si="168"/>
        <v>2019</v>
      </c>
      <c r="E903">
        <f t="shared" si="169"/>
        <v>8</v>
      </c>
      <c r="F903" t="str">
        <f t="shared" si="171"/>
        <v>August</v>
      </c>
      <c r="G903">
        <f t="shared" si="170"/>
        <v>14</v>
      </c>
      <c r="H903" s="7">
        <f t="shared" si="172"/>
        <v>0.38914091771585019</v>
      </c>
      <c r="I903" s="9">
        <f t="shared" si="173"/>
        <v>3.8838572299374177E-3</v>
      </c>
      <c r="J903" s="9">
        <f t="shared" si="162"/>
        <v>66110.341428571424</v>
      </c>
      <c r="K903" s="9">
        <f t="shared" si="165"/>
        <v>69965.092333333334</v>
      </c>
      <c r="L903" s="9">
        <f t="shared" si="164"/>
        <v>74920.811555555571</v>
      </c>
      <c r="M903" s="9">
        <f t="shared" si="163"/>
        <v>1.1098284924546214E-2</v>
      </c>
      <c r="N903" s="9">
        <f t="shared" si="166"/>
        <v>1.3291001130625573E-2</v>
      </c>
    </row>
    <row r="904" spans="1:14" x14ac:dyDescent="0.35">
      <c r="A904" s="1">
        <v>43692</v>
      </c>
      <c r="B904" s="2" t="s">
        <v>904</v>
      </c>
      <c r="C904">
        <f t="shared" si="167"/>
        <v>65652.5</v>
      </c>
      <c r="D904">
        <f t="shared" si="168"/>
        <v>2019</v>
      </c>
      <c r="E904">
        <f t="shared" si="169"/>
        <v>8</v>
      </c>
      <c r="F904" t="str">
        <f t="shared" si="171"/>
        <v>August</v>
      </c>
      <c r="G904">
        <f t="shared" si="170"/>
        <v>15</v>
      </c>
      <c r="H904" s="7">
        <f t="shared" si="172"/>
        <v>-0.21548985717299263</v>
      </c>
      <c r="I904" s="9">
        <f t="shared" si="173"/>
        <v>-2.1572237065441056E-3</v>
      </c>
      <c r="J904" s="9">
        <f t="shared" si="162"/>
        <v>66005.615714285712</v>
      </c>
      <c r="K904" s="9">
        <f t="shared" si="165"/>
        <v>69659.242333333328</v>
      </c>
      <c r="L904" s="9">
        <f t="shared" si="164"/>
        <v>74786.574111111127</v>
      </c>
      <c r="M904" s="9">
        <f t="shared" si="163"/>
        <v>1.1050260347722555E-2</v>
      </c>
      <c r="N904" s="9">
        <f t="shared" si="166"/>
        <v>1.3293112808617426E-2</v>
      </c>
    </row>
    <row r="905" spans="1:14" x14ac:dyDescent="0.35">
      <c r="A905" s="1">
        <v>43693</v>
      </c>
      <c r="B905" s="2" t="s">
        <v>905</v>
      </c>
      <c r="C905">
        <f t="shared" si="167"/>
        <v>66350.98</v>
      </c>
      <c r="D905">
        <f t="shared" si="168"/>
        <v>2019</v>
      </c>
      <c r="E905">
        <f t="shared" si="169"/>
        <v>8</v>
      </c>
      <c r="F905" t="str">
        <f t="shared" si="171"/>
        <v>August</v>
      </c>
      <c r="G905">
        <f t="shared" si="170"/>
        <v>16</v>
      </c>
      <c r="H905" s="7">
        <f t="shared" si="172"/>
        <v>1.0639046494802118</v>
      </c>
      <c r="I905" s="9">
        <f t="shared" si="173"/>
        <v>1.0582850072487798E-2</v>
      </c>
      <c r="J905" s="9">
        <f t="shared" ref="J905:J968" si="174">AVERAGE(C899:C905)</f>
        <v>65895.268571428576</v>
      </c>
      <c r="K905" s="9">
        <f t="shared" si="165"/>
        <v>69433.344333333342</v>
      </c>
      <c r="L905" s="9">
        <f t="shared" si="164"/>
        <v>74662.54300000002</v>
      </c>
      <c r="M905" s="9">
        <f t="shared" si="163"/>
        <v>1.096170769218058E-2</v>
      </c>
      <c r="N905" s="9">
        <f t="shared" si="166"/>
        <v>1.3082622810843474E-2</v>
      </c>
    </row>
    <row r="906" spans="1:14" x14ac:dyDescent="0.35">
      <c r="A906" s="1">
        <v>43696</v>
      </c>
      <c r="B906" s="2" t="s">
        <v>906</v>
      </c>
      <c r="C906">
        <f t="shared" si="167"/>
        <v>66190.75</v>
      </c>
      <c r="D906">
        <f t="shared" si="168"/>
        <v>2019</v>
      </c>
      <c r="E906">
        <f t="shared" si="169"/>
        <v>8</v>
      </c>
      <c r="F906" t="str">
        <f t="shared" si="171"/>
        <v>August</v>
      </c>
      <c r="G906">
        <f t="shared" si="170"/>
        <v>19</v>
      </c>
      <c r="H906" s="7">
        <f t="shared" si="172"/>
        <v>-0.24148852059155107</v>
      </c>
      <c r="I906" s="9">
        <f t="shared" si="173"/>
        <v>-2.4178057439845648E-3</v>
      </c>
      <c r="J906" s="9">
        <f t="shared" si="174"/>
        <v>65764.934285714276</v>
      </c>
      <c r="K906" s="9">
        <f t="shared" si="165"/>
        <v>69194.094333333342</v>
      </c>
      <c r="L906" s="9">
        <f t="shared" si="164"/>
        <v>74543.131666666697</v>
      </c>
      <c r="M906" s="9">
        <f t="shared" ref="M906:M969" si="175">STDEV(I900:I906)</f>
        <v>1.0947411848761241E-2</v>
      </c>
      <c r="N906" s="9">
        <f t="shared" si="166"/>
        <v>1.3025896415559556E-2</v>
      </c>
    </row>
    <row r="907" spans="1:14" x14ac:dyDescent="0.35">
      <c r="A907" s="1">
        <v>43697</v>
      </c>
      <c r="B907" s="2" t="s">
        <v>907</v>
      </c>
      <c r="C907">
        <f t="shared" si="167"/>
        <v>64271.360000000001</v>
      </c>
      <c r="D907">
        <f t="shared" si="168"/>
        <v>2019</v>
      </c>
      <c r="E907">
        <f t="shared" si="169"/>
        <v>8</v>
      </c>
      <c r="F907" t="str">
        <f t="shared" si="171"/>
        <v>August</v>
      </c>
      <c r="G907">
        <f t="shared" si="170"/>
        <v>20</v>
      </c>
      <c r="H907" s="7">
        <f t="shared" si="172"/>
        <v>-2.8997858462096282</v>
      </c>
      <c r="I907" s="9">
        <f t="shared" si="173"/>
        <v>-2.9426605195918023E-2</v>
      </c>
      <c r="J907" s="9">
        <f t="shared" si="174"/>
        <v>65539.294285714292</v>
      </c>
      <c r="K907" s="9">
        <f t="shared" si="165"/>
        <v>68898.093666666668</v>
      </c>
      <c r="L907" s="9">
        <f t="shared" si="164"/>
        <v>74379.35977777779</v>
      </c>
      <c r="M907" s="9">
        <f t="shared" si="175"/>
        <v>1.3980349289605393E-2</v>
      </c>
      <c r="N907" s="9">
        <f t="shared" si="166"/>
        <v>1.3862265988490257E-2</v>
      </c>
    </row>
    <row r="908" spans="1:14" x14ac:dyDescent="0.35">
      <c r="A908" s="1">
        <v>43698</v>
      </c>
      <c r="B908" s="2" t="s">
        <v>908</v>
      </c>
      <c r="C908">
        <f t="shared" si="167"/>
        <v>64392.43</v>
      </c>
      <c r="D908">
        <f t="shared" si="168"/>
        <v>2019</v>
      </c>
      <c r="E908">
        <f t="shared" si="169"/>
        <v>8</v>
      </c>
      <c r="F908" t="str">
        <f t="shared" si="171"/>
        <v>August</v>
      </c>
      <c r="G908">
        <f t="shared" si="170"/>
        <v>21</v>
      </c>
      <c r="H908" s="7">
        <f t="shared" si="172"/>
        <v>0.18837317274754994</v>
      </c>
      <c r="I908" s="9">
        <f t="shared" si="173"/>
        <v>1.8819597298281828E-3</v>
      </c>
      <c r="J908" s="9">
        <f t="shared" si="174"/>
        <v>65455.934285714284</v>
      </c>
      <c r="K908" s="9">
        <f t="shared" si="165"/>
        <v>68606.929999999993</v>
      </c>
      <c r="L908" s="9">
        <f t="shared" si="164"/>
        <v>74226.274111111139</v>
      </c>
      <c r="M908" s="9">
        <f t="shared" si="175"/>
        <v>1.3353715360558965E-2</v>
      </c>
      <c r="N908" s="9">
        <f t="shared" si="166"/>
        <v>1.3890028641421253E-2</v>
      </c>
    </row>
    <row r="909" spans="1:14" x14ac:dyDescent="0.35">
      <c r="A909" s="1">
        <v>43699</v>
      </c>
      <c r="B909" s="2" t="s">
        <v>909</v>
      </c>
      <c r="C909">
        <f t="shared" si="167"/>
        <v>64528.23</v>
      </c>
      <c r="D909">
        <f t="shared" si="168"/>
        <v>2019</v>
      </c>
      <c r="E909">
        <f t="shared" si="169"/>
        <v>8</v>
      </c>
      <c r="F909" t="str">
        <f t="shared" si="171"/>
        <v>August</v>
      </c>
      <c r="G909">
        <f t="shared" si="170"/>
        <v>22</v>
      </c>
      <c r="H909" s="7">
        <f t="shared" si="172"/>
        <v>0.21089435512839463</v>
      </c>
      <c r="I909" s="9">
        <f t="shared" si="173"/>
        <v>2.1067228515049613E-3</v>
      </c>
      <c r="J909" s="9">
        <f t="shared" si="174"/>
        <v>65311.504285714283</v>
      </c>
      <c r="K909" s="9">
        <f t="shared" si="165"/>
        <v>68328.156000000003</v>
      </c>
      <c r="L909" s="9">
        <f t="shared" si="164"/>
        <v>74067.576111111135</v>
      </c>
      <c r="M909" s="9">
        <f t="shared" si="175"/>
        <v>1.2760349237722334E-2</v>
      </c>
      <c r="N909" s="9">
        <f t="shared" si="166"/>
        <v>1.3937507344228585E-2</v>
      </c>
    </row>
    <row r="910" spans="1:14" x14ac:dyDescent="0.35">
      <c r="A910" s="1">
        <v>43700</v>
      </c>
      <c r="B910" s="2" t="s">
        <v>910</v>
      </c>
      <c r="C910">
        <f t="shared" si="167"/>
        <v>64588.09</v>
      </c>
      <c r="D910">
        <f t="shared" si="168"/>
        <v>2019</v>
      </c>
      <c r="E910">
        <f t="shared" si="169"/>
        <v>8</v>
      </c>
      <c r="F910" t="str">
        <f t="shared" si="171"/>
        <v>August</v>
      </c>
      <c r="G910">
        <f t="shared" si="170"/>
        <v>23</v>
      </c>
      <c r="H910" s="7">
        <f t="shared" si="172"/>
        <v>9.2765600420146824E-2</v>
      </c>
      <c r="I910" s="9">
        <f t="shared" si="173"/>
        <v>9.272259972822474E-4</v>
      </c>
      <c r="J910" s="9">
        <f t="shared" si="174"/>
        <v>65139.191428571423</v>
      </c>
      <c r="K910" s="9">
        <f t="shared" si="165"/>
        <v>68073.01466666667</v>
      </c>
      <c r="L910" s="9">
        <f t="shared" si="164"/>
        <v>73898.228333333362</v>
      </c>
      <c r="M910" s="9">
        <f t="shared" si="175"/>
        <v>1.2572144800991183E-2</v>
      </c>
      <c r="N910" s="9">
        <f t="shared" si="166"/>
        <v>1.393479012112268E-2</v>
      </c>
    </row>
    <row r="911" spans="1:14" x14ac:dyDescent="0.35">
      <c r="A911" s="1">
        <v>43703</v>
      </c>
      <c r="B911" s="2" t="s">
        <v>911</v>
      </c>
      <c r="C911">
        <f t="shared" si="167"/>
        <v>64769.2</v>
      </c>
      <c r="D911">
        <f t="shared" si="168"/>
        <v>2019</v>
      </c>
      <c r="E911">
        <f t="shared" si="169"/>
        <v>8</v>
      </c>
      <c r="F911" t="str">
        <f t="shared" si="171"/>
        <v>August</v>
      </c>
      <c r="G911">
        <f t="shared" si="170"/>
        <v>26</v>
      </c>
      <c r="H911" s="7">
        <f t="shared" si="172"/>
        <v>0.28040773461485019</v>
      </c>
      <c r="I911" s="9">
        <f t="shared" si="173"/>
        <v>2.800153255191601E-3</v>
      </c>
      <c r="J911" s="9">
        <f t="shared" si="174"/>
        <v>65013.005714285711</v>
      </c>
      <c r="K911" s="9">
        <f t="shared" si="165"/>
        <v>67834.054333333333</v>
      </c>
      <c r="L911" s="9">
        <f t="shared" si="164"/>
        <v>73737.088555555587</v>
      </c>
      <c r="M911" s="9">
        <f t="shared" si="175"/>
        <v>1.2742558267694487E-2</v>
      </c>
      <c r="N911" s="9">
        <f t="shared" si="166"/>
        <v>1.3985184200890739E-2</v>
      </c>
    </row>
    <row r="912" spans="1:14" x14ac:dyDescent="0.35">
      <c r="A912" s="1">
        <v>43704</v>
      </c>
      <c r="B912" s="2" t="s">
        <v>912</v>
      </c>
      <c r="C912">
        <f t="shared" si="167"/>
        <v>65675.48</v>
      </c>
      <c r="D912">
        <f t="shared" si="168"/>
        <v>2019</v>
      </c>
      <c r="E912">
        <f t="shared" si="169"/>
        <v>8</v>
      </c>
      <c r="F912" t="str">
        <f t="shared" si="171"/>
        <v>August</v>
      </c>
      <c r="G912">
        <f t="shared" si="170"/>
        <v>27</v>
      </c>
      <c r="H912" s="7">
        <f t="shared" si="172"/>
        <v>1.3992453203065638</v>
      </c>
      <c r="I912" s="9">
        <f t="shared" si="173"/>
        <v>1.3895462540768256E-2</v>
      </c>
      <c r="J912" s="9">
        <f t="shared" si="174"/>
        <v>64916.505714285711</v>
      </c>
      <c r="K912" s="9">
        <f t="shared" si="165"/>
        <v>67604.008333333331</v>
      </c>
      <c r="L912" s="9">
        <f t="shared" si="164"/>
        <v>73575.40288888893</v>
      </c>
      <c r="M912" s="9">
        <f t="shared" si="175"/>
        <v>1.3332770183525191E-2</v>
      </c>
      <c r="N912" s="9">
        <f t="shared" si="166"/>
        <v>1.4168212120386263E-2</v>
      </c>
    </row>
    <row r="913" spans="1:14" x14ac:dyDescent="0.35">
      <c r="A913" s="1">
        <v>43705</v>
      </c>
      <c r="B913" s="2" t="s">
        <v>913</v>
      </c>
      <c r="C913">
        <f t="shared" si="167"/>
        <v>65832.67</v>
      </c>
      <c r="D913">
        <f t="shared" si="168"/>
        <v>2019</v>
      </c>
      <c r="E913">
        <f t="shared" si="169"/>
        <v>8</v>
      </c>
      <c r="F913" t="str">
        <f t="shared" si="171"/>
        <v>August</v>
      </c>
      <c r="G913">
        <f t="shared" si="170"/>
        <v>28</v>
      </c>
      <c r="H913" s="7">
        <f t="shared" si="172"/>
        <v>0.23934351145968377</v>
      </c>
      <c r="I913" s="9">
        <f t="shared" si="173"/>
        <v>2.3905754108742533E-3</v>
      </c>
      <c r="J913" s="9">
        <f t="shared" si="174"/>
        <v>64865.351428571426</v>
      </c>
      <c r="K913" s="9">
        <f t="shared" si="165"/>
        <v>67393.254333333331</v>
      </c>
      <c r="L913" s="9">
        <f t="shared" si="164"/>
        <v>73423.857444444482</v>
      </c>
      <c r="M913" s="9">
        <f t="shared" si="175"/>
        <v>1.3399010379206945E-2</v>
      </c>
      <c r="N913" s="9">
        <f t="shared" si="166"/>
        <v>1.419770156675856E-2</v>
      </c>
    </row>
    <row r="914" spans="1:14" x14ac:dyDescent="0.35">
      <c r="A914" s="1">
        <v>43706</v>
      </c>
      <c r="B914" s="2" t="s">
        <v>914</v>
      </c>
      <c r="C914">
        <f t="shared" si="167"/>
        <v>65612.759999999995</v>
      </c>
      <c r="D914">
        <f t="shared" si="168"/>
        <v>2019</v>
      </c>
      <c r="E914">
        <f t="shared" si="169"/>
        <v>8</v>
      </c>
      <c r="F914" t="str">
        <f t="shared" si="171"/>
        <v>August</v>
      </c>
      <c r="G914">
        <f t="shared" si="170"/>
        <v>29</v>
      </c>
      <c r="H914" s="7">
        <f t="shared" si="172"/>
        <v>-0.33404387213826126</v>
      </c>
      <c r="I914" s="9">
        <f t="shared" si="173"/>
        <v>-3.3460304428160189E-3</v>
      </c>
      <c r="J914" s="9">
        <f t="shared" si="174"/>
        <v>65056.979999999996</v>
      </c>
      <c r="K914" s="9">
        <f t="shared" si="165"/>
        <v>67160.097666666668</v>
      </c>
      <c r="L914" s="9">
        <f t="shared" si="164"/>
        <v>73265.576777777809</v>
      </c>
      <c r="M914" s="9">
        <f t="shared" si="175"/>
        <v>5.2555049750652189E-3</v>
      </c>
      <c r="N914" s="9">
        <f t="shared" si="166"/>
        <v>1.4088538998977903E-2</v>
      </c>
    </row>
    <row r="915" spans="1:14" x14ac:dyDescent="0.35">
      <c r="A915" s="1">
        <v>43707</v>
      </c>
      <c r="B915" s="2" t="s">
        <v>915</v>
      </c>
      <c r="C915">
        <f t="shared" si="167"/>
        <v>66312.83</v>
      </c>
      <c r="D915">
        <f t="shared" si="168"/>
        <v>2019</v>
      </c>
      <c r="E915">
        <f t="shared" si="169"/>
        <v>8</v>
      </c>
      <c r="F915" t="str">
        <f t="shared" si="171"/>
        <v>August</v>
      </c>
      <c r="G915">
        <f t="shared" si="170"/>
        <v>30</v>
      </c>
      <c r="H915" s="7">
        <f t="shared" si="172"/>
        <v>1.066972338917014</v>
      </c>
      <c r="I915" s="9">
        <f t="shared" si="173"/>
        <v>1.0613203569021831E-2</v>
      </c>
      <c r="J915" s="9">
        <f t="shared" si="174"/>
        <v>65331.322857142855</v>
      </c>
      <c r="K915" s="9">
        <f t="shared" si="165"/>
        <v>66937.235666666675</v>
      </c>
      <c r="L915" s="9">
        <f t="shared" si="164"/>
        <v>73116.050333333362</v>
      </c>
      <c r="M915" s="9">
        <f t="shared" si="175"/>
        <v>5.9497923422222468E-3</v>
      </c>
      <c r="N915" s="9">
        <f t="shared" si="166"/>
        <v>1.4232491314929213E-2</v>
      </c>
    </row>
    <row r="916" spans="1:14" x14ac:dyDescent="0.35">
      <c r="A916" s="1">
        <v>43710</v>
      </c>
      <c r="B916" s="2" t="s">
        <v>916</v>
      </c>
      <c r="C916">
        <f t="shared" si="167"/>
        <v>64227.23</v>
      </c>
      <c r="D916">
        <f t="shared" si="168"/>
        <v>2019</v>
      </c>
      <c r="E916">
        <f t="shared" si="169"/>
        <v>9</v>
      </c>
      <c r="F916" t="str">
        <f t="shared" si="171"/>
        <v>September</v>
      </c>
      <c r="G916">
        <f t="shared" si="170"/>
        <v>2</v>
      </c>
      <c r="H916" s="7">
        <f t="shared" si="172"/>
        <v>-3.1450927369560286</v>
      </c>
      <c r="I916" s="9">
        <f t="shared" si="173"/>
        <v>-3.1956128724390867E-2</v>
      </c>
      <c r="J916" s="9">
        <f t="shared" si="174"/>
        <v>65288.322857142855</v>
      </c>
      <c r="K916" s="9">
        <f t="shared" si="165"/>
        <v>66650.727666666673</v>
      </c>
      <c r="L916" s="9">
        <f t="shared" si="164"/>
        <v>72952.071222222265</v>
      </c>
      <c r="M916" s="9">
        <f t="shared" si="175"/>
        <v>1.4996702736303066E-2</v>
      </c>
      <c r="N916" s="9">
        <f t="shared" si="166"/>
        <v>1.5167401888593059E-2</v>
      </c>
    </row>
    <row r="917" spans="1:14" x14ac:dyDescent="0.35">
      <c r="A917" s="1">
        <v>43711</v>
      </c>
      <c r="B917" s="2" t="s">
        <v>917</v>
      </c>
      <c r="C917">
        <f t="shared" si="167"/>
        <v>63726.37</v>
      </c>
      <c r="D917">
        <f t="shared" si="168"/>
        <v>2019</v>
      </c>
      <c r="E917">
        <f t="shared" si="169"/>
        <v>9</v>
      </c>
      <c r="F917" t="str">
        <f t="shared" si="171"/>
        <v>September</v>
      </c>
      <c r="G917">
        <f t="shared" si="170"/>
        <v>3</v>
      </c>
      <c r="H917" s="7">
        <f t="shared" si="172"/>
        <v>-0.7798250056868411</v>
      </c>
      <c r="I917" s="9">
        <f t="shared" si="173"/>
        <v>-7.828815416752323E-3</v>
      </c>
      <c r="J917" s="9">
        <f t="shared" si="174"/>
        <v>65165.219999999994</v>
      </c>
      <c r="K917" s="9">
        <f t="shared" si="165"/>
        <v>66342.179999999993</v>
      </c>
      <c r="L917" s="9">
        <f t="shared" si="164"/>
        <v>72771.018777777819</v>
      </c>
      <c r="M917" s="9">
        <f t="shared" si="175"/>
        <v>1.5205194481267809E-2</v>
      </c>
      <c r="N917" s="9">
        <f t="shared" si="166"/>
        <v>1.5132276042795077E-2</v>
      </c>
    </row>
    <row r="918" spans="1:14" x14ac:dyDescent="0.35">
      <c r="A918" s="1">
        <v>43712</v>
      </c>
      <c r="B918" s="2" t="s">
        <v>918</v>
      </c>
      <c r="C918">
        <f t="shared" si="167"/>
        <v>63263.94</v>
      </c>
      <c r="D918">
        <f t="shared" si="168"/>
        <v>2019</v>
      </c>
      <c r="E918">
        <f t="shared" si="169"/>
        <v>9</v>
      </c>
      <c r="F918" t="str">
        <f t="shared" si="171"/>
        <v>September</v>
      </c>
      <c r="G918">
        <f t="shared" si="170"/>
        <v>4</v>
      </c>
      <c r="H918" s="7">
        <f t="shared" si="172"/>
        <v>-0.7256493661885971</v>
      </c>
      <c r="I918" s="9">
        <f t="shared" si="173"/>
        <v>-7.2829500769196007E-3</v>
      </c>
      <c r="J918" s="9">
        <f t="shared" si="174"/>
        <v>64950.182857142856</v>
      </c>
      <c r="K918" s="9">
        <f t="shared" si="165"/>
        <v>66093.968999999997</v>
      </c>
      <c r="L918" s="9">
        <f t="shared" si="164"/>
        <v>72585.333777777822</v>
      </c>
      <c r="M918" s="9">
        <f t="shared" si="175"/>
        <v>1.5161184764063192E-2</v>
      </c>
      <c r="N918" s="9">
        <f t="shared" si="166"/>
        <v>1.4255531520954871E-2</v>
      </c>
    </row>
    <row r="919" spans="1:14" x14ac:dyDescent="0.35">
      <c r="A919" s="1">
        <v>43713</v>
      </c>
      <c r="B919" s="2" t="s">
        <v>919</v>
      </c>
      <c r="C919">
        <f t="shared" si="167"/>
        <v>63808.32</v>
      </c>
      <c r="D919">
        <f t="shared" si="168"/>
        <v>2019</v>
      </c>
      <c r="E919">
        <f t="shared" si="169"/>
        <v>9</v>
      </c>
      <c r="F919" t="str">
        <f t="shared" si="171"/>
        <v>September</v>
      </c>
      <c r="G919">
        <f t="shared" si="170"/>
        <v>5</v>
      </c>
      <c r="H919" s="7">
        <f t="shared" si="172"/>
        <v>0.86049019393986104</v>
      </c>
      <c r="I919" s="9">
        <f t="shared" si="173"/>
        <v>8.5680907908532652E-3</v>
      </c>
      <c r="J919" s="9">
        <f t="shared" si="174"/>
        <v>64683.445714285721</v>
      </c>
      <c r="K919" s="9">
        <f t="shared" si="165"/>
        <v>65899.572</v>
      </c>
      <c r="L919" s="9">
        <f t="shared" si="164"/>
        <v>72410.601555555593</v>
      </c>
      <c r="M919" s="9">
        <f t="shared" si="175"/>
        <v>1.4257461105923686E-2</v>
      </c>
      <c r="N919" s="9">
        <f t="shared" si="166"/>
        <v>1.4253922853321261E-2</v>
      </c>
    </row>
    <row r="920" spans="1:14" x14ac:dyDescent="0.35">
      <c r="A920" s="1">
        <v>43714</v>
      </c>
      <c r="B920" s="2" t="s">
        <v>920</v>
      </c>
      <c r="C920">
        <f t="shared" si="167"/>
        <v>64025.95</v>
      </c>
      <c r="D920">
        <f t="shared" si="168"/>
        <v>2019</v>
      </c>
      <c r="E920">
        <f t="shared" si="169"/>
        <v>9</v>
      </c>
      <c r="F920" t="str">
        <f t="shared" si="171"/>
        <v>September</v>
      </c>
      <c r="G920">
        <f t="shared" si="170"/>
        <v>6</v>
      </c>
      <c r="H920" s="7">
        <f t="shared" si="172"/>
        <v>0.34106837478246937</v>
      </c>
      <c r="I920" s="9">
        <f t="shared" si="173"/>
        <v>3.4048805574985763E-3</v>
      </c>
      <c r="J920" s="9">
        <f t="shared" si="174"/>
        <v>64425.342857142859</v>
      </c>
      <c r="K920" s="9">
        <f t="shared" si="165"/>
        <v>65733.388666666666</v>
      </c>
      <c r="L920" s="9">
        <f t="shared" si="164"/>
        <v>72237.747333333376</v>
      </c>
      <c r="M920" s="9">
        <f t="shared" si="175"/>
        <v>1.4339578331167814E-2</v>
      </c>
      <c r="N920" s="9">
        <f t="shared" si="166"/>
        <v>1.425014479173576E-2</v>
      </c>
    </row>
    <row r="921" spans="1:14" x14ac:dyDescent="0.35">
      <c r="A921" s="1">
        <v>43717</v>
      </c>
      <c r="B921" s="2" t="s">
        <v>921</v>
      </c>
      <c r="C921">
        <f t="shared" si="167"/>
        <v>63625.66</v>
      </c>
      <c r="D921">
        <f t="shared" si="168"/>
        <v>2019</v>
      </c>
      <c r="E921">
        <f t="shared" si="169"/>
        <v>9</v>
      </c>
      <c r="F921" t="str">
        <f t="shared" si="171"/>
        <v>September</v>
      </c>
      <c r="G921">
        <f t="shared" si="170"/>
        <v>9</v>
      </c>
      <c r="H921" s="7">
        <f t="shared" si="172"/>
        <v>-0.62519962608909918</v>
      </c>
      <c r="I921" s="9">
        <f t="shared" si="173"/>
        <v>-6.2716218316040259E-3</v>
      </c>
      <c r="J921" s="9">
        <f t="shared" si="174"/>
        <v>64141.471428571436</v>
      </c>
      <c r="K921" s="9">
        <f t="shared" si="165"/>
        <v>65539.599999999991</v>
      </c>
      <c r="L921" s="9">
        <f t="shared" si="164"/>
        <v>72053.133333333375</v>
      </c>
      <c r="M921" s="9">
        <f t="shared" si="175"/>
        <v>1.436079666161952E-2</v>
      </c>
      <c r="N921" s="9">
        <f t="shared" si="166"/>
        <v>1.4169716069657785E-2</v>
      </c>
    </row>
    <row r="922" spans="1:14" x14ac:dyDescent="0.35">
      <c r="A922" s="1">
        <v>43718</v>
      </c>
      <c r="B922" s="2" t="s">
        <v>922</v>
      </c>
      <c r="C922">
        <f t="shared" si="167"/>
        <v>63416.66</v>
      </c>
      <c r="D922">
        <f t="shared" si="168"/>
        <v>2019</v>
      </c>
      <c r="E922">
        <f t="shared" si="169"/>
        <v>9</v>
      </c>
      <c r="F922" t="str">
        <f t="shared" si="171"/>
        <v>September</v>
      </c>
      <c r="G922">
        <f t="shared" si="170"/>
        <v>10</v>
      </c>
      <c r="H922" s="7">
        <f t="shared" si="172"/>
        <v>-0.32848382240750035</v>
      </c>
      <c r="I922" s="9">
        <f t="shared" si="173"/>
        <v>-3.2902451489834647E-3</v>
      </c>
      <c r="J922" s="9">
        <f t="shared" si="174"/>
        <v>63727.732857142859</v>
      </c>
      <c r="K922" s="9">
        <f t="shared" si="165"/>
        <v>65343.315666666655</v>
      </c>
      <c r="L922" s="9">
        <f t="shared" si="164"/>
        <v>71871.073000000062</v>
      </c>
      <c r="M922" s="9">
        <f t="shared" si="175"/>
        <v>1.2817958630313429E-2</v>
      </c>
      <c r="N922" s="9">
        <f t="shared" si="166"/>
        <v>1.4168641979776396E-2</v>
      </c>
    </row>
    <row r="923" spans="1:14" x14ac:dyDescent="0.35">
      <c r="A923" s="1">
        <v>43719</v>
      </c>
      <c r="B923" s="2" t="s">
        <v>923</v>
      </c>
      <c r="C923">
        <f t="shared" si="167"/>
        <v>65276.97</v>
      </c>
      <c r="D923">
        <f t="shared" si="168"/>
        <v>2019</v>
      </c>
      <c r="E923">
        <f t="shared" si="169"/>
        <v>9</v>
      </c>
      <c r="F923" t="str">
        <f t="shared" si="171"/>
        <v>September</v>
      </c>
      <c r="G923">
        <f t="shared" si="170"/>
        <v>11</v>
      </c>
      <c r="H923" s="7">
        <f t="shared" si="172"/>
        <v>2.9334720560811585</v>
      </c>
      <c r="I923" s="9">
        <f t="shared" si="173"/>
        <v>2.8912691188600948E-2</v>
      </c>
      <c r="J923" s="9">
        <f t="shared" si="174"/>
        <v>63877.695714285714</v>
      </c>
      <c r="K923" s="9">
        <f t="shared" si="165"/>
        <v>65317.659666666659</v>
      </c>
      <c r="L923" s="9">
        <f t="shared" si="164"/>
        <v>71709.518555555609</v>
      </c>
      <c r="M923" s="9">
        <f t="shared" si="175"/>
        <v>1.3215474755752302E-2</v>
      </c>
      <c r="N923" s="9">
        <f t="shared" si="166"/>
        <v>1.2589943483736392E-2</v>
      </c>
    </row>
    <row r="924" spans="1:14" x14ac:dyDescent="0.35">
      <c r="A924" s="1">
        <v>43720</v>
      </c>
      <c r="B924" s="2" t="s">
        <v>924</v>
      </c>
      <c r="C924">
        <f t="shared" si="167"/>
        <v>66208.710000000006</v>
      </c>
      <c r="D924">
        <f t="shared" si="168"/>
        <v>2019</v>
      </c>
      <c r="E924">
        <f t="shared" si="169"/>
        <v>9</v>
      </c>
      <c r="F924" t="str">
        <f t="shared" si="171"/>
        <v>September</v>
      </c>
      <c r="G924">
        <f t="shared" si="170"/>
        <v>12</v>
      </c>
      <c r="H924" s="7">
        <f t="shared" si="172"/>
        <v>1.4273640458495627</v>
      </c>
      <c r="I924" s="9">
        <f t="shared" si="173"/>
        <v>1.4172731147791716E-2</v>
      </c>
      <c r="J924" s="9">
        <f t="shared" si="174"/>
        <v>64232.315714285716</v>
      </c>
      <c r="K924" s="9">
        <f t="shared" si="165"/>
        <v>65287.18</v>
      </c>
      <c r="L924" s="9">
        <f t="shared" ref="L924:L987" si="176">AVERAGE(C835:C924)</f>
        <v>71562.097555555607</v>
      </c>
      <c r="M924" s="9">
        <f t="shared" si="175"/>
        <v>1.3015405385314304E-2</v>
      </c>
      <c r="N924" s="9">
        <f t="shared" si="166"/>
        <v>1.2504480761352145E-2</v>
      </c>
    </row>
    <row r="925" spans="1:14" x14ac:dyDescent="0.35">
      <c r="A925" s="1">
        <v>43721</v>
      </c>
      <c r="B925" s="2" t="s">
        <v>925</v>
      </c>
      <c r="C925">
        <f t="shared" si="167"/>
        <v>66602.84</v>
      </c>
      <c r="D925">
        <f t="shared" si="168"/>
        <v>2019</v>
      </c>
      <c r="E925">
        <f t="shared" si="169"/>
        <v>9</v>
      </c>
      <c r="F925" t="str">
        <f t="shared" si="171"/>
        <v>September</v>
      </c>
      <c r="G925">
        <f t="shared" si="170"/>
        <v>13</v>
      </c>
      <c r="H925" s="7">
        <f t="shared" si="172"/>
        <v>0.59528421562659961</v>
      </c>
      <c r="I925" s="9">
        <f t="shared" si="173"/>
        <v>5.9351939945774378E-3</v>
      </c>
      <c r="J925" s="9">
        <f t="shared" si="174"/>
        <v>64709.301428571423</v>
      </c>
      <c r="K925" s="9">
        <f t="shared" si="165"/>
        <v>65260.132333333328</v>
      </c>
      <c r="L925" s="9">
        <f t="shared" si="176"/>
        <v>71409.630666666708</v>
      </c>
      <c r="M925" s="9">
        <f t="shared" si="175"/>
        <v>1.1756643870976339E-2</v>
      </c>
      <c r="N925" s="9">
        <f t="shared" si="166"/>
        <v>1.2529101536174427E-2</v>
      </c>
    </row>
    <row r="926" spans="1:14" x14ac:dyDescent="0.35">
      <c r="A926" s="1">
        <v>43724</v>
      </c>
      <c r="B926" s="2" t="s">
        <v>926</v>
      </c>
      <c r="C926">
        <f t="shared" si="167"/>
        <v>66474.86</v>
      </c>
      <c r="D926">
        <f t="shared" si="168"/>
        <v>2019</v>
      </c>
      <c r="E926">
        <f t="shared" si="169"/>
        <v>9</v>
      </c>
      <c r="F926" t="str">
        <f t="shared" si="171"/>
        <v>September</v>
      </c>
      <c r="G926">
        <f t="shared" si="170"/>
        <v>16</v>
      </c>
      <c r="H926" s="7">
        <f t="shared" si="172"/>
        <v>-0.19215396820915734</v>
      </c>
      <c r="I926" s="9">
        <f t="shared" si="173"/>
        <v>-1.9233882078564298E-3</v>
      </c>
      <c r="J926" s="9">
        <f t="shared" si="174"/>
        <v>65090.235714285714</v>
      </c>
      <c r="K926" s="9">
        <f t="shared" si="165"/>
        <v>65253.572666666667</v>
      </c>
      <c r="L926" s="9">
        <f t="shared" si="176"/>
        <v>71250.558444444483</v>
      </c>
      <c r="M926" s="9">
        <f t="shared" si="175"/>
        <v>1.2234137985997031E-2</v>
      </c>
      <c r="N926" s="9">
        <f t="shared" si="166"/>
        <v>1.237067138514001E-2</v>
      </c>
    </row>
    <row r="927" spans="1:14" x14ac:dyDescent="0.35">
      <c r="A927" s="1">
        <v>43725</v>
      </c>
      <c r="B927" s="2" t="s">
        <v>927</v>
      </c>
      <c r="C927">
        <f t="shared" si="167"/>
        <v>66584.34</v>
      </c>
      <c r="D927">
        <f t="shared" si="168"/>
        <v>2019</v>
      </c>
      <c r="E927">
        <f t="shared" si="169"/>
        <v>9</v>
      </c>
      <c r="F927" t="str">
        <f t="shared" si="171"/>
        <v>September</v>
      </c>
      <c r="G927">
        <f t="shared" si="170"/>
        <v>17</v>
      </c>
      <c r="H927" s="7">
        <f t="shared" si="172"/>
        <v>0.16469384064892489</v>
      </c>
      <c r="I927" s="9">
        <f t="shared" si="173"/>
        <v>1.6455836906502346E-3</v>
      </c>
      <c r="J927" s="9">
        <f t="shared" si="174"/>
        <v>65455.719999999987</v>
      </c>
      <c r="K927" s="9">
        <f t="shared" si="165"/>
        <v>65260.197999999997</v>
      </c>
      <c r="L927" s="9">
        <f t="shared" si="176"/>
        <v>71095.84033333337</v>
      </c>
      <c r="M927" s="9">
        <f t="shared" si="175"/>
        <v>1.2310539083277771E-2</v>
      </c>
      <c r="N927" s="9">
        <f t="shared" si="166"/>
        <v>1.234864705268139E-2</v>
      </c>
    </row>
    <row r="928" spans="1:14" x14ac:dyDescent="0.35">
      <c r="A928" s="1">
        <v>43726</v>
      </c>
      <c r="B928" s="2" t="s">
        <v>928</v>
      </c>
      <c r="C928">
        <f t="shared" si="167"/>
        <v>67568.259999999995</v>
      </c>
      <c r="D928">
        <f t="shared" si="168"/>
        <v>2019</v>
      </c>
      <c r="E928">
        <f t="shared" si="169"/>
        <v>9</v>
      </c>
      <c r="F928" t="str">
        <f t="shared" si="171"/>
        <v>September</v>
      </c>
      <c r="G928">
        <f t="shared" si="170"/>
        <v>18</v>
      </c>
      <c r="H928" s="7">
        <f t="shared" si="172"/>
        <v>1.4777048176793497</v>
      </c>
      <c r="I928" s="9">
        <f t="shared" si="173"/>
        <v>1.4668931396949001E-2</v>
      </c>
      <c r="J928" s="9">
        <f t="shared" si="174"/>
        <v>66018.948571428569</v>
      </c>
      <c r="K928" s="9">
        <f t="shared" ref="K928:K991" si="177">AVERAGE(C899:C928)</f>
        <v>65275.026333333335</v>
      </c>
      <c r="L928" s="9">
        <f t="shared" si="176"/>
        <v>70960.760333333368</v>
      </c>
      <c r="M928" s="9">
        <f t="shared" si="175"/>
        <v>1.1460632109032125E-2</v>
      </c>
      <c r="N928" s="9">
        <f t="shared" si="166"/>
        <v>1.2476233477123811E-2</v>
      </c>
    </row>
    <row r="929" spans="1:14" x14ac:dyDescent="0.35">
      <c r="A929" s="1">
        <v>43727</v>
      </c>
      <c r="B929" s="2" t="s">
        <v>929</v>
      </c>
      <c r="C929">
        <f t="shared" si="167"/>
        <v>67964.02</v>
      </c>
      <c r="D929">
        <f t="shared" si="168"/>
        <v>2019</v>
      </c>
      <c r="E929">
        <f t="shared" si="169"/>
        <v>9</v>
      </c>
      <c r="F929" t="str">
        <f t="shared" si="171"/>
        <v>September</v>
      </c>
      <c r="G929">
        <f t="shared" si="170"/>
        <v>19</v>
      </c>
      <c r="H929" s="7">
        <f t="shared" si="172"/>
        <v>0.58571879755377654</v>
      </c>
      <c r="I929" s="9">
        <f t="shared" si="173"/>
        <v>5.8401013373507275E-3</v>
      </c>
      <c r="J929" s="9">
        <f t="shared" si="174"/>
        <v>66668.571428571435</v>
      </c>
      <c r="K929" s="9">
        <f t="shared" si="177"/>
        <v>65303.724000000009</v>
      </c>
      <c r="L929" s="9">
        <f t="shared" si="176"/>
        <v>70826.616000000024</v>
      </c>
      <c r="M929" s="9">
        <f t="shared" si="175"/>
        <v>1.0349004736514135E-2</v>
      </c>
      <c r="N929" s="9">
        <f t="shared" ref="N929:N992" si="178">STDEV(I900:I929)</f>
        <v>1.2517694821911595E-2</v>
      </c>
    </row>
    <row r="930" spans="1:14" x14ac:dyDescent="0.35">
      <c r="A930" s="1">
        <v>43728</v>
      </c>
      <c r="B930" s="2" t="s">
        <v>930</v>
      </c>
      <c r="C930">
        <f t="shared" si="167"/>
        <v>68273.710000000006</v>
      </c>
      <c r="D930">
        <f t="shared" si="168"/>
        <v>2019</v>
      </c>
      <c r="E930">
        <f t="shared" si="169"/>
        <v>9</v>
      </c>
      <c r="F930" t="str">
        <f t="shared" si="171"/>
        <v>September</v>
      </c>
      <c r="G930">
        <f t="shared" si="170"/>
        <v>20</v>
      </c>
      <c r="H930" s="7">
        <f t="shared" si="172"/>
        <v>0.45566757234195732</v>
      </c>
      <c r="I930" s="9">
        <f t="shared" si="173"/>
        <v>4.546325506406981E-3</v>
      </c>
      <c r="J930" s="9">
        <f t="shared" si="174"/>
        <v>67096.677142857152</v>
      </c>
      <c r="K930" s="9">
        <f t="shared" si="177"/>
        <v>65384.486333333327</v>
      </c>
      <c r="L930" s="9">
        <f t="shared" si="176"/>
        <v>70694.894666666689</v>
      </c>
      <c r="M930" s="9">
        <f t="shared" si="175"/>
        <v>6.1188021445199242E-3</v>
      </c>
      <c r="N930" s="9">
        <f t="shared" si="178"/>
        <v>1.1993947654998654E-2</v>
      </c>
    </row>
    <row r="931" spans="1:14" x14ac:dyDescent="0.35">
      <c r="A931" s="1">
        <v>43731</v>
      </c>
      <c r="B931" s="2" t="s">
        <v>931</v>
      </c>
      <c r="C931">
        <f t="shared" si="167"/>
        <v>69772.41</v>
      </c>
      <c r="D931">
        <f t="shared" si="168"/>
        <v>2019</v>
      </c>
      <c r="E931">
        <f t="shared" si="169"/>
        <v>9</v>
      </c>
      <c r="F931" t="str">
        <f t="shared" si="171"/>
        <v>September</v>
      </c>
      <c r="G931">
        <f t="shared" si="170"/>
        <v>23</v>
      </c>
      <c r="H931" s="7">
        <f t="shared" si="172"/>
        <v>2.1951348476595118</v>
      </c>
      <c r="I931" s="9">
        <f t="shared" si="173"/>
        <v>2.1713886418057968E-2</v>
      </c>
      <c r="J931" s="9">
        <f t="shared" si="174"/>
        <v>67605.777142857158</v>
      </c>
      <c r="K931" s="9">
        <f t="shared" si="177"/>
        <v>65544.368333333332</v>
      </c>
      <c r="L931" s="9">
        <f t="shared" si="176"/>
        <v>70589.368444444466</v>
      </c>
      <c r="M931" s="9">
        <f t="shared" si="175"/>
        <v>8.066699920062561E-3</v>
      </c>
      <c r="N931" s="9">
        <f t="shared" si="178"/>
        <v>1.2231709668331949E-2</v>
      </c>
    </row>
    <row r="932" spans="1:14" x14ac:dyDescent="0.35">
      <c r="A932" s="1">
        <v>43733</v>
      </c>
      <c r="B932" s="2" t="s">
        <v>932</v>
      </c>
      <c r="C932">
        <f t="shared" si="167"/>
        <v>68708.479999999996</v>
      </c>
      <c r="D932">
        <f t="shared" si="168"/>
        <v>2019</v>
      </c>
      <c r="E932">
        <f t="shared" si="169"/>
        <v>9</v>
      </c>
      <c r="F932" t="str">
        <f t="shared" si="171"/>
        <v>September</v>
      </c>
      <c r="G932">
        <f t="shared" si="170"/>
        <v>25</v>
      </c>
      <c r="H932" s="7">
        <f t="shared" si="172"/>
        <v>-1.5248577482130938</v>
      </c>
      <c r="I932" s="9">
        <f t="shared" si="173"/>
        <v>-1.5366032584951067E-2</v>
      </c>
      <c r="J932" s="9">
        <f t="shared" si="174"/>
        <v>67906.582857142872</v>
      </c>
      <c r="K932" s="9">
        <f t="shared" si="177"/>
        <v>65650.009666666665</v>
      </c>
      <c r="L932" s="9">
        <f t="shared" si="176"/>
        <v>70469.406444444467</v>
      </c>
      <c r="M932" s="9">
        <f t="shared" si="175"/>
        <v>1.1871323168151572E-2</v>
      </c>
      <c r="N932" s="9">
        <f t="shared" si="178"/>
        <v>1.2587871516191455E-2</v>
      </c>
    </row>
    <row r="933" spans="1:14" x14ac:dyDescent="0.35">
      <c r="A933" s="1">
        <v>43734</v>
      </c>
      <c r="B933" s="2" t="s">
        <v>933</v>
      </c>
      <c r="C933">
        <f t="shared" si="167"/>
        <v>67260.23</v>
      </c>
      <c r="D933">
        <f t="shared" si="168"/>
        <v>2019</v>
      </c>
      <c r="E933">
        <f t="shared" si="169"/>
        <v>9</v>
      </c>
      <c r="F933" t="str">
        <f t="shared" si="171"/>
        <v>September</v>
      </c>
      <c r="G933">
        <f t="shared" si="170"/>
        <v>26</v>
      </c>
      <c r="H933" s="7">
        <f t="shared" si="172"/>
        <v>-2.10781842357741</v>
      </c>
      <c r="I933" s="9">
        <f t="shared" si="173"/>
        <v>-2.1303500964281033E-2</v>
      </c>
      <c r="J933" s="9">
        <f t="shared" si="174"/>
        <v>68018.778571428571</v>
      </c>
      <c r="K933" s="9">
        <f t="shared" si="177"/>
        <v>65698.87466666667</v>
      </c>
      <c r="L933" s="9">
        <f t="shared" si="176"/>
        <v>70329.348111111132</v>
      </c>
      <c r="M933" s="9">
        <f t="shared" si="175"/>
        <v>1.5353614698960572E-2</v>
      </c>
      <c r="N933" s="9">
        <f t="shared" si="178"/>
        <v>1.3251004676952784E-2</v>
      </c>
    </row>
    <row r="934" spans="1:14" x14ac:dyDescent="0.35">
      <c r="A934" s="1">
        <v>43735</v>
      </c>
      <c r="B934" s="2" t="s">
        <v>934</v>
      </c>
      <c r="C934">
        <f t="shared" si="167"/>
        <v>66715.83</v>
      </c>
      <c r="D934">
        <f t="shared" si="168"/>
        <v>2019</v>
      </c>
      <c r="E934">
        <f t="shared" si="169"/>
        <v>9</v>
      </c>
      <c r="F934" t="str">
        <f t="shared" si="171"/>
        <v>September</v>
      </c>
      <c r="G934">
        <f t="shared" si="170"/>
        <v>27</v>
      </c>
      <c r="H934" s="7">
        <f t="shared" si="172"/>
        <v>-0.80939360451189979</v>
      </c>
      <c r="I934" s="9">
        <f t="shared" si="173"/>
        <v>-8.1268697748556225E-3</v>
      </c>
      <c r="J934" s="9">
        <f t="shared" si="174"/>
        <v>68037.562857142853</v>
      </c>
      <c r="K934" s="9">
        <f t="shared" si="177"/>
        <v>65734.318999999989</v>
      </c>
      <c r="L934" s="9">
        <f t="shared" si="176"/>
        <v>70188.578333333367</v>
      </c>
      <c r="M934" s="9">
        <f t="shared" si="175"/>
        <v>1.5794990657986421E-2</v>
      </c>
      <c r="N934" s="9">
        <f t="shared" si="178"/>
        <v>1.3340447995314617E-2</v>
      </c>
    </row>
    <row r="935" spans="1:14" x14ac:dyDescent="0.35">
      <c r="A935" s="1">
        <v>43738</v>
      </c>
      <c r="B935" s="2" t="s">
        <v>935</v>
      </c>
      <c r="C935">
        <f t="shared" si="167"/>
        <v>67538.77</v>
      </c>
      <c r="D935">
        <f t="shared" si="168"/>
        <v>2019</v>
      </c>
      <c r="E935">
        <f t="shared" si="169"/>
        <v>9</v>
      </c>
      <c r="F935" t="str">
        <f t="shared" si="171"/>
        <v>September</v>
      </c>
      <c r="G935">
        <f t="shared" si="170"/>
        <v>30</v>
      </c>
      <c r="H935" s="7">
        <f t="shared" si="172"/>
        <v>1.2335003551630883</v>
      </c>
      <c r="I935" s="9">
        <f t="shared" si="173"/>
        <v>1.225954726404317E-2</v>
      </c>
      <c r="J935" s="9">
        <f t="shared" si="174"/>
        <v>68033.350000000006</v>
      </c>
      <c r="K935" s="9">
        <f t="shared" si="177"/>
        <v>65773.911999999997</v>
      </c>
      <c r="L935" s="9">
        <f t="shared" si="176"/>
        <v>70059.366888888908</v>
      </c>
      <c r="M935" s="9">
        <f t="shared" si="175"/>
        <v>1.5451742731161735E-2</v>
      </c>
      <c r="N935" s="9">
        <f t="shared" si="178"/>
        <v>1.3387422278965574E-2</v>
      </c>
    </row>
    <row r="936" spans="1:14" x14ac:dyDescent="0.35">
      <c r="A936" s="1">
        <v>43739</v>
      </c>
      <c r="B936" s="2" t="s">
        <v>936</v>
      </c>
      <c r="C936">
        <f t="shared" si="167"/>
        <v>67399.39</v>
      </c>
      <c r="D936">
        <f t="shared" si="168"/>
        <v>2019</v>
      </c>
      <c r="E936">
        <f t="shared" si="169"/>
        <v>10</v>
      </c>
      <c r="F936" t="str">
        <f t="shared" si="171"/>
        <v>October</v>
      </c>
      <c r="G936">
        <f t="shared" si="170"/>
        <v>1</v>
      </c>
      <c r="H936" s="7">
        <f t="shared" si="172"/>
        <v>-0.20637035587116062</v>
      </c>
      <c r="I936" s="9">
        <f t="shared" si="173"/>
        <v>-2.0658359291261387E-3</v>
      </c>
      <c r="J936" s="9">
        <f t="shared" si="174"/>
        <v>67952.688571428575</v>
      </c>
      <c r="K936" s="9">
        <f t="shared" si="177"/>
        <v>65814.2</v>
      </c>
      <c r="L936" s="9">
        <f t="shared" si="176"/>
        <v>69926.763222222231</v>
      </c>
      <c r="M936" s="9">
        <f t="shared" si="175"/>
        <v>1.5235833936600371E-2</v>
      </c>
      <c r="N936" s="9">
        <f t="shared" si="178"/>
        <v>1.338484810789835E-2</v>
      </c>
    </row>
    <row r="937" spans="1:14" x14ac:dyDescent="0.35">
      <c r="A937" s="1">
        <v>43740</v>
      </c>
      <c r="B937" s="2" t="s">
        <v>937</v>
      </c>
      <c r="C937">
        <f t="shared" si="167"/>
        <v>67378.31</v>
      </c>
      <c r="D937">
        <f t="shared" si="168"/>
        <v>2019</v>
      </c>
      <c r="E937">
        <f t="shared" si="169"/>
        <v>10</v>
      </c>
      <c r="F937" t="str">
        <f t="shared" si="171"/>
        <v>October</v>
      </c>
      <c r="G937">
        <f t="shared" si="170"/>
        <v>2</v>
      </c>
      <c r="H937" s="7">
        <f t="shared" si="172"/>
        <v>-3.1276247455654639E-2</v>
      </c>
      <c r="I937" s="9">
        <f t="shared" si="173"/>
        <v>-3.1281139493990074E-4</v>
      </c>
      <c r="J937" s="9">
        <f t="shared" si="174"/>
        <v>67824.774285714288</v>
      </c>
      <c r="K937" s="9">
        <f t="shared" si="177"/>
        <v>65917.764999999999</v>
      </c>
      <c r="L937" s="9">
        <f t="shared" si="176"/>
        <v>69801.771666666667</v>
      </c>
      <c r="M937" s="9">
        <f t="shared" si="175"/>
        <v>1.5040265331258603E-2</v>
      </c>
      <c r="N937" s="9">
        <f t="shared" si="178"/>
        <v>1.212900227336077E-2</v>
      </c>
    </row>
    <row r="938" spans="1:14" x14ac:dyDescent="0.35">
      <c r="A938" s="1">
        <v>43741</v>
      </c>
      <c r="B938" s="2" t="s">
        <v>938</v>
      </c>
      <c r="C938">
        <f t="shared" si="167"/>
        <v>66021.710000000006</v>
      </c>
      <c r="D938">
        <f t="shared" si="168"/>
        <v>2019</v>
      </c>
      <c r="E938">
        <f t="shared" si="169"/>
        <v>10</v>
      </c>
      <c r="F938" t="str">
        <f t="shared" si="171"/>
        <v>October</v>
      </c>
      <c r="G938">
        <f t="shared" si="170"/>
        <v>3</v>
      </c>
      <c r="H938" s="7">
        <f t="shared" si="172"/>
        <v>-2.0134075787890664</v>
      </c>
      <c r="I938" s="9">
        <f t="shared" si="173"/>
        <v>-2.0339528705598506E-2</v>
      </c>
      <c r="J938" s="9">
        <f t="shared" si="174"/>
        <v>67288.960000000006</v>
      </c>
      <c r="K938" s="9">
        <f t="shared" si="177"/>
        <v>65972.074333333338</v>
      </c>
      <c r="L938" s="9">
        <f t="shared" si="176"/>
        <v>69662.878444444446</v>
      </c>
      <c r="M938" s="9">
        <f t="shared" si="175"/>
        <v>1.2166886641781224E-2</v>
      </c>
      <c r="N938" s="9">
        <f t="shared" si="178"/>
        <v>1.2771061075625707E-2</v>
      </c>
    </row>
    <row r="939" spans="1:14" x14ac:dyDescent="0.35">
      <c r="A939" s="1">
        <v>43742</v>
      </c>
      <c r="B939" s="2" t="s">
        <v>939</v>
      </c>
      <c r="C939">
        <f t="shared" si="167"/>
        <v>67257.14</v>
      </c>
      <c r="D939">
        <f t="shared" si="168"/>
        <v>2019</v>
      </c>
      <c r="E939">
        <f t="shared" si="169"/>
        <v>10</v>
      </c>
      <c r="F939" t="str">
        <f t="shared" si="171"/>
        <v>October</v>
      </c>
      <c r="G939">
        <f t="shared" si="170"/>
        <v>4</v>
      </c>
      <c r="H939" s="7">
        <f t="shared" si="172"/>
        <v>1.8712481091446933</v>
      </c>
      <c r="I939" s="9">
        <f t="shared" si="173"/>
        <v>1.8539556518260326E-2</v>
      </c>
      <c r="J939" s="9">
        <f t="shared" si="174"/>
        <v>67081.625714285721</v>
      </c>
      <c r="K939" s="9">
        <f t="shared" si="177"/>
        <v>66063.038</v>
      </c>
      <c r="L939" s="9">
        <f t="shared" si="176"/>
        <v>69543.50988888889</v>
      </c>
      <c r="M939" s="9">
        <f t="shared" si="175"/>
        <v>1.5093291420608257E-2</v>
      </c>
      <c r="N939" s="9">
        <f t="shared" si="178"/>
        <v>1.3173642993490423E-2</v>
      </c>
    </row>
    <row r="940" spans="1:14" x14ac:dyDescent="0.35">
      <c r="A940" s="1">
        <v>43745</v>
      </c>
      <c r="B940" s="2" t="s">
        <v>940</v>
      </c>
      <c r="C940">
        <f t="shared" si="167"/>
        <v>67900.479999999996</v>
      </c>
      <c r="D940">
        <f t="shared" si="168"/>
        <v>2019</v>
      </c>
      <c r="E940">
        <f t="shared" si="169"/>
        <v>10</v>
      </c>
      <c r="F940" t="str">
        <f t="shared" si="171"/>
        <v>October</v>
      </c>
      <c r="G940">
        <f t="shared" si="170"/>
        <v>7</v>
      </c>
      <c r="H940" s="7">
        <f t="shared" si="172"/>
        <v>0.95653784862097402</v>
      </c>
      <c r="I940" s="9">
        <f t="shared" si="173"/>
        <v>9.5199199091801009E-3</v>
      </c>
      <c r="J940" s="9">
        <f t="shared" si="174"/>
        <v>67173.09</v>
      </c>
      <c r="K940" s="9">
        <f t="shared" si="177"/>
        <v>66173.450999999986</v>
      </c>
      <c r="L940" s="9">
        <f t="shared" si="176"/>
        <v>69427.485222222225</v>
      </c>
      <c r="M940" s="9">
        <f t="shared" si="175"/>
        <v>1.3266035435273093E-2</v>
      </c>
      <c r="N940" s="9">
        <f t="shared" si="178"/>
        <v>1.3256594574961198E-2</v>
      </c>
    </row>
    <row r="941" spans="1:14" x14ac:dyDescent="0.35">
      <c r="A941" s="1">
        <v>43746</v>
      </c>
      <c r="B941" s="2" t="s">
        <v>941</v>
      </c>
      <c r="C941">
        <f t="shared" si="167"/>
        <v>69207.02</v>
      </c>
      <c r="D941">
        <f t="shared" si="168"/>
        <v>2019</v>
      </c>
      <c r="E941">
        <f t="shared" si="169"/>
        <v>10</v>
      </c>
      <c r="F941" t="str">
        <f t="shared" si="171"/>
        <v>October</v>
      </c>
      <c r="G941">
        <f t="shared" si="170"/>
        <v>8</v>
      </c>
      <c r="H941" s="7">
        <f t="shared" si="172"/>
        <v>1.9241984740019633</v>
      </c>
      <c r="I941" s="9">
        <f t="shared" si="173"/>
        <v>1.905919880602034E-2</v>
      </c>
      <c r="J941" s="9">
        <f t="shared" si="174"/>
        <v>67528.974285714285</v>
      </c>
      <c r="K941" s="9">
        <f t="shared" si="177"/>
        <v>66321.378333333327</v>
      </c>
      <c r="L941" s="9">
        <f t="shared" si="176"/>
        <v>69342.463888888888</v>
      </c>
      <c r="M941" s="9">
        <f t="shared" si="175"/>
        <v>1.3987860226983936E-2</v>
      </c>
      <c r="N941" s="9">
        <f t="shared" si="178"/>
        <v>1.3631569616659017E-2</v>
      </c>
    </row>
    <row r="942" spans="1:14" x14ac:dyDescent="0.35">
      <c r="A942" s="1">
        <v>43747</v>
      </c>
      <c r="B942" s="2" t="s">
        <v>942</v>
      </c>
      <c r="C942">
        <f t="shared" si="167"/>
        <v>70173.09</v>
      </c>
      <c r="D942">
        <f t="shared" si="168"/>
        <v>2019</v>
      </c>
      <c r="E942">
        <f t="shared" si="169"/>
        <v>10</v>
      </c>
      <c r="F942" t="str">
        <f t="shared" si="171"/>
        <v>October</v>
      </c>
      <c r="G942">
        <f t="shared" si="170"/>
        <v>9</v>
      </c>
      <c r="H942" s="7">
        <f t="shared" si="172"/>
        <v>1.3959133047485535</v>
      </c>
      <c r="I942" s="9">
        <f t="shared" si="173"/>
        <v>1.3862601642303886E-2</v>
      </c>
      <c r="J942" s="9">
        <f t="shared" si="174"/>
        <v>67905.305714285714</v>
      </c>
      <c r="K942" s="9">
        <f t="shared" si="177"/>
        <v>66471.298666666655</v>
      </c>
      <c r="L942" s="9">
        <f t="shared" si="176"/>
        <v>69283.950444444432</v>
      </c>
      <c r="M942" s="9">
        <f t="shared" si="175"/>
        <v>1.4134347318910974E-2</v>
      </c>
      <c r="N942" s="9">
        <f t="shared" si="178"/>
        <v>1.3630599462331843E-2</v>
      </c>
    </row>
    <row r="943" spans="1:14" x14ac:dyDescent="0.35">
      <c r="A943" s="1">
        <v>43748</v>
      </c>
      <c r="B943" s="2" t="s">
        <v>943</v>
      </c>
      <c r="C943">
        <f t="shared" si="167"/>
        <v>70340.7</v>
      </c>
      <c r="D943">
        <f t="shared" si="168"/>
        <v>2019</v>
      </c>
      <c r="E943">
        <f t="shared" si="169"/>
        <v>10</v>
      </c>
      <c r="F943" t="str">
        <f t="shared" si="171"/>
        <v>October</v>
      </c>
      <c r="G943">
        <f t="shared" si="170"/>
        <v>10</v>
      </c>
      <c r="H943" s="7">
        <f t="shared" si="172"/>
        <v>0.2388522437874698</v>
      </c>
      <c r="I943" s="9">
        <f t="shared" si="173"/>
        <v>2.3856744522402296E-3</v>
      </c>
      <c r="J943" s="9">
        <f t="shared" si="174"/>
        <v>68325.492857142861</v>
      </c>
      <c r="K943" s="9">
        <f t="shared" si="177"/>
        <v>66621.566333333321</v>
      </c>
      <c r="L943" s="9">
        <f t="shared" si="176"/>
        <v>69236.984777777776</v>
      </c>
      <c r="M943" s="9">
        <f t="shared" si="175"/>
        <v>1.3835981162925379E-2</v>
      </c>
      <c r="N943" s="9">
        <f t="shared" si="178"/>
        <v>1.3630597227739573E-2</v>
      </c>
    </row>
    <row r="944" spans="1:14" x14ac:dyDescent="0.35">
      <c r="A944" s="1">
        <v>43749</v>
      </c>
      <c r="B944" s="2" t="s">
        <v>944</v>
      </c>
      <c r="C944">
        <f t="shared" si="167"/>
        <v>69808.710000000006</v>
      </c>
      <c r="D944">
        <f t="shared" si="168"/>
        <v>2019</v>
      </c>
      <c r="E944">
        <f t="shared" si="169"/>
        <v>10</v>
      </c>
      <c r="F944" t="str">
        <f t="shared" si="171"/>
        <v>October</v>
      </c>
      <c r="G944">
        <f t="shared" si="170"/>
        <v>11</v>
      </c>
      <c r="H944" s="7">
        <f t="shared" si="172"/>
        <v>-0.75630467140644142</v>
      </c>
      <c r="I944" s="9">
        <f t="shared" si="173"/>
        <v>-7.5917915760678788E-3</v>
      </c>
      <c r="J944" s="9">
        <f t="shared" si="174"/>
        <v>68672.692857142873</v>
      </c>
      <c r="K944" s="9">
        <f t="shared" si="177"/>
        <v>66761.431333333327</v>
      </c>
      <c r="L944" s="9">
        <f t="shared" si="176"/>
        <v>69185.565111111122</v>
      </c>
      <c r="M944" s="9">
        <f t="shared" si="175"/>
        <v>1.464814301763653E-2</v>
      </c>
      <c r="N944" s="9">
        <f t="shared" si="178"/>
        <v>1.371204909851516E-2</v>
      </c>
    </row>
    <row r="945" spans="1:14" x14ac:dyDescent="0.35">
      <c r="A945" s="1">
        <v>43752</v>
      </c>
      <c r="B945" s="2" t="s">
        <v>945</v>
      </c>
      <c r="C945">
        <f t="shared" si="167"/>
        <v>69772.27</v>
      </c>
      <c r="D945">
        <f t="shared" si="168"/>
        <v>2019</v>
      </c>
      <c r="E945">
        <f t="shared" si="169"/>
        <v>10</v>
      </c>
      <c r="F945" t="str">
        <f t="shared" si="171"/>
        <v>October</v>
      </c>
      <c r="G945">
        <f t="shared" si="170"/>
        <v>14</v>
      </c>
      <c r="H945" s="7">
        <f t="shared" si="172"/>
        <v>-5.2199789968905487E-2</v>
      </c>
      <c r="I945" s="9">
        <f t="shared" si="173"/>
        <v>-5.2213418802295024E-4</v>
      </c>
      <c r="J945" s="9">
        <f t="shared" si="174"/>
        <v>69208.48714285715</v>
      </c>
      <c r="K945" s="9">
        <f t="shared" si="177"/>
        <v>66876.745999999985</v>
      </c>
      <c r="L945" s="9">
        <f t="shared" si="176"/>
        <v>69149.161777777772</v>
      </c>
      <c r="M945" s="9">
        <f t="shared" si="175"/>
        <v>1.0142649730143978E-2</v>
      </c>
      <c r="N945" s="9">
        <f t="shared" si="178"/>
        <v>1.3623136208808742E-2</v>
      </c>
    </row>
    <row r="946" spans="1:14" x14ac:dyDescent="0.35">
      <c r="A946" s="1">
        <v>43753</v>
      </c>
      <c r="B946" s="2" t="s">
        <v>946</v>
      </c>
      <c r="C946">
        <f t="shared" si="167"/>
        <v>69195.600000000006</v>
      </c>
      <c r="D946">
        <f t="shared" si="168"/>
        <v>2019</v>
      </c>
      <c r="E946">
        <f t="shared" si="169"/>
        <v>10</v>
      </c>
      <c r="F946" t="str">
        <f t="shared" si="171"/>
        <v>October</v>
      </c>
      <c r="G946">
        <f t="shared" si="170"/>
        <v>15</v>
      </c>
      <c r="H946" s="7">
        <f t="shared" si="172"/>
        <v>-0.82650313656127028</v>
      </c>
      <c r="I946" s="9">
        <f t="shared" si="173"/>
        <v>-8.2993761085189393E-3</v>
      </c>
      <c r="J946" s="9">
        <f t="shared" si="174"/>
        <v>69485.41</v>
      </c>
      <c r="K946" s="9">
        <f t="shared" si="177"/>
        <v>67042.358333333337</v>
      </c>
      <c r="L946" s="9">
        <f t="shared" si="176"/>
        <v>69100.255777777769</v>
      </c>
      <c r="M946" s="9">
        <f t="shared" si="175"/>
        <v>1.0513447172478657E-2</v>
      </c>
      <c r="N946" s="9">
        <f t="shared" si="178"/>
        <v>1.2220579845562548E-2</v>
      </c>
    </row>
    <row r="947" spans="1:14" x14ac:dyDescent="0.35">
      <c r="A947" s="1">
        <v>43754</v>
      </c>
      <c r="B947" s="2" t="s">
        <v>947</v>
      </c>
      <c r="C947">
        <f t="shared" si="167"/>
        <v>69719.429999999993</v>
      </c>
      <c r="D947">
        <f t="shared" si="168"/>
        <v>2019</v>
      </c>
      <c r="E947">
        <f t="shared" si="169"/>
        <v>10</v>
      </c>
      <c r="F947" t="str">
        <f t="shared" si="171"/>
        <v>October</v>
      </c>
      <c r="G947">
        <f t="shared" si="170"/>
        <v>16</v>
      </c>
      <c r="H947" s="7">
        <f t="shared" si="172"/>
        <v>0.75702790350829696</v>
      </c>
      <c r="I947" s="9">
        <f t="shared" si="173"/>
        <v>7.5417682719609433E-3</v>
      </c>
      <c r="J947" s="9">
        <f t="shared" si="174"/>
        <v>69745.259999999995</v>
      </c>
      <c r="K947" s="9">
        <f t="shared" si="177"/>
        <v>67242.127000000008</v>
      </c>
      <c r="L947" s="9">
        <f t="shared" si="176"/>
        <v>69049.609888888881</v>
      </c>
      <c r="M947" s="9">
        <f t="shared" si="175"/>
        <v>1.036777911769577E-2</v>
      </c>
      <c r="N947" s="9">
        <f t="shared" si="178"/>
        <v>1.2094878528224294E-2</v>
      </c>
    </row>
    <row r="948" spans="1:14" x14ac:dyDescent="0.35">
      <c r="A948" s="1">
        <v>43755</v>
      </c>
      <c r="B948" s="2" t="s">
        <v>948</v>
      </c>
      <c r="C948">
        <f t="shared" si="167"/>
        <v>71011.38</v>
      </c>
      <c r="D948">
        <f t="shared" si="168"/>
        <v>2019</v>
      </c>
      <c r="E948">
        <f t="shared" si="169"/>
        <v>10</v>
      </c>
      <c r="F948" t="str">
        <f t="shared" si="171"/>
        <v>October</v>
      </c>
      <c r="G948">
        <f t="shared" si="170"/>
        <v>17</v>
      </c>
      <c r="H948" s="7">
        <f t="shared" si="172"/>
        <v>1.8530702273383641</v>
      </c>
      <c r="I948" s="9">
        <f t="shared" si="173"/>
        <v>1.8361100828698965E-2</v>
      </c>
      <c r="J948" s="9">
        <f t="shared" si="174"/>
        <v>70003.025714285715</v>
      </c>
      <c r="K948" s="9">
        <f t="shared" si="177"/>
        <v>67500.375</v>
      </c>
      <c r="L948" s="9">
        <f t="shared" si="176"/>
        <v>69022.031111111093</v>
      </c>
      <c r="M948" s="9">
        <f t="shared" si="175"/>
        <v>1.0198245187652057E-2</v>
      </c>
      <c r="N948" s="9">
        <f t="shared" si="178"/>
        <v>1.2248581089840107E-2</v>
      </c>
    </row>
    <row r="949" spans="1:14" x14ac:dyDescent="0.35">
      <c r="A949" s="1">
        <v>43756</v>
      </c>
      <c r="B949" s="2" t="s">
        <v>949</v>
      </c>
      <c r="C949">
        <f t="shared" si="167"/>
        <v>70967.350000000006</v>
      </c>
      <c r="D949">
        <f t="shared" si="168"/>
        <v>2019</v>
      </c>
      <c r="E949">
        <f t="shared" si="169"/>
        <v>10</v>
      </c>
      <c r="F949" t="str">
        <f t="shared" si="171"/>
        <v>October</v>
      </c>
      <c r="G949">
        <f t="shared" si="170"/>
        <v>18</v>
      </c>
      <c r="H949" s="7">
        <f t="shared" si="172"/>
        <v>-6.2004146377663459E-2</v>
      </c>
      <c r="I949" s="9">
        <f t="shared" si="173"/>
        <v>-6.2023376898056486E-4</v>
      </c>
      <c r="J949" s="9">
        <f t="shared" si="174"/>
        <v>70116.491428571433</v>
      </c>
      <c r="K949" s="9">
        <f t="shared" si="177"/>
        <v>67739.009333333321</v>
      </c>
      <c r="L949" s="9">
        <f t="shared" si="176"/>
        <v>68996.944666666634</v>
      </c>
      <c r="M949" s="9">
        <f t="shared" si="175"/>
        <v>9.2084701451245112E-3</v>
      </c>
      <c r="N949" s="9">
        <f t="shared" si="178"/>
        <v>1.224143325061062E-2</v>
      </c>
    </row>
    <row r="950" spans="1:14" x14ac:dyDescent="0.35">
      <c r="A950" s="1">
        <v>43759</v>
      </c>
      <c r="B950" s="2" t="s">
        <v>950</v>
      </c>
      <c r="C950">
        <f t="shared" si="167"/>
        <v>71504.69</v>
      </c>
      <c r="D950">
        <f t="shared" si="168"/>
        <v>2019</v>
      </c>
      <c r="E950">
        <f t="shared" si="169"/>
        <v>10</v>
      </c>
      <c r="F950" t="str">
        <f t="shared" si="171"/>
        <v>October</v>
      </c>
      <c r="G950">
        <f t="shared" si="170"/>
        <v>21</v>
      </c>
      <c r="H950" s="7">
        <f t="shared" si="172"/>
        <v>0.75716509070720051</v>
      </c>
      <c r="I950" s="9">
        <f t="shared" si="173"/>
        <v>7.5431298355994507E-3</v>
      </c>
      <c r="J950" s="9">
        <f t="shared" si="174"/>
        <v>70282.775714285715</v>
      </c>
      <c r="K950" s="9">
        <f t="shared" si="177"/>
        <v>67988.300666666662</v>
      </c>
      <c r="L950" s="9">
        <f t="shared" si="176"/>
        <v>68971.031111111093</v>
      </c>
      <c r="M950" s="9">
        <f t="shared" si="175"/>
        <v>9.4833018021032462E-3</v>
      </c>
      <c r="N950" s="9">
        <f t="shared" si="178"/>
        <v>1.2263101787394952E-2</v>
      </c>
    </row>
    <row r="951" spans="1:14" x14ac:dyDescent="0.35">
      <c r="A951" s="1">
        <v>43760</v>
      </c>
      <c r="B951" s="2" t="s">
        <v>951</v>
      </c>
      <c r="C951">
        <f t="shared" si="167"/>
        <v>70740.63</v>
      </c>
      <c r="D951">
        <f t="shared" si="168"/>
        <v>2019</v>
      </c>
      <c r="E951">
        <f t="shared" si="169"/>
        <v>10</v>
      </c>
      <c r="F951" t="str">
        <f t="shared" si="171"/>
        <v>October</v>
      </c>
      <c r="G951">
        <f t="shared" si="170"/>
        <v>22</v>
      </c>
      <c r="H951" s="7">
        <f t="shared" si="172"/>
        <v>-1.0685452940219693</v>
      </c>
      <c r="I951" s="9">
        <f t="shared" si="173"/>
        <v>-1.0742952364242424E-2</v>
      </c>
      <c r="J951" s="9">
        <f t="shared" si="174"/>
        <v>70415.907142857148</v>
      </c>
      <c r="K951" s="9">
        <f t="shared" si="177"/>
        <v>68225.46633333333</v>
      </c>
      <c r="L951" s="9">
        <f t="shared" si="176"/>
        <v>68945.47688888885</v>
      </c>
      <c r="M951" s="9">
        <f t="shared" si="175"/>
        <v>1.0089036292788001E-2</v>
      </c>
      <c r="N951" s="9">
        <f t="shared" si="178"/>
        <v>1.2414492196392755E-2</v>
      </c>
    </row>
    <row r="952" spans="1:14" x14ac:dyDescent="0.35">
      <c r="A952" s="1">
        <v>43761</v>
      </c>
      <c r="B952" s="2" t="s">
        <v>952</v>
      </c>
      <c r="C952">
        <f t="shared" si="167"/>
        <v>70731.320000000007</v>
      </c>
      <c r="D952">
        <f t="shared" si="168"/>
        <v>2019</v>
      </c>
      <c r="E952">
        <f t="shared" si="169"/>
        <v>10</v>
      </c>
      <c r="F952" t="str">
        <f t="shared" si="171"/>
        <v>October</v>
      </c>
      <c r="G952">
        <f t="shared" si="170"/>
        <v>23</v>
      </c>
      <c r="H952" s="7">
        <f t="shared" si="172"/>
        <v>-1.3160753586726146E-2</v>
      </c>
      <c r="I952" s="9">
        <f t="shared" si="173"/>
        <v>-1.3161619689893458E-4</v>
      </c>
      <c r="J952" s="9">
        <f t="shared" si="174"/>
        <v>70552.914285714287</v>
      </c>
      <c r="K952" s="9">
        <f t="shared" si="177"/>
        <v>68469.288333333316</v>
      </c>
      <c r="L952" s="9">
        <f t="shared" si="176"/>
        <v>68916.273777777751</v>
      </c>
      <c r="M952" s="9">
        <f t="shared" si="175"/>
        <v>1.0074515552080351E-2</v>
      </c>
      <c r="N952" s="9">
        <f t="shared" si="178"/>
        <v>1.2367931646203124E-2</v>
      </c>
    </row>
    <row r="953" spans="1:14" x14ac:dyDescent="0.35">
      <c r="A953" s="1">
        <v>43762</v>
      </c>
      <c r="B953" s="2" t="s">
        <v>953</v>
      </c>
      <c r="C953">
        <f t="shared" si="167"/>
        <v>71264.77</v>
      </c>
      <c r="D953">
        <f t="shared" si="168"/>
        <v>2019</v>
      </c>
      <c r="E953">
        <f t="shared" si="169"/>
        <v>10</v>
      </c>
      <c r="F953" t="str">
        <f t="shared" si="171"/>
        <v>October</v>
      </c>
      <c r="G953">
        <f t="shared" si="170"/>
        <v>24</v>
      </c>
      <c r="H953" s="7">
        <f t="shared" si="172"/>
        <v>0.75419206088617752</v>
      </c>
      <c r="I953" s="9">
        <f t="shared" si="173"/>
        <v>7.5136225178655163E-3</v>
      </c>
      <c r="J953" s="9">
        <f t="shared" si="174"/>
        <v>70848.509999999995</v>
      </c>
      <c r="K953" s="9">
        <f t="shared" si="177"/>
        <v>68668.881666666668</v>
      </c>
      <c r="L953" s="9">
        <f t="shared" si="176"/>
        <v>68897.111888888874</v>
      </c>
      <c r="M953" s="9">
        <f t="shared" si="175"/>
        <v>9.1209427579293529E-3</v>
      </c>
      <c r="N953" s="9">
        <f t="shared" si="178"/>
        <v>1.1442485704723849E-2</v>
      </c>
    </row>
    <row r="954" spans="1:14" x14ac:dyDescent="0.35">
      <c r="A954" s="1">
        <v>43763</v>
      </c>
      <c r="B954" s="2" t="s">
        <v>954</v>
      </c>
      <c r="C954">
        <f t="shared" si="167"/>
        <v>69744.899999999994</v>
      </c>
      <c r="D954">
        <f t="shared" si="168"/>
        <v>2019</v>
      </c>
      <c r="E954">
        <f t="shared" si="169"/>
        <v>10</v>
      </c>
      <c r="F954" t="str">
        <f t="shared" si="171"/>
        <v>October</v>
      </c>
      <c r="G954">
        <f t="shared" si="170"/>
        <v>25</v>
      </c>
      <c r="H954" s="7">
        <f t="shared" si="172"/>
        <v>-2.1327087704064853</v>
      </c>
      <c r="I954" s="9">
        <f t="shared" si="173"/>
        <v>-2.1557796162428311E-2</v>
      </c>
      <c r="J954" s="9">
        <f t="shared" si="174"/>
        <v>70852.148571428581</v>
      </c>
      <c r="K954" s="9">
        <f t="shared" si="177"/>
        <v>68786.75466666666</v>
      </c>
      <c r="L954" s="9">
        <f t="shared" si="176"/>
        <v>68846.558888888874</v>
      </c>
      <c r="M954" s="9">
        <f t="shared" si="175"/>
        <v>1.3108622541539753E-2</v>
      </c>
      <c r="N954" s="9">
        <f t="shared" si="178"/>
        <v>1.2073559818665695E-2</v>
      </c>
    </row>
    <row r="955" spans="1:14" x14ac:dyDescent="0.35">
      <c r="A955" s="1">
        <v>43766</v>
      </c>
      <c r="B955" s="2" t="s">
        <v>955</v>
      </c>
      <c r="C955">
        <f t="shared" si="167"/>
        <v>70266.13</v>
      </c>
      <c r="D955">
        <f t="shared" si="168"/>
        <v>2019</v>
      </c>
      <c r="E955">
        <f t="shared" si="169"/>
        <v>10</v>
      </c>
      <c r="F955" t="str">
        <f t="shared" si="171"/>
        <v>October</v>
      </c>
      <c r="G955">
        <f t="shared" si="170"/>
        <v>28</v>
      </c>
      <c r="H955" s="7">
        <f t="shared" si="172"/>
        <v>0.74733779817593904</v>
      </c>
      <c r="I955" s="9">
        <f t="shared" si="173"/>
        <v>7.4455906501403246E-3</v>
      </c>
      <c r="J955" s="9">
        <f t="shared" si="174"/>
        <v>70745.684285714291</v>
      </c>
      <c r="K955" s="9">
        <f t="shared" si="177"/>
        <v>68908.864333333346</v>
      </c>
      <c r="L955" s="9">
        <f t="shared" si="176"/>
        <v>68784.677555555536</v>
      </c>
      <c r="M955" s="9">
        <f t="shared" si="175"/>
        <v>1.1056224774238756E-2</v>
      </c>
      <c r="N955" s="9">
        <f t="shared" si="178"/>
        <v>1.2094811528950658E-2</v>
      </c>
    </row>
    <row r="956" spans="1:14" x14ac:dyDescent="0.35">
      <c r="A956" s="1">
        <v>43767</v>
      </c>
      <c r="B956" s="2" t="s">
        <v>956</v>
      </c>
      <c r="C956">
        <f t="shared" si="167"/>
        <v>69519.27</v>
      </c>
      <c r="D956">
        <f t="shared" si="168"/>
        <v>2019</v>
      </c>
      <c r="E956">
        <f t="shared" si="169"/>
        <v>10</v>
      </c>
      <c r="F956" t="str">
        <f t="shared" si="171"/>
        <v>October</v>
      </c>
      <c r="G956">
        <f t="shared" si="170"/>
        <v>29</v>
      </c>
      <c r="H956" s="7">
        <f t="shared" si="172"/>
        <v>-1.0629018561289778</v>
      </c>
      <c r="I956" s="9">
        <f t="shared" si="173"/>
        <v>-1.0685910072142457E-2</v>
      </c>
      <c r="J956" s="9">
        <f t="shared" si="174"/>
        <v>70538.815714285724</v>
      </c>
      <c r="K956" s="9">
        <f t="shared" si="177"/>
        <v>69010.344666666657</v>
      </c>
      <c r="L956" s="9">
        <f t="shared" si="176"/>
        <v>68730.200777777747</v>
      </c>
      <c r="M956" s="9">
        <f t="shared" si="175"/>
        <v>1.1564522511990373E-2</v>
      </c>
      <c r="N956" s="9">
        <f t="shared" si="178"/>
        <v>1.2291653030371469E-2</v>
      </c>
    </row>
    <row r="957" spans="1:14" x14ac:dyDescent="0.35">
      <c r="A957" s="1">
        <v>43768</v>
      </c>
      <c r="B957" s="2" t="s">
        <v>957</v>
      </c>
      <c r="C957">
        <f t="shared" si="167"/>
        <v>68717.02</v>
      </c>
      <c r="D957">
        <f t="shared" si="168"/>
        <v>2019</v>
      </c>
      <c r="E957">
        <f t="shared" si="169"/>
        <v>10</v>
      </c>
      <c r="F957" t="str">
        <f t="shared" si="171"/>
        <v>October</v>
      </c>
      <c r="G957">
        <f t="shared" si="170"/>
        <v>30</v>
      </c>
      <c r="H957" s="7">
        <f t="shared" si="172"/>
        <v>-1.1539965825302825</v>
      </c>
      <c r="I957" s="9">
        <f t="shared" si="173"/>
        <v>-1.1607067968075788E-2</v>
      </c>
      <c r="J957" s="9">
        <f t="shared" si="174"/>
        <v>70140.577142857146</v>
      </c>
      <c r="K957" s="9">
        <f t="shared" si="177"/>
        <v>69081.433999999994</v>
      </c>
      <c r="L957" s="9">
        <f t="shared" si="176"/>
        <v>68665.410555555514</v>
      </c>
      <c r="M957" s="9">
        <f t="shared" si="175"/>
        <v>1.0916841198234736E-2</v>
      </c>
      <c r="N957" s="9">
        <f t="shared" si="178"/>
        <v>1.2521956801800219E-2</v>
      </c>
    </row>
    <row r="958" spans="1:14" x14ac:dyDescent="0.35">
      <c r="A958" s="1">
        <v>43769</v>
      </c>
      <c r="B958" s="2" t="s">
        <v>958</v>
      </c>
      <c r="C958">
        <f t="shared" si="167"/>
        <v>68610.570000000007</v>
      </c>
      <c r="D958">
        <f t="shared" si="168"/>
        <v>2019</v>
      </c>
      <c r="E958">
        <f t="shared" si="169"/>
        <v>10</v>
      </c>
      <c r="F958" t="str">
        <f t="shared" si="171"/>
        <v>October</v>
      </c>
      <c r="G958">
        <f t="shared" si="170"/>
        <v>31</v>
      </c>
      <c r="H958" s="7">
        <f t="shared" si="172"/>
        <v>-0.15491067569576952</v>
      </c>
      <c r="I958" s="9">
        <f t="shared" si="173"/>
        <v>-1.5503078634183185E-3</v>
      </c>
      <c r="J958" s="9">
        <f t="shared" si="174"/>
        <v>69836.282857142869</v>
      </c>
      <c r="K958" s="9">
        <f t="shared" si="177"/>
        <v>69116.177666666656</v>
      </c>
      <c r="L958" s="9">
        <f t="shared" si="176"/>
        <v>68600.336222222191</v>
      </c>
      <c r="M958" s="9">
        <f t="shared" si="175"/>
        <v>1.0758170525529754E-2</v>
      </c>
      <c r="N958" s="9">
        <f t="shared" si="178"/>
        <v>1.2261138374275971E-2</v>
      </c>
    </row>
    <row r="959" spans="1:14" x14ac:dyDescent="0.35">
      <c r="A959" s="1">
        <v>43770</v>
      </c>
      <c r="B959" s="2" t="s">
        <v>959</v>
      </c>
      <c r="C959">
        <f t="shared" si="167"/>
        <v>68002.23</v>
      </c>
      <c r="D959">
        <f t="shared" si="168"/>
        <v>2019</v>
      </c>
      <c r="E959">
        <f t="shared" si="169"/>
        <v>11</v>
      </c>
      <c r="F959" t="str">
        <f t="shared" si="171"/>
        <v>November</v>
      </c>
      <c r="G959">
        <f t="shared" si="170"/>
        <v>1</v>
      </c>
      <c r="H959" s="7">
        <f t="shared" si="172"/>
        <v>-0.88665638545199521</v>
      </c>
      <c r="I959" s="9">
        <f t="shared" si="173"/>
        <v>-8.9061057390988352E-3</v>
      </c>
      <c r="J959" s="9">
        <f t="shared" si="174"/>
        <v>69446.412857142859</v>
      </c>
      <c r="K959" s="9">
        <f t="shared" si="177"/>
        <v>69117.451333333331</v>
      </c>
      <c r="L959" s="9">
        <f t="shared" si="176"/>
        <v>68533.570777777742</v>
      </c>
      <c r="M959" s="9">
        <f t="shared" si="175"/>
        <v>1.0693333979926022E-2</v>
      </c>
      <c r="N959" s="9">
        <f t="shared" si="178"/>
        <v>1.2335458763519656E-2</v>
      </c>
    </row>
    <row r="960" spans="1:14" x14ac:dyDescent="0.35">
      <c r="A960" s="1">
        <v>43773</v>
      </c>
      <c r="B960" s="2" t="s">
        <v>960</v>
      </c>
      <c r="C960">
        <f t="shared" si="167"/>
        <v>68642.59</v>
      </c>
      <c r="D960">
        <f t="shared" si="168"/>
        <v>2019</v>
      </c>
      <c r="E960">
        <f t="shared" si="169"/>
        <v>11</v>
      </c>
      <c r="F960" t="str">
        <f t="shared" si="171"/>
        <v>November</v>
      </c>
      <c r="G960">
        <f t="shared" si="170"/>
        <v>4</v>
      </c>
      <c r="H960" s="7">
        <f t="shared" si="172"/>
        <v>0.9416750009521756</v>
      </c>
      <c r="I960" s="9">
        <f t="shared" si="173"/>
        <v>9.3726888120259297E-3</v>
      </c>
      <c r="J960" s="9">
        <f t="shared" si="174"/>
        <v>69071.815714285709</v>
      </c>
      <c r="K960" s="9">
        <f t="shared" si="177"/>
        <v>69129.747333333333</v>
      </c>
      <c r="L960" s="9">
        <f t="shared" si="176"/>
        <v>68467.85166666664</v>
      </c>
      <c r="M960" s="9">
        <f t="shared" si="175"/>
        <v>1.1089661328872253E-2</v>
      </c>
      <c r="N960" s="9">
        <f t="shared" si="178"/>
        <v>1.2427671655570906E-2</v>
      </c>
    </row>
    <row r="961" spans="1:14" x14ac:dyDescent="0.35">
      <c r="A961" s="1">
        <v>43774</v>
      </c>
      <c r="B961" s="2" t="s">
        <v>961</v>
      </c>
      <c r="C961">
        <f t="shared" si="167"/>
        <v>68934.009999999995</v>
      </c>
      <c r="D961">
        <f t="shared" si="168"/>
        <v>2019</v>
      </c>
      <c r="E961">
        <f t="shared" si="169"/>
        <v>11</v>
      </c>
      <c r="F961" t="str">
        <f t="shared" si="171"/>
        <v>November</v>
      </c>
      <c r="G961">
        <f t="shared" si="170"/>
        <v>5</v>
      </c>
      <c r="H961" s="7">
        <f t="shared" si="172"/>
        <v>0.4245469175915394</v>
      </c>
      <c r="I961" s="9">
        <f t="shared" si="173"/>
        <v>4.2364825975029791E-3</v>
      </c>
      <c r="J961" s="9">
        <f t="shared" si="174"/>
        <v>68955.974285714299</v>
      </c>
      <c r="K961" s="9">
        <f t="shared" si="177"/>
        <v>69101.800666666677</v>
      </c>
      <c r="L961" s="9">
        <f t="shared" si="176"/>
        <v>68403.858222222188</v>
      </c>
      <c r="M961" s="9">
        <f t="shared" si="175"/>
        <v>8.8725138247192688E-3</v>
      </c>
      <c r="N961" s="9">
        <f t="shared" si="178"/>
        <v>1.1775947081536819E-2</v>
      </c>
    </row>
    <row r="962" spans="1:14" x14ac:dyDescent="0.35">
      <c r="A962" s="1">
        <v>43775</v>
      </c>
      <c r="B962" s="2" t="s">
        <v>962</v>
      </c>
      <c r="C962">
        <f t="shared" si="167"/>
        <v>68610.75</v>
      </c>
      <c r="D962">
        <f t="shared" si="168"/>
        <v>2019</v>
      </c>
      <c r="E962">
        <f t="shared" si="169"/>
        <v>11</v>
      </c>
      <c r="F962" t="str">
        <f t="shared" si="171"/>
        <v>November</v>
      </c>
      <c r="G962">
        <f t="shared" si="170"/>
        <v>6</v>
      </c>
      <c r="H962" s="7">
        <f t="shared" si="172"/>
        <v>-0.46894123814934718</v>
      </c>
      <c r="I962" s="9">
        <f t="shared" si="173"/>
        <v>-4.7004421713997633E-3</v>
      </c>
      <c r="J962" s="9">
        <f t="shared" si="174"/>
        <v>68719.491428571433</v>
      </c>
      <c r="K962" s="9">
        <f t="shared" si="177"/>
        <v>69098.543000000005</v>
      </c>
      <c r="L962" s="9">
        <f t="shared" si="176"/>
        <v>68340.389777777731</v>
      </c>
      <c r="M962" s="9">
        <f t="shared" si="175"/>
        <v>7.9301888503128266E-3</v>
      </c>
      <c r="N962" s="9">
        <f t="shared" si="178"/>
        <v>1.1465537687515286E-2</v>
      </c>
    </row>
    <row r="963" spans="1:14" x14ac:dyDescent="0.35">
      <c r="A963" s="1">
        <v>43776</v>
      </c>
      <c r="B963" s="2" t="s">
        <v>963</v>
      </c>
      <c r="C963">
        <f t="shared" ref="C963:C1026" si="179">_xlfn.NUMBERVALUE(B963,".",",")</f>
        <v>68424.97</v>
      </c>
      <c r="D963">
        <f t="shared" ref="D963:D1026" si="180">YEAR(A963)</f>
        <v>2019</v>
      </c>
      <c r="E963">
        <f t="shared" ref="E963:E1026" si="181">MONTH(A963)</f>
        <v>11</v>
      </c>
      <c r="F963" t="str">
        <f t="shared" si="171"/>
        <v>November</v>
      </c>
      <c r="G963">
        <f t="shared" ref="G963:G1026" si="182">DAY(A963)</f>
        <v>7</v>
      </c>
      <c r="H963" s="7">
        <f t="shared" si="172"/>
        <v>-0.27077389476138775</v>
      </c>
      <c r="I963" s="9">
        <f t="shared" si="173"/>
        <v>-2.7114115037650773E-3</v>
      </c>
      <c r="J963" s="9">
        <f t="shared" si="174"/>
        <v>68563.162857142859</v>
      </c>
      <c r="K963" s="9">
        <f t="shared" si="177"/>
        <v>69137.367666666672</v>
      </c>
      <c r="L963" s="9">
        <f t="shared" si="176"/>
        <v>68267.111555555515</v>
      </c>
      <c r="M963" s="9">
        <f t="shared" si="175"/>
        <v>7.2540221607944504E-3</v>
      </c>
      <c r="N963" s="9">
        <f t="shared" si="178"/>
        <v>1.0757599958825281E-2</v>
      </c>
    </row>
    <row r="964" spans="1:14" x14ac:dyDescent="0.35">
      <c r="A964" s="1">
        <v>43777</v>
      </c>
      <c r="B964" s="2" t="s">
        <v>964</v>
      </c>
      <c r="C964">
        <f t="shared" si="179"/>
        <v>68421.8</v>
      </c>
      <c r="D964">
        <f t="shared" si="180"/>
        <v>2019</v>
      </c>
      <c r="E964">
        <f t="shared" si="181"/>
        <v>11</v>
      </c>
      <c r="F964" t="str">
        <f t="shared" ref="F964:F1027" si="183">TEXT(A964,"mmmm")</f>
        <v>November</v>
      </c>
      <c r="G964">
        <f t="shared" si="182"/>
        <v>8</v>
      </c>
      <c r="H964" s="7">
        <f t="shared" ref="H964:H1027" si="184">((C964-C963)/C963)*100</f>
        <v>-4.632811676787368E-3</v>
      </c>
      <c r="I964" s="9">
        <f t="shared" ref="I964:I1027" si="185">LN(C964/C963)</f>
        <v>-4.63291899482049E-5</v>
      </c>
      <c r="J964" s="9">
        <f t="shared" si="174"/>
        <v>68520.988571428563</v>
      </c>
      <c r="K964" s="9">
        <f t="shared" si="177"/>
        <v>69194.233333333337</v>
      </c>
      <c r="L964" s="9">
        <f t="shared" si="176"/>
        <v>68195.931555555522</v>
      </c>
      <c r="M964" s="9">
        <f t="shared" si="175"/>
        <v>5.9765822419589783E-3</v>
      </c>
      <c r="N964" s="9">
        <f t="shared" si="178"/>
        <v>1.0632713928021197E-2</v>
      </c>
    </row>
    <row r="965" spans="1:14" x14ac:dyDescent="0.35">
      <c r="A965" s="1">
        <v>43780</v>
      </c>
      <c r="B965" s="2" t="s">
        <v>965</v>
      </c>
      <c r="C965">
        <f t="shared" si="179"/>
        <v>67749.789999999994</v>
      </c>
      <c r="D965">
        <f t="shared" si="180"/>
        <v>2019</v>
      </c>
      <c r="E965">
        <f t="shared" si="181"/>
        <v>11</v>
      </c>
      <c r="F965" t="str">
        <f t="shared" si="183"/>
        <v>November</v>
      </c>
      <c r="G965">
        <f t="shared" si="182"/>
        <v>11</v>
      </c>
      <c r="H965" s="7">
        <f t="shared" si="184"/>
        <v>-0.98215773335400303</v>
      </c>
      <c r="I965" s="9">
        <f t="shared" si="185"/>
        <v>-9.8701271764444071E-3</v>
      </c>
      <c r="J965" s="9">
        <f t="shared" si="174"/>
        <v>68398.02</v>
      </c>
      <c r="K965" s="9">
        <f t="shared" si="177"/>
        <v>69201.267333333337</v>
      </c>
      <c r="L965" s="9">
        <f t="shared" si="176"/>
        <v>68136.174555555539</v>
      </c>
      <c r="M965" s="9">
        <f t="shared" si="175"/>
        <v>6.9427455525974445E-3</v>
      </c>
      <c r="N965" s="9">
        <f t="shared" si="178"/>
        <v>1.0580777742643425E-2</v>
      </c>
    </row>
    <row r="966" spans="1:14" x14ac:dyDescent="0.35">
      <c r="A966" s="1">
        <v>43781</v>
      </c>
      <c r="B966" s="2" t="s">
        <v>966</v>
      </c>
      <c r="C966">
        <f t="shared" si="179"/>
        <v>68069.58</v>
      </c>
      <c r="D966">
        <f t="shared" si="180"/>
        <v>2019</v>
      </c>
      <c r="E966">
        <f t="shared" si="181"/>
        <v>11</v>
      </c>
      <c r="F966" t="str">
        <f t="shared" si="183"/>
        <v>November</v>
      </c>
      <c r="G966">
        <f t="shared" si="182"/>
        <v>12</v>
      </c>
      <c r="H966" s="7">
        <f t="shared" si="184"/>
        <v>0.47201622322372977</v>
      </c>
      <c r="I966" s="9">
        <f t="shared" si="185"/>
        <v>4.7090571978196105E-3</v>
      </c>
      <c r="J966" s="9">
        <f t="shared" si="174"/>
        <v>68407.641428571413</v>
      </c>
      <c r="K966" s="9">
        <f t="shared" si="177"/>
        <v>69223.607000000004</v>
      </c>
      <c r="L966" s="9">
        <f t="shared" si="176"/>
        <v>68077.300444444423</v>
      </c>
      <c r="M966" s="9">
        <f t="shared" si="175"/>
        <v>6.5153379885261892E-3</v>
      </c>
      <c r="N966" s="9">
        <f t="shared" si="178"/>
        <v>1.0605141015828851E-2</v>
      </c>
    </row>
    <row r="967" spans="1:14" x14ac:dyDescent="0.35">
      <c r="A967" s="1">
        <v>43782</v>
      </c>
      <c r="B967" s="2" t="s">
        <v>967</v>
      </c>
      <c r="C967">
        <f t="shared" si="179"/>
        <v>67907.240000000005</v>
      </c>
      <c r="D967">
        <f t="shared" si="180"/>
        <v>2019</v>
      </c>
      <c r="E967">
        <f t="shared" si="181"/>
        <v>11</v>
      </c>
      <c r="F967" t="str">
        <f t="shared" si="183"/>
        <v>November</v>
      </c>
      <c r="G967">
        <f t="shared" si="182"/>
        <v>13</v>
      </c>
      <c r="H967" s="7">
        <f t="shared" si="184"/>
        <v>-0.23849126144159624</v>
      </c>
      <c r="I967" s="9">
        <f t="shared" si="185"/>
        <v>-2.3877610482502562E-3</v>
      </c>
      <c r="J967" s="9">
        <f t="shared" si="174"/>
        <v>68302.591428571424</v>
      </c>
      <c r="K967" s="9">
        <f t="shared" si="177"/>
        <v>69241.237999999998</v>
      </c>
      <c r="L967" s="9">
        <f t="shared" si="176"/>
        <v>68019.032222222202</v>
      </c>
      <c r="M967" s="9">
        <f t="shared" si="175"/>
        <v>5.1009774217334238E-3</v>
      </c>
      <c r="N967" s="9">
        <f t="shared" si="178"/>
        <v>1.0616237076084551E-2</v>
      </c>
    </row>
    <row r="968" spans="1:14" x14ac:dyDescent="0.35">
      <c r="A968" s="1">
        <v>43783</v>
      </c>
      <c r="B968" s="2" t="s">
        <v>968</v>
      </c>
      <c r="C968">
        <f t="shared" si="179"/>
        <v>67652.460000000006</v>
      </c>
      <c r="D968">
        <f t="shared" si="180"/>
        <v>2019</v>
      </c>
      <c r="E968">
        <f t="shared" si="181"/>
        <v>11</v>
      </c>
      <c r="F968" t="str">
        <f t="shared" si="183"/>
        <v>November</v>
      </c>
      <c r="G968">
        <f t="shared" si="182"/>
        <v>14</v>
      </c>
      <c r="H968" s="7">
        <f t="shared" si="184"/>
        <v>-0.37518827153039769</v>
      </c>
      <c r="I968" s="9">
        <f t="shared" si="185"/>
        <v>-3.7589386815596892E-3</v>
      </c>
      <c r="J968" s="9">
        <f t="shared" si="174"/>
        <v>68119.512857142865</v>
      </c>
      <c r="K968" s="9">
        <f t="shared" si="177"/>
        <v>69295.596333333335</v>
      </c>
      <c r="L968" s="9">
        <f t="shared" si="176"/>
        <v>67958.200222222193</v>
      </c>
      <c r="M968" s="9">
        <f t="shared" si="175"/>
        <v>4.4453158398093991E-3</v>
      </c>
      <c r="N968" s="9">
        <f t="shared" si="178"/>
        <v>9.9152548173565766E-3</v>
      </c>
    </row>
    <row r="969" spans="1:14" x14ac:dyDescent="0.35">
      <c r="A969" s="1">
        <v>43784</v>
      </c>
      <c r="B969" s="2" t="s">
        <v>969</v>
      </c>
      <c r="C969">
        <f t="shared" si="179"/>
        <v>67785.039999999994</v>
      </c>
      <c r="D969">
        <f t="shared" si="180"/>
        <v>2019</v>
      </c>
      <c r="E969">
        <f t="shared" si="181"/>
        <v>11</v>
      </c>
      <c r="F969" t="str">
        <f t="shared" si="183"/>
        <v>November</v>
      </c>
      <c r="G969">
        <f t="shared" si="182"/>
        <v>15</v>
      </c>
      <c r="H969" s="7">
        <f t="shared" si="184"/>
        <v>0.19597217898652494</v>
      </c>
      <c r="I969" s="9">
        <f t="shared" si="185"/>
        <v>1.957804040213524E-3</v>
      </c>
      <c r="J969" s="9">
        <f t="shared" ref="J969:J1032" si="186">AVERAGE(C963:C969)</f>
        <v>68001.554285714286</v>
      </c>
      <c r="K969" s="9">
        <f t="shared" si="177"/>
        <v>69313.192999999999</v>
      </c>
      <c r="L969" s="9">
        <f t="shared" si="176"/>
        <v>67901.462333333315</v>
      </c>
      <c r="M969" s="9">
        <f t="shared" si="175"/>
        <v>4.6488382713574172E-3</v>
      </c>
      <c r="N969" s="9">
        <f t="shared" si="178"/>
        <v>9.3384297557099726E-3</v>
      </c>
    </row>
    <row r="970" spans="1:14" x14ac:dyDescent="0.35">
      <c r="A970" s="1">
        <v>43787</v>
      </c>
      <c r="B970" s="2" t="s">
        <v>970</v>
      </c>
      <c r="C970">
        <f t="shared" si="179"/>
        <v>67016.14</v>
      </c>
      <c r="D970">
        <f t="shared" si="180"/>
        <v>2019</v>
      </c>
      <c r="E970">
        <f t="shared" si="181"/>
        <v>11</v>
      </c>
      <c r="F970" t="str">
        <f t="shared" si="183"/>
        <v>November</v>
      </c>
      <c r="G970">
        <f t="shared" si="182"/>
        <v>18</v>
      </c>
      <c r="H970" s="7">
        <f t="shared" si="184"/>
        <v>-1.1343210832360566</v>
      </c>
      <c r="I970" s="9">
        <f t="shared" si="185"/>
        <v>-1.1408035729546604E-2</v>
      </c>
      <c r="J970" s="9">
        <f t="shared" si="186"/>
        <v>67800.292857142849</v>
      </c>
      <c r="K970" s="9">
        <f t="shared" si="177"/>
        <v>69283.715000000011</v>
      </c>
      <c r="L970" s="9">
        <f t="shared" si="176"/>
        <v>67843.393555555536</v>
      </c>
      <c r="M970" s="9">
        <f t="shared" ref="M970:M1033" si="187">STDEV(I964:I970)</f>
        <v>5.93819027198976E-3</v>
      </c>
      <c r="N970" s="9">
        <f t="shared" si="178"/>
        <v>9.4043369557504728E-3</v>
      </c>
    </row>
    <row r="971" spans="1:14" x14ac:dyDescent="0.35">
      <c r="A971" s="1">
        <v>43788</v>
      </c>
      <c r="B971" s="2" t="s">
        <v>971</v>
      </c>
      <c r="C971">
        <f t="shared" si="179"/>
        <v>65088.9</v>
      </c>
      <c r="D971">
        <f t="shared" si="180"/>
        <v>2019</v>
      </c>
      <c r="E971">
        <f t="shared" si="181"/>
        <v>11</v>
      </c>
      <c r="F971" t="str">
        <f t="shared" si="183"/>
        <v>November</v>
      </c>
      <c r="G971">
        <f t="shared" si="182"/>
        <v>19</v>
      </c>
      <c r="H971" s="7">
        <f t="shared" si="184"/>
        <v>-2.8757848482470014</v>
      </c>
      <c r="I971" s="9">
        <f t="shared" si="185"/>
        <v>-2.917945813856164E-2</v>
      </c>
      <c r="J971" s="9">
        <f t="shared" si="186"/>
        <v>67324.164285714287</v>
      </c>
      <c r="K971" s="9">
        <f t="shared" si="177"/>
        <v>69146.444333333333</v>
      </c>
      <c r="L971" s="9">
        <f t="shared" si="176"/>
        <v>67767.292333333316</v>
      </c>
      <c r="M971" s="9">
        <f t="shared" si="187"/>
        <v>1.1318073492039712E-2</v>
      </c>
      <c r="N971" s="9">
        <f t="shared" si="178"/>
        <v>1.0057194737840015E-2</v>
      </c>
    </row>
    <row r="972" spans="1:14" x14ac:dyDescent="0.35">
      <c r="A972" s="1">
        <v>43789</v>
      </c>
      <c r="B972" s="2" t="s">
        <v>972</v>
      </c>
      <c r="C972">
        <f t="shared" si="179"/>
        <v>64712.88</v>
      </c>
      <c r="D972">
        <f t="shared" si="180"/>
        <v>2019</v>
      </c>
      <c r="E972">
        <f t="shared" si="181"/>
        <v>11</v>
      </c>
      <c r="F972" t="str">
        <f t="shared" si="183"/>
        <v>November</v>
      </c>
      <c r="G972">
        <f t="shared" si="182"/>
        <v>20</v>
      </c>
      <c r="H972" s="7">
        <f t="shared" si="184"/>
        <v>-0.57770218885248337</v>
      </c>
      <c r="I972" s="9">
        <f t="shared" si="185"/>
        <v>-5.7937734266318413E-3</v>
      </c>
      <c r="J972" s="9">
        <f t="shared" si="186"/>
        <v>66890.320000000007</v>
      </c>
      <c r="K972" s="9">
        <f t="shared" si="177"/>
        <v>68964.437333333335</v>
      </c>
      <c r="L972" s="9">
        <f t="shared" si="176"/>
        <v>67679.914777777754</v>
      </c>
      <c r="M972" s="9">
        <f t="shared" si="187"/>
        <v>1.125853826176791E-2</v>
      </c>
      <c r="N972" s="9">
        <f t="shared" si="178"/>
        <v>9.6157064117159598E-3</v>
      </c>
    </row>
    <row r="973" spans="1:14" x14ac:dyDescent="0.35">
      <c r="A973" s="1">
        <v>43790</v>
      </c>
      <c r="B973" s="2" t="s">
        <v>973</v>
      </c>
      <c r="C973">
        <f t="shared" si="179"/>
        <v>66142.69</v>
      </c>
      <c r="D973">
        <f t="shared" si="180"/>
        <v>2019</v>
      </c>
      <c r="E973">
        <f t="shared" si="181"/>
        <v>11</v>
      </c>
      <c r="F973" t="str">
        <f t="shared" si="183"/>
        <v>November</v>
      </c>
      <c r="G973">
        <f t="shared" si="182"/>
        <v>21</v>
      </c>
      <c r="H973" s="7">
        <f t="shared" si="184"/>
        <v>2.209467419777956</v>
      </c>
      <c r="I973" s="9">
        <f t="shared" si="185"/>
        <v>2.1854123692394721E-2</v>
      </c>
      <c r="J973" s="9">
        <f t="shared" si="186"/>
        <v>66615.05</v>
      </c>
      <c r="K973" s="9">
        <f t="shared" si="177"/>
        <v>68824.503666666671</v>
      </c>
      <c r="L973" s="9">
        <f t="shared" si="176"/>
        <v>67613.108111111113</v>
      </c>
      <c r="M973" s="9">
        <f t="shared" si="187"/>
        <v>1.5267705841078786E-2</v>
      </c>
      <c r="N973" s="9">
        <f t="shared" si="178"/>
        <v>1.0579429304106396E-2</v>
      </c>
    </row>
    <row r="974" spans="1:14" x14ac:dyDescent="0.35">
      <c r="A974" s="1">
        <v>43791</v>
      </c>
      <c r="B974" s="2" t="s">
        <v>974</v>
      </c>
      <c r="C974">
        <f t="shared" si="179"/>
        <v>67163.710000000006</v>
      </c>
      <c r="D974">
        <f t="shared" si="180"/>
        <v>2019</v>
      </c>
      <c r="E974">
        <f t="shared" si="181"/>
        <v>11</v>
      </c>
      <c r="F974" t="str">
        <f t="shared" si="183"/>
        <v>November</v>
      </c>
      <c r="G974">
        <f t="shared" si="182"/>
        <v>22</v>
      </c>
      <c r="H974" s="7">
        <f t="shared" si="184"/>
        <v>1.5436626481323998</v>
      </c>
      <c r="I974" s="9">
        <f t="shared" si="185"/>
        <v>1.531869386872154E-2</v>
      </c>
      <c r="J974" s="9">
        <f t="shared" si="186"/>
        <v>66508.831428571444</v>
      </c>
      <c r="K974" s="9">
        <f t="shared" si="177"/>
        <v>68736.337</v>
      </c>
      <c r="L974" s="9">
        <f t="shared" si="176"/>
        <v>67552.622000000003</v>
      </c>
      <c r="M974" s="9">
        <f t="shared" si="187"/>
        <v>1.6970875729386041E-2</v>
      </c>
      <c r="N974" s="9">
        <f t="shared" si="178"/>
        <v>1.0984824056903536E-2</v>
      </c>
    </row>
    <row r="975" spans="1:14" x14ac:dyDescent="0.35">
      <c r="A975" s="1">
        <v>43794</v>
      </c>
      <c r="B975" s="2" t="s">
        <v>975</v>
      </c>
      <c r="C975">
        <f t="shared" si="179"/>
        <v>67226.75</v>
      </c>
      <c r="D975">
        <f t="shared" si="180"/>
        <v>2019</v>
      </c>
      <c r="E975">
        <f t="shared" si="181"/>
        <v>11</v>
      </c>
      <c r="F975" t="str">
        <f t="shared" si="183"/>
        <v>November</v>
      </c>
      <c r="G975">
        <f t="shared" si="182"/>
        <v>25</v>
      </c>
      <c r="H975" s="7">
        <f t="shared" si="184"/>
        <v>9.3860211116976108E-2</v>
      </c>
      <c r="I975" s="9">
        <f t="shared" si="185"/>
        <v>9.3816189964226061E-4</v>
      </c>
      <c r="J975" s="9">
        <f t="shared" si="186"/>
        <v>66448.015714285706</v>
      </c>
      <c r="K975" s="9">
        <f t="shared" si="177"/>
        <v>68651.486333333334</v>
      </c>
      <c r="L975" s="9">
        <f t="shared" si="176"/>
        <v>67488.489333333331</v>
      </c>
      <c r="M975" s="9">
        <f t="shared" si="187"/>
        <v>1.6962889015482058E-2</v>
      </c>
      <c r="N975" s="9">
        <f t="shared" si="178"/>
        <v>1.0991566047010537E-2</v>
      </c>
    </row>
    <row r="976" spans="1:14" x14ac:dyDescent="0.35">
      <c r="A976" s="1">
        <v>43795</v>
      </c>
      <c r="B976" s="2" t="s">
        <v>976</v>
      </c>
      <c r="C976">
        <f t="shared" si="179"/>
        <v>68327.399999999994</v>
      </c>
      <c r="D976">
        <f t="shared" si="180"/>
        <v>2019</v>
      </c>
      <c r="E976">
        <f t="shared" si="181"/>
        <v>11</v>
      </c>
      <c r="F976" t="str">
        <f t="shared" si="183"/>
        <v>November</v>
      </c>
      <c r="G976">
        <f t="shared" si="182"/>
        <v>26</v>
      </c>
      <c r="H976" s="7">
        <f t="shared" si="184"/>
        <v>1.6372203029300005</v>
      </c>
      <c r="I976" s="9">
        <f t="shared" si="185"/>
        <v>1.6239623633874965E-2</v>
      </c>
      <c r="J976" s="9">
        <f t="shared" si="186"/>
        <v>66525.495714285717</v>
      </c>
      <c r="K976" s="9">
        <f t="shared" si="177"/>
        <v>68622.546333333317</v>
      </c>
      <c r="L976" s="9">
        <f t="shared" si="176"/>
        <v>67438.544111111114</v>
      </c>
      <c r="M976" s="9">
        <f t="shared" si="187"/>
        <v>1.8179427900979931E-2</v>
      </c>
      <c r="N976" s="9">
        <f t="shared" si="178"/>
        <v>1.1355076331734128E-2</v>
      </c>
    </row>
    <row r="977" spans="1:14" x14ac:dyDescent="0.35">
      <c r="A977" s="1">
        <v>43796</v>
      </c>
      <c r="B977" s="2" t="s">
        <v>977</v>
      </c>
      <c r="C977">
        <f t="shared" si="179"/>
        <v>67909.289999999994</v>
      </c>
      <c r="D977">
        <f t="shared" si="180"/>
        <v>2019</v>
      </c>
      <c r="E977">
        <f t="shared" si="181"/>
        <v>11</v>
      </c>
      <c r="F977" t="str">
        <f t="shared" si="183"/>
        <v>November</v>
      </c>
      <c r="G977">
        <f t="shared" si="182"/>
        <v>27</v>
      </c>
      <c r="H977" s="7">
        <f t="shared" si="184"/>
        <v>-0.61192142537254546</v>
      </c>
      <c r="I977" s="9">
        <f t="shared" si="185"/>
        <v>-6.1380133750697403E-3</v>
      </c>
      <c r="J977" s="9">
        <f t="shared" si="186"/>
        <v>66653.088571428569</v>
      </c>
      <c r="K977" s="9">
        <f t="shared" si="177"/>
        <v>68562.208333333328</v>
      </c>
      <c r="L977" s="9">
        <f t="shared" si="176"/>
        <v>67382.171777777781</v>
      </c>
      <c r="M977" s="9">
        <f t="shared" si="187"/>
        <v>1.7675379945767577E-2</v>
      </c>
      <c r="N977" s="9">
        <f t="shared" si="178"/>
        <v>1.129882347322823E-2</v>
      </c>
    </row>
    <row r="978" spans="1:14" x14ac:dyDescent="0.35">
      <c r="A978" s="1">
        <v>43797</v>
      </c>
      <c r="B978" s="2" t="s">
        <v>978</v>
      </c>
      <c r="C978">
        <f t="shared" si="179"/>
        <v>65756.36</v>
      </c>
      <c r="D978">
        <f t="shared" si="180"/>
        <v>2019</v>
      </c>
      <c r="E978">
        <f t="shared" si="181"/>
        <v>11</v>
      </c>
      <c r="F978" t="str">
        <f t="shared" si="183"/>
        <v>November</v>
      </c>
      <c r="G978">
        <f t="shared" si="182"/>
        <v>28</v>
      </c>
      <c r="H978" s="7">
        <f t="shared" si="184"/>
        <v>-3.1703026198624564</v>
      </c>
      <c r="I978" s="9">
        <f t="shared" si="185"/>
        <v>-3.2216447639208459E-2</v>
      </c>
      <c r="J978" s="9">
        <f t="shared" si="186"/>
        <v>66748.44</v>
      </c>
      <c r="K978" s="9">
        <f t="shared" si="177"/>
        <v>68387.040999999997</v>
      </c>
      <c r="L978" s="9">
        <f t="shared" si="176"/>
        <v>67327.128333333356</v>
      </c>
      <c r="M978" s="9">
        <f t="shared" si="187"/>
        <v>1.8579304723488347E-2</v>
      </c>
      <c r="N978" s="9">
        <f t="shared" si="178"/>
        <v>1.2075964436815714E-2</v>
      </c>
    </row>
    <row r="979" spans="1:14" x14ac:dyDescent="0.35">
      <c r="A979" s="1">
        <v>43798</v>
      </c>
      <c r="B979" s="2" t="s">
        <v>979</v>
      </c>
      <c r="C979">
        <f t="shared" si="179"/>
        <v>65005.81</v>
      </c>
      <c r="D979">
        <f t="shared" si="180"/>
        <v>2019</v>
      </c>
      <c r="E979">
        <f t="shared" si="181"/>
        <v>11</v>
      </c>
      <c r="F979" t="str">
        <f t="shared" si="183"/>
        <v>November</v>
      </c>
      <c r="G979">
        <f t="shared" si="182"/>
        <v>29</v>
      </c>
      <c r="H979" s="7">
        <f t="shared" si="184"/>
        <v>-1.1414105038660942</v>
      </c>
      <c r="I979" s="9">
        <f t="shared" si="185"/>
        <v>-1.1479745901393279E-2</v>
      </c>
      <c r="J979" s="9">
        <f t="shared" si="186"/>
        <v>66790.287142857138</v>
      </c>
      <c r="K979" s="9">
        <f t="shared" si="177"/>
        <v>68188.322999999989</v>
      </c>
      <c r="L979" s="9">
        <f t="shared" si="176"/>
        <v>67275.63477777777</v>
      </c>
      <c r="M979" s="9">
        <f t="shared" si="187"/>
        <v>1.9067056773483956E-2</v>
      </c>
      <c r="N979" s="9">
        <f t="shared" si="178"/>
        <v>1.2178055688944879E-2</v>
      </c>
    </row>
    <row r="980" spans="1:14" x14ac:dyDescent="0.35">
      <c r="A980" s="1">
        <v>43801</v>
      </c>
      <c r="B980" s="2" t="s">
        <v>980</v>
      </c>
      <c r="C980">
        <f t="shared" si="179"/>
        <v>67024.820000000007</v>
      </c>
      <c r="D980">
        <f t="shared" si="180"/>
        <v>2019</v>
      </c>
      <c r="E980">
        <f t="shared" si="181"/>
        <v>12</v>
      </c>
      <c r="F980" t="str">
        <f t="shared" si="183"/>
        <v>December</v>
      </c>
      <c r="G980">
        <f t="shared" si="182"/>
        <v>2</v>
      </c>
      <c r="H980" s="7">
        <f t="shared" si="184"/>
        <v>3.1058916118420945</v>
      </c>
      <c r="I980" s="9">
        <f t="shared" si="185"/>
        <v>3.0586348036874305E-2</v>
      </c>
      <c r="J980" s="9">
        <f t="shared" si="186"/>
        <v>66916.305714285714</v>
      </c>
      <c r="K980" s="9">
        <f t="shared" si="177"/>
        <v>68038.993999999992</v>
      </c>
      <c r="L980" s="9">
        <f t="shared" si="176"/>
        <v>67253.561111111107</v>
      </c>
      <c r="M980" s="9">
        <f t="shared" si="187"/>
        <v>2.0884909740163351E-2</v>
      </c>
      <c r="N980" s="9">
        <f t="shared" si="178"/>
        <v>1.3514442925989259E-2</v>
      </c>
    </row>
    <row r="981" spans="1:14" x14ac:dyDescent="0.35">
      <c r="A981" s="1">
        <v>43802</v>
      </c>
      <c r="B981" s="2" t="s">
        <v>981</v>
      </c>
      <c r="C981">
        <f t="shared" si="179"/>
        <v>65661.73</v>
      </c>
      <c r="D981">
        <f t="shared" si="180"/>
        <v>2019</v>
      </c>
      <c r="E981">
        <f t="shared" si="181"/>
        <v>12</v>
      </c>
      <c r="F981" t="str">
        <f t="shared" si="183"/>
        <v>December</v>
      </c>
      <c r="G981">
        <f t="shared" si="182"/>
        <v>3</v>
      </c>
      <c r="H981" s="7">
        <f t="shared" si="184"/>
        <v>-2.0337093035087763</v>
      </c>
      <c r="I981" s="9">
        <f t="shared" si="185"/>
        <v>-2.0546738974407494E-2</v>
      </c>
      <c r="J981" s="9">
        <f t="shared" si="186"/>
        <v>66701.737142857135</v>
      </c>
      <c r="K981" s="9">
        <f t="shared" si="177"/>
        <v>67869.69733333333</v>
      </c>
      <c r="L981" s="9">
        <f t="shared" si="176"/>
        <v>67211.587888888884</v>
      </c>
      <c r="M981" s="9">
        <f t="shared" si="187"/>
        <v>2.1434332470218545E-2</v>
      </c>
      <c r="N981" s="9">
        <f t="shared" si="178"/>
        <v>1.3843748099340915E-2</v>
      </c>
    </row>
    <row r="982" spans="1:14" x14ac:dyDescent="0.35">
      <c r="A982" s="1">
        <v>43803</v>
      </c>
      <c r="B982" s="2" t="s">
        <v>982</v>
      </c>
      <c r="C982">
        <f t="shared" si="179"/>
        <v>66223.31</v>
      </c>
      <c r="D982">
        <f t="shared" si="180"/>
        <v>2019</v>
      </c>
      <c r="E982">
        <f t="shared" si="181"/>
        <v>12</v>
      </c>
      <c r="F982" t="str">
        <f t="shared" si="183"/>
        <v>December</v>
      </c>
      <c r="G982">
        <f t="shared" si="182"/>
        <v>4</v>
      </c>
      <c r="H982" s="7">
        <f t="shared" si="184"/>
        <v>0.85526226616326095</v>
      </c>
      <c r="I982" s="9">
        <f t="shared" si="185"/>
        <v>8.5162561897969974E-3</v>
      </c>
      <c r="J982" s="9">
        <f t="shared" si="186"/>
        <v>66558.388571428572</v>
      </c>
      <c r="K982" s="9">
        <f t="shared" si="177"/>
        <v>67719.430333333337</v>
      </c>
      <c r="L982" s="9">
        <f t="shared" si="176"/>
        <v>67177.344777777776</v>
      </c>
      <c r="M982" s="9">
        <f t="shared" si="187"/>
        <v>2.1867004942409243E-2</v>
      </c>
      <c r="N982" s="9">
        <f t="shared" si="178"/>
        <v>1.3983735909269593E-2</v>
      </c>
    </row>
    <row r="983" spans="1:14" x14ac:dyDescent="0.35">
      <c r="A983" s="1">
        <v>43804</v>
      </c>
      <c r="B983" s="2" t="s">
        <v>983</v>
      </c>
      <c r="C983">
        <f t="shared" si="179"/>
        <v>67747.41</v>
      </c>
      <c r="D983">
        <f t="shared" si="180"/>
        <v>2019</v>
      </c>
      <c r="E983">
        <f t="shared" si="181"/>
        <v>12</v>
      </c>
      <c r="F983" t="str">
        <f t="shared" si="183"/>
        <v>December</v>
      </c>
      <c r="G983">
        <f t="shared" si="182"/>
        <v>5</v>
      </c>
      <c r="H983" s="7">
        <f t="shared" si="184"/>
        <v>2.3014554844812287</v>
      </c>
      <c r="I983" s="9">
        <f t="shared" si="185"/>
        <v>2.275371447806503E-2</v>
      </c>
      <c r="J983" s="9">
        <f t="shared" si="186"/>
        <v>66475.532857142854</v>
      </c>
      <c r="K983" s="9">
        <f t="shared" si="177"/>
        <v>67602.184999999983</v>
      </c>
      <c r="L983" s="9">
        <f t="shared" si="176"/>
        <v>67196.242111111118</v>
      </c>
      <c r="M983" s="9">
        <f t="shared" si="187"/>
        <v>2.2894428941356845E-2</v>
      </c>
      <c r="N983" s="9">
        <f t="shared" si="178"/>
        <v>1.4611339800129302E-2</v>
      </c>
    </row>
    <row r="984" spans="1:14" x14ac:dyDescent="0.35">
      <c r="A984" s="1">
        <v>43805</v>
      </c>
      <c r="B984" s="2" t="s">
        <v>984</v>
      </c>
      <c r="C984">
        <f t="shared" si="179"/>
        <v>68058.12</v>
      </c>
      <c r="D984">
        <f t="shared" si="180"/>
        <v>2019</v>
      </c>
      <c r="E984">
        <f t="shared" si="181"/>
        <v>12</v>
      </c>
      <c r="F984" t="str">
        <f t="shared" si="183"/>
        <v>December</v>
      </c>
      <c r="G984">
        <f t="shared" si="182"/>
        <v>6</v>
      </c>
      <c r="H984" s="7">
        <f t="shared" si="184"/>
        <v>0.45863007899488978</v>
      </c>
      <c r="I984" s="9">
        <f t="shared" si="185"/>
        <v>4.5758157585968151E-3</v>
      </c>
      <c r="J984" s="9">
        <f t="shared" si="186"/>
        <v>66496.794285714277</v>
      </c>
      <c r="K984" s="9">
        <f t="shared" si="177"/>
        <v>67545.959000000003</v>
      </c>
      <c r="L984" s="9">
        <f t="shared" si="176"/>
        <v>67206.631222222233</v>
      </c>
      <c r="M984" s="9">
        <f t="shared" si="187"/>
        <v>2.2868788071592015E-2</v>
      </c>
      <c r="N984" s="9">
        <f t="shared" si="178"/>
        <v>1.4157811649021735E-2</v>
      </c>
    </row>
    <row r="985" spans="1:14" x14ac:dyDescent="0.35">
      <c r="A985" s="1">
        <v>43808</v>
      </c>
      <c r="B985" s="2" t="s">
        <v>985</v>
      </c>
      <c r="C985">
        <f t="shared" si="179"/>
        <v>67826.78</v>
      </c>
      <c r="D985">
        <f t="shared" si="180"/>
        <v>2019</v>
      </c>
      <c r="E985">
        <f t="shared" si="181"/>
        <v>12</v>
      </c>
      <c r="F985" t="str">
        <f t="shared" si="183"/>
        <v>December</v>
      </c>
      <c r="G985">
        <f t="shared" si="182"/>
        <v>9</v>
      </c>
      <c r="H985" s="7">
        <f t="shared" si="184"/>
        <v>-0.33991535469977208</v>
      </c>
      <c r="I985" s="9">
        <f t="shared" si="185"/>
        <v>-3.4049437944326782E-3</v>
      </c>
      <c r="J985" s="9">
        <f t="shared" si="186"/>
        <v>66792.568571428565</v>
      </c>
      <c r="K985" s="9">
        <f t="shared" si="177"/>
        <v>67464.647333333342</v>
      </c>
      <c r="L985" s="9">
        <f t="shared" si="176"/>
        <v>67211.214666666681</v>
      </c>
      <c r="M985" s="9">
        <f t="shared" si="187"/>
        <v>1.81428390058265E-2</v>
      </c>
      <c r="N985" s="9">
        <f t="shared" si="178"/>
        <v>1.4077847528057725E-2</v>
      </c>
    </row>
    <row r="986" spans="1:14" x14ac:dyDescent="0.35">
      <c r="A986" s="1">
        <v>43809</v>
      </c>
      <c r="B986" s="2" t="s">
        <v>986</v>
      </c>
      <c r="C986">
        <f t="shared" si="179"/>
        <v>66348.75</v>
      </c>
      <c r="D986">
        <f t="shared" si="180"/>
        <v>2019</v>
      </c>
      <c r="E986">
        <f t="shared" si="181"/>
        <v>12</v>
      </c>
      <c r="F986" t="str">
        <f t="shared" si="183"/>
        <v>December</v>
      </c>
      <c r="G986">
        <f t="shared" si="182"/>
        <v>10</v>
      </c>
      <c r="H986" s="7">
        <f t="shared" si="184"/>
        <v>-2.1791245286891092</v>
      </c>
      <c r="I986" s="9">
        <f t="shared" si="185"/>
        <v>-2.2032181097762935E-2</v>
      </c>
      <c r="J986" s="9">
        <f t="shared" si="186"/>
        <v>66984.417142857143</v>
      </c>
      <c r="K986" s="9">
        <f t="shared" si="177"/>
        <v>67358.963333333333</v>
      </c>
      <c r="L986" s="9">
        <f t="shared" si="176"/>
        <v>67207.626888888903</v>
      </c>
      <c r="M986" s="9">
        <f t="shared" si="187"/>
        <v>2.0025679084293101E-2</v>
      </c>
      <c r="N986" s="9">
        <f t="shared" si="178"/>
        <v>1.448851941214996E-2</v>
      </c>
    </row>
    <row r="987" spans="1:14" x14ac:dyDescent="0.35">
      <c r="A987" s="1">
        <v>43810</v>
      </c>
      <c r="B987" s="2" t="s">
        <v>987</v>
      </c>
      <c r="C987">
        <f t="shared" si="179"/>
        <v>65295.42</v>
      </c>
      <c r="D987">
        <f t="shared" si="180"/>
        <v>2019</v>
      </c>
      <c r="E987">
        <f t="shared" si="181"/>
        <v>12</v>
      </c>
      <c r="F987" t="str">
        <f t="shared" si="183"/>
        <v>December</v>
      </c>
      <c r="G987">
        <f t="shared" si="182"/>
        <v>11</v>
      </c>
      <c r="H987" s="7">
        <f t="shared" si="184"/>
        <v>-1.5875657039507176</v>
      </c>
      <c r="I987" s="9">
        <f t="shared" si="185"/>
        <v>-1.6003025115993323E-2</v>
      </c>
      <c r="J987" s="9">
        <f t="shared" si="186"/>
        <v>66737.36</v>
      </c>
      <c r="K987" s="9">
        <f t="shared" si="177"/>
        <v>67244.91</v>
      </c>
      <c r="L987" s="9">
        <f t="shared" si="176"/>
        <v>67195.514000000025</v>
      </c>
      <c r="M987" s="9">
        <f t="shared" si="187"/>
        <v>1.6777215254352374E-2</v>
      </c>
      <c r="N987" s="9">
        <f t="shared" si="178"/>
        <v>1.4615352512730573E-2</v>
      </c>
    </row>
    <row r="988" spans="1:14" x14ac:dyDescent="0.35">
      <c r="A988" s="1">
        <v>43811</v>
      </c>
      <c r="B988" s="2" t="s">
        <v>988</v>
      </c>
      <c r="C988">
        <f t="shared" si="179"/>
        <v>65712.679999999993</v>
      </c>
      <c r="D988">
        <f t="shared" si="180"/>
        <v>2019</v>
      </c>
      <c r="E988">
        <f t="shared" si="181"/>
        <v>12</v>
      </c>
      <c r="F988" t="str">
        <f t="shared" si="183"/>
        <v>December</v>
      </c>
      <c r="G988">
        <f t="shared" si="182"/>
        <v>12</v>
      </c>
      <c r="H988" s="7">
        <f t="shared" si="184"/>
        <v>0.63903410070720845</v>
      </c>
      <c r="I988" s="9">
        <f t="shared" si="185"/>
        <v>6.3700093494924361E-3</v>
      </c>
      <c r="J988" s="9">
        <f t="shared" si="186"/>
        <v>66744.638571428572</v>
      </c>
      <c r="K988" s="9">
        <f t="shared" si="177"/>
        <v>67148.313666666669</v>
      </c>
      <c r="L988" s="9">
        <f t="shared" ref="L988:L1051" si="188">AVERAGE(C899:C988)</f>
        <v>67179.839222222232</v>
      </c>
      <c r="M988" s="9">
        <f t="shared" si="187"/>
        <v>1.5301387537395378E-2</v>
      </c>
      <c r="N988" s="9">
        <f t="shared" si="178"/>
        <v>1.4689544192558326E-2</v>
      </c>
    </row>
    <row r="989" spans="1:14" x14ac:dyDescent="0.35">
      <c r="A989" s="1">
        <v>43812</v>
      </c>
      <c r="B989" s="2" t="s">
        <v>989</v>
      </c>
      <c r="C989">
        <f t="shared" si="179"/>
        <v>66747.23</v>
      </c>
      <c r="D989">
        <f t="shared" si="180"/>
        <v>2019</v>
      </c>
      <c r="E989">
        <f t="shared" si="181"/>
        <v>12</v>
      </c>
      <c r="F989" t="str">
        <f t="shared" si="183"/>
        <v>December</v>
      </c>
      <c r="G989">
        <f t="shared" si="182"/>
        <v>13</v>
      </c>
      <c r="H989" s="7">
        <f t="shared" si="184"/>
        <v>1.574353686381385</v>
      </c>
      <c r="I989" s="9">
        <f t="shared" si="185"/>
        <v>1.5620892945262565E-2</v>
      </c>
      <c r="J989" s="9">
        <f t="shared" si="186"/>
        <v>66819.484285714279</v>
      </c>
      <c r="K989" s="9">
        <f t="shared" si="177"/>
        <v>67106.48033333334</v>
      </c>
      <c r="L989" s="9">
        <f t="shared" si="188"/>
        <v>67175.885222222234</v>
      </c>
      <c r="M989" s="9">
        <f t="shared" si="187"/>
        <v>1.6163204727060298E-2</v>
      </c>
      <c r="N989" s="9">
        <f t="shared" si="178"/>
        <v>1.4939998792572995E-2</v>
      </c>
    </row>
    <row r="990" spans="1:14" x14ac:dyDescent="0.35">
      <c r="A990" s="1">
        <v>43816</v>
      </c>
      <c r="B990" s="2" t="s">
        <v>990</v>
      </c>
      <c r="C990">
        <f t="shared" si="179"/>
        <v>66350.31</v>
      </c>
      <c r="D990">
        <f t="shared" si="180"/>
        <v>2019</v>
      </c>
      <c r="E990">
        <f t="shared" si="181"/>
        <v>12</v>
      </c>
      <c r="F990" t="str">
        <f t="shared" si="183"/>
        <v>December</v>
      </c>
      <c r="G990">
        <f t="shared" si="182"/>
        <v>17</v>
      </c>
      <c r="H990" s="7">
        <f t="shared" si="184"/>
        <v>-0.59466138145357983</v>
      </c>
      <c r="I990" s="9">
        <f t="shared" si="185"/>
        <v>-5.9643653317287063E-3</v>
      </c>
      <c r="J990" s="9">
        <f t="shared" si="186"/>
        <v>66619.898571428566</v>
      </c>
      <c r="K990" s="9">
        <f t="shared" si="177"/>
        <v>67030.070999999996</v>
      </c>
      <c r="L990" s="9">
        <f t="shared" si="188"/>
        <v>67181.434888888893</v>
      </c>
      <c r="M990" s="9">
        <f t="shared" si="187"/>
        <v>1.3116007878206486E-2</v>
      </c>
      <c r="N990" s="9">
        <f t="shared" si="178"/>
        <v>1.4848362966717916E-2</v>
      </c>
    </row>
    <row r="991" spans="1:14" x14ac:dyDescent="0.35">
      <c r="A991" s="1">
        <v>43817</v>
      </c>
      <c r="B991" s="2" t="s">
        <v>991</v>
      </c>
      <c r="C991">
        <f t="shared" si="179"/>
        <v>65390.879999999997</v>
      </c>
      <c r="D991">
        <f t="shared" si="180"/>
        <v>2019</v>
      </c>
      <c r="E991">
        <f t="shared" si="181"/>
        <v>12</v>
      </c>
      <c r="F991" t="str">
        <f t="shared" si="183"/>
        <v>December</v>
      </c>
      <c r="G991">
        <f t="shared" si="182"/>
        <v>18</v>
      </c>
      <c r="H991" s="7">
        <f t="shared" si="184"/>
        <v>-1.4460068084082809</v>
      </c>
      <c r="I991" s="9">
        <f t="shared" si="185"/>
        <v>-1.4565633762340935E-2</v>
      </c>
      <c r="J991" s="9">
        <f t="shared" si="186"/>
        <v>66238.864285714284</v>
      </c>
      <c r="K991" s="9">
        <f t="shared" si="177"/>
        <v>66911.96666666666</v>
      </c>
      <c r="L991" s="9">
        <f t="shared" si="188"/>
        <v>67186.045222222237</v>
      </c>
      <c r="M991" s="9">
        <f t="shared" si="187"/>
        <v>1.3273368101223466E-2</v>
      </c>
      <c r="N991" s="9">
        <f t="shared" si="178"/>
        <v>1.5009875560426661E-2</v>
      </c>
    </row>
    <row r="992" spans="1:14" x14ac:dyDescent="0.35">
      <c r="A992" s="1">
        <v>43818</v>
      </c>
      <c r="B992" s="2" t="s">
        <v>992</v>
      </c>
      <c r="C992">
        <f t="shared" si="179"/>
        <v>67502.09</v>
      </c>
      <c r="D992">
        <f t="shared" si="180"/>
        <v>2019</v>
      </c>
      <c r="E992">
        <f t="shared" si="181"/>
        <v>12</v>
      </c>
      <c r="F992" t="str">
        <f t="shared" si="183"/>
        <v>December</v>
      </c>
      <c r="G992">
        <f t="shared" si="182"/>
        <v>19</v>
      </c>
      <c r="H992" s="7">
        <f t="shared" si="184"/>
        <v>3.2286000738940954</v>
      </c>
      <c r="I992" s="9">
        <f t="shared" si="185"/>
        <v>3.1775761164227125E-2</v>
      </c>
      <c r="J992" s="9">
        <f t="shared" si="186"/>
        <v>66192.479999999996</v>
      </c>
      <c r="K992" s="9">
        <f t="shared" ref="K992:K1055" si="189">AVERAGE(C963:C992)</f>
        <v>66875.011333333343</v>
      </c>
      <c r="L992" s="9">
        <f t="shared" si="188"/>
        <v>67207.854666666666</v>
      </c>
      <c r="M992" s="9">
        <f t="shared" si="187"/>
        <v>1.9494631916922127E-2</v>
      </c>
      <c r="N992" s="9">
        <f t="shared" si="178"/>
        <v>1.6194043854126785E-2</v>
      </c>
    </row>
    <row r="993" spans="1:14" x14ac:dyDescent="0.35">
      <c r="A993" s="1">
        <v>43819</v>
      </c>
      <c r="B993" s="2" t="s">
        <v>993</v>
      </c>
      <c r="C993">
        <f t="shared" si="179"/>
        <v>65683.520000000004</v>
      </c>
      <c r="D993">
        <f t="shared" si="180"/>
        <v>2019</v>
      </c>
      <c r="E993">
        <f t="shared" si="181"/>
        <v>12</v>
      </c>
      <c r="F993" t="str">
        <f t="shared" si="183"/>
        <v>December</v>
      </c>
      <c r="G993">
        <f t="shared" si="182"/>
        <v>20</v>
      </c>
      <c r="H993" s="7">
        <f t="shared" si="184"/>
        <v>-2.6940943606338594</v>
      </c>
      <c r="I993" s="9">
        <f t="shared" si="185"/>
        <v>-2.7310503474944726E-2</v>
      </c>
      <c r="J993" s="9">
        <f t="shared" si="186"/>
        <v>66097.447142857141</v>
      </c>
      <c r="K993" s="9">
        <f t="shared" si="189"/>
        <v>66783.62966666666</v>
      </c>
      <c r="L993" s="9">
        <f t="shared" si="188"/>
        <v>67206.623999999996</v>
      </c>
      <c r="M993" s="9">
        <f t="shared" si="187"/>
        <v>2.053238862682305E-2</v>
      </c>
      <c r="N993" s="9">
        <f t="shared" ref="N993:N1056" si="190">STDEV(I964:I993)</f>
        <v>1.6914378969943553E-2</v>
      </c>
    </row>
    <row r="994" spans="1:14" x14ac:dyDescent="0.35">
      <c r="A994" s="1">
        <v>43822</v>
      </c>
      <c r="B994" s="2" t="s">
        <v>994</v>
      </c>
      <c r="C994">
        <f t="shared" si="179"/>
        <v>66381.03</v>
      </c>
      <c r="D994">
        <f t="shared" si="180"/>
        <v>2019</v>
      </c>
      <c r="E994">
        <f t="shared" si="181"/>
        <v>12</v>
      </c>
      <c r="F994" t="str">
        <f t="shared" si="183"/>
        <v>December</v>
      </c>
      <c r="G994">
        <f t="shared" si="182"/>
        <v>23</v>
      </c>
      <c r="H994" s="7">
        <f t="shared" si="184"/>
        <v>1.0619254266519131</v>
      </c>
      <c r="I994" s="9">
        <f t="shared" si="185"/>
        <v>1.0563266006189944E-2</v>
      </c>
      <c r="J994" s="9">
        <f t="shared" si="186"/>
        <v>66252.534285714282</v>
      </c>
      <c r="K994" s="9">
        <f t="shared" si="189"/>
        <v>66715.604000000007</v>
      </c>
      <c r="L994" s="9">
        <f t="shared" si="188"/>
        <v>67214.718777777787</v>
      </c>
      <c r="M994" s="9">
        <f t="shared" si="187"/>
        <v>1.9835249826537421E-2</v>
      </c>
      <c r="N994" s="9">
        <f t="shared" si="190"/>
        <v>1.705320292902214E-2</v>
      </c>
    </row>
    <row r="995" spans="1:14" x14ac:dyDescent="0.35">
      <c r="A995" s="1">
        <v>43823</v>
      </c>
      <c r="B995" s="2" t="s">
        <v>995</v>
      </c>
      <c r="C995">
        <f t="shared" si="179"/>
        <v>67803.509999999995</v>
      </c>
      <c r="D995">
        <f t="shared" si="180"/>
        <v>2019</v>
      </c>
      <c r="E995">
        <f t="shared" si="181"/>
        <v>12</v>
      </c>
      <c r="F995" t="str">
        <f t="shared" si="183"/>
        <v>December</v>
      </c>
      <c r="G995">
        <f t="shared" si="182"/>
        <v>24</v>
      </c>
      <c r="H995" s="7">
        <f t="shared" si="184"/>
        <v>2.1429013680565006</v>
      </c>
      <c r="I995" s="9">
        <f t="shared" si="185"/>
        <v>2.1202640624489014E-2</v>
      </c>
      <c r="J995" s="9">
        <f t="shared" si="186"/>
        <v>66551.224285714299</v>
      </c>
      <c r="K995" s="9">
        <f t="shared" si="189"/>
        <v>66717.394666666674</v>
      </c>
      <c r="L995" s="9">
        <f t="shared" si="188"/>
        <v>67230.857999999993</v>
      </c>
      <c r="M995" s="9">
        <f t="shared" si="187"/>
        <v>2.1088257973091298E-2</v>
      </c>
      <c r="N995" s="9">
        <f t="shared" si="190"/>
        <v>1.7435808118423459E-2</v>
      </c>
    </row>
    <row r="996" spans="1:14" x14ac:dyDescent="0.35">
      <c r="A996" s="1">
        <v>43826</v>
      </c>
      <c r="B996" s="2" t="s">
        <v>996</v>
      </c>
      <c r="C996">
        <f t="shared" si="179"/>
        <v>68910.8</v>
      </c>
      <c r="D996">
        <f t="shared" si="180"/>
        <v>2019</v>
      </c>
      <c r="E996">
        <f t="shared" si="181"/>
        <v>12</v>
      </c>
      <c r="F996" t="str">
        <f t="shared" si="183"/>
        <v>December</v>
      </c>
      <c r="G996">
        <f t="shared" si="182"/>
        <v>27</v>
      </c>
      <c r="H996" s="7">
        <f t="shared" si="184"/>
        <v>1.633086546699438</v>
      </c>
      <c r="I996" s="9">
        <f t="shared" si="185"/>
        <v>1.6198951129413306E-2</v>
      </c>
      <c r="J996" s="9">
        <f t="shared" si="186"/>
        <v>66860.305714285714</v>
      </c>
      <c r="K996" s="9">
        <f t="shared" si="189"/>
        <v>66745.435333333342</v>
      </c>
      <c r="L996" s="9">
        <f t="shared" si="188"/>
        <v>67261.080777777766</v>
      </c>
      <c r="M996" s="9">
        <f t="shared" si="187"/>
        <v>2.1140248329318576E-2</v>
      </c>
      <c r="N996" s="9">
        <f t="shared" si="190"/>
        <v>1.7666877071363857E-2</v>
      </c>
    </row>
    <row r="997" spans="1:14" x14ac:dyDescent="0.35">
      <c r="A997" s="1">
        <v>43829</v>
      </c>
      <c r="B997" s="2" t="s">
        <v>997</v>
      </c>
      <c r="C997">
        <f t="shared" si="179"/>
        <v>69950.210000000006</v>
      </c>
      <c r="D997">
        <f t="shared" si="180"/>
        <v>2019</v>
      </c>
      <c r="E997">
        <f t="shared" si="181"/>
        <v>12</v>
      </c>
      <c r="F997" t="str">
        <f t="shared" si="183"/>
        <v>December</v>
      </c>
      <c r="G997">
        <f t="shared" si="182"/>
        <v>30</v>
      </c>
      <c r="H997" s="7">
        <f t="shared" si="184"/>
        <v>1.5083412179223046</v>
      </c>
      <c r="I997" s="9">
        <f t="shared" si="185"/>
        <v>1.4970788604120971E-2</v>
      </c>
      <c r="J997" s="9">
        <f t="shared" si="186"/>
        <v>67374.577142857146</v>
      </c>
      <c r="K997" s="9">
        <f t="shared" si="189"/>
        <v>66813.534333333344</v>
      </c>
      <c r="L997" s="9">
        <f t="shared" si="188"/>
        <v>67324.179111111109</v>
      </c>
      <c r="M997" s="9">
        <f t="shared" si="187"/>
        <v>2.0882968576567518E-2</v>
      </c>
      <c r="N997" s="9">
        <f t="shared" si="190"/>
        <v>1.7855360632271017E-2</v>
      </c>
    </row>
    <row r="998" spans="1:14" x14ac:dyDescent="0.35">
      <c r="A998" s="1">
        <v>43830</v>
      </c>
      <c r="B998" s="2" t="s">
        <v>998</v>
      </c>
      <c r="C998">
        <f t="shared" si="179"/>
        <v>70318.23</v>
      </c>
      <c r="D998">
        <f t="shared" si="180"/>
        <v>2019</v>
      </c>
      <c r="E998">
        <f t="shared" si="181"/>
        <v>12</v>
      </c>
      <c r="F998" t="str">
        <f t="shared" si="183"/>
        <v>December</v>
      </c>
      <c r="G998">
        <f t="shared" si="182"/>
        <v>31</v>
      </c>
      <c r="H998" s="7">
        <f t="shared" si="184"/>
        <v>0.52611707670354313</v>
      </c>
      <c r="I998" s="9">
        <f t="shared" si="185"/>
        <v>5.2473791602984819E-3</v>
      </c>
      <c r="J998" s="9">
        <f t="shared" si="186"/>
        <v>68078.484285714279</v>
      </c>
      <c r="K998" s="9">
        <f t="shared" si="189"/>
        <v>66902.393333333341</v>
      </c>
      <c r="L998" s="9">
        <f t="shared" si="188"/>
        <v>67390.021333333338</v>
      </c>
      <c r="M998" s="9">
        <f t="shared" si="187"/>
        <v>1.8604636939187281E-2</v>
      </c>
      <c r="N998" s="9">
        <f t="shared" si="190"/>
        <v>1.7848507770395882E-2</v>
      </c>
    </row>
    <row r="999" spans="1:14" x14ac:dyDescent="0.35">
      <c r="A999" s="1">
        <v>43832</v>
      </c>
      <c r="B999" s="2" t="s">
        <v>999</v>
      </c>
      <c r="C999">
        <f t="shared" si="179"/>
        <v>71120.09</v>
      </c>
      <c r="D999">
        <f t="shared" si="180"/>
        <v>2020</v>
      </c>
      <c r="E999">
        <f t="shared" si="181"/>
        <v>1</v>
      </c>
      <c r="F999" t="str">
        <f t="shared" si="183"/>
        <v>January</v>
      </c>
      <c r="G999">
        <f t="shared" si="182"/>
        <v>2</v>
      </c>
      <c r="H999" s="7">
        <f t="shared" si="184"/>
        <v>1.1403301818034961</v>
      </c>
      <c r="I999" s="9">
        <f t="shared" si="185"/>
        <v>1.1338774259993885E-2</v>
      </c>
      <c r="J999" s="9">
        <f t="shared" si="186"/>
        <v>68595.341428571424</v>
      </c>
      <c r="K999" s="9">
        <f t="shared" si="189"/>
        <v>67013.561666666676</v>
      </c>
      <c r="L999" s="9">
        <f t="shared" si="188"/>
        <v>67463.26422222222</v>
      </c>
      <c r="M999" s="9">
        <f t="shared" si="187"/>
        <v>1.6125549734073569E-2</v>
      </c>
      <c r="N999" s="9">
        <f t="shared" si="190"/>
        <v>1.7942570318140026E-2</v>
      </c>
    </row>
    <row r="1000" spans="1:14" x14ac:dyDescent="0.35">
      <c r="A1000" s="1">
        <v>43833</v>
      </c>
      <c r="B1000" s="2" t="s">
        <v>1000</v>
      </c>
      <c r="C1000">
        <f t="shared" si="179"/>
        <v>70920.45</v>
      </c>
      <c r="D1000">
        <f t="shared" si="180"/>
        <v>2020</v>
      </c>
      <c r="E1000">
        <f t="shared" si="181"/>
        <v>1</v>
      </c>
      <c r="F1000" t="str">
        <f t="shared" si="183"/>
        <v>January</v>
      </c>
      <c r="G1000">
        <f t="shared" si="182"/>
        <v>3</v>
      </c>
      <c r="H1000" s="7">
        <f t="shared" si="184"/>
        <v>-0.28070830619027537</v>
      </c>
      <c r="I1000" s="9">
        <f t="shared" si="185"/>
        <v>-2.8110303081235657E-3</v>
      </c>
      <c r="J1000" s="9">
        <f t="shared" si="186"/>
        <v>69343.474285714285</v>
      </c>
      <c r="K1000" s="9">
        <f t="shared" si="189"/>
        <v>67143.705333333332</v>
      </c>
      <c r="L1000" s="9">
        <f t="shared" si="188"/>
        <v>67533.623777777771</v>
      </c>
      <c r="M1000" s="9">
        <f t="shared" si="187"/>
        <v>7.8636387819856594E-3</v>
      </c>
      <c r="N1000" s="9">
        <f t="shared" si="190"/>
        <v>1.7795686611582685E-2</v>
      </c>
    </row>
    <row r="1001" spans="1:14" x14ac:dyDescent="0.35">
      <c r="A1001" s="1">
        <v>43836</v>
      </c>
      <c r="B1001" s="2" t="s">
        <v>1001</v>
      </c>
      <c r="C1001">
        <f t="shared" si="179"/>
        <v>71035</v>
      </c>
      <c r="D1001">
        <f t="shared" si="180"/>
        <v>2020</v>
      </c>
      <c r="E1001">
        <f t="shared" si="181"/>
        <v>1</v>
      </c>
      <c r="F1001" t="str">
        <f t="shared" si="183"/>
        <v>January</v>
      </c>
      <c r="G1001">
        <f t="shared" si="182"/>
        <v>6</v>
      </c>
      <c r="H1001" s="7">
        <f t="shared" si="184"/>
        <v>0.16151899769389916</v>
      </c>
      <c r="I1001" s="9">
        <f t="shared" si="185"/>
        <v>1.6138869604988941E-3</v>
      </c>
      <c r="J1001" s="9">
        <f t="shared" si="186"/>
        <v>70008.327142857146</v>
      </c>
      <c r="K1001" s="9">
        <f t="shared" si="189"/>
        <v>67341.90866666667</v>
      </c>
      <c r="L1001" s="9">
        <f t="shared" si="188"/>
        <v>67603.243777777767</v>
      </c>
      <c r="M1001" s="9">
        <f t="shared" si="187"/>
        <v>8.6289058001266915E-3</v>
      </c>
      <c r="N1001" s="9">
        <f t="shared" si="190"/>
        <v>1.6802317168254768E-2</v>
      </c>
    </row>
    <row r="1002" spans="1:14" x14ac:dyDescent="0.35">
      <c r="A1002" s="1">
        <v>43837</v>
      </c>
      <c r="B1002" s="2" t="s">
        <v>1002</v>
      </c>
      <c r="C1002">
        <f t="shared" si="179"/>
        <v>70849.38</v>
      </c>
      <c r="D1002">
        <f t="shared" si="180"/>
        <v>2020</v>
      </c>
      <c r="E1002">
        <f t="shared" si="181"/>
        <v>1</v>
      </c>
      <c r="F1002" t="str">
        <f t="shared" si="183"/>
        <v>January</v>
      </c>
      <c r="G1002">
        <f t="shared" si="182"/>
        <v>7</v>
      </c>
      <c r="H1002" s="7">
        <f t="shared" si="184"/>
        <v>-0.26130780601111475</v>
      </c>
      <c r="I1002" s="9">
        <f t="shared" si="185"/>
        <v>-2.6164981077854573E-3</v>
      </c>
      <c r="J1002" s="9">
        <f t="shared" si="186"/>
        <v>70443.451428571425</v>
      </c>
      <c r="K1002" s="9">
        <f t="shared" si="189"/>
        <v>67546.458666666673</v>
      </c>
      <c r="L1002" s="9">
        <f t="shared" si="188"/>
        <v>67660.731555555554</v>
      </c>
      <c r="M1002" s="9">
        <f t="shared" si="187"/>
        <v>8.0014579653076255E-3</v>
      </c>
      <c r="N1002" s="9">
        <f t="shared" si="190"/>
        <v>1.6755485845387434E-2</v>
      </c>
    </row>
    <row r="1003" spans="1:14" x14ac:dyDescent="0.35">
      <c r="A1003" s="1">
        <v>43838</v>
      </c>
      <c r="B1003" s="2" t="s">
        <v>1003</v>
      </c>
      <c r="C1003">
        <f t="shared" si="179"/>
        <v>72094.87</v>
      </c>
      <c r="D1003">
        <f t="shared" si="180"/>
        <v>2020</v>
      </c>
      <c r="E1003">
        <f t="shared" si="181"/>
        <v>1</v>
      </c>
      <c r="F1003" t="str">
        <f t="shared" si="183"/>
        <v>January</v>
      </c>
      <c r="G1003">
        <f t="shared" si="182"/>
        <v>8</v>
      </c>
      <c r="H1003" s="7">
        <f t="shared" si="184"/>
        <v>1.7579405776027828</v>
      </c>
      <c r="I1003" s="9">
        <f t="shared" si="185"/>
        <v>1.7426675364365086E-2</v>
      </c>
      <c r="J1003" s="9">
        <f t="shared" si="186"/>
        <v>70898.318571428565</v>
      </c>
      <c r="K1003" s="9">
        <f t="shared" si="189"/>
        <v>67744.864666666675</v>
      </c>
      <c r="L1003" s="9">
        <f t="shared" si="188"/>
        <v>67730.311555555541</v>
      </c>
      <c r="M1003" s="9">
        <f t="shared" si="187"/>
        <v>8.2643174125465162E-3</v>
      </c>
      <c r="N1003" s="9">
        <f t="shared" si="190"/>
        <v>1.6602675676727682E-2</v>
      </c>
    </row>
    <row r="1004" spans="1:14" x14ac:dyDescent="0.35">
      <c r="A1004" s="1">
        <v>43839</v>
      </c>
      <c r="B1004" s="2" t="s">
        <v>1004</v>
      </c>
      <c r="C1004">
        <f t="shared" si="179"/>
        <v>71958.149999999994</v>
      </c>
      <c r="D1004">
        <f t="shared" si="180"/>
        <v>2020</v>
      </c>
      <c r="E1004">
        <f t="shared" si="181"/>
        <v>1</v>
      </c>
      <c r="F1004" t="str">
        <f t="shared" si="183"/>
        <v>January</v>
      </c>
      <c r="G1004">
        <f t="shared" si="182"/>
        <v>9</v>
      </c>
      <c r="H1004" s="7">
        <f t="shared" si="184"/>
        <v>-0.18963901315031315</v>
      </c>
      <c r="I1004" s="9">
        <f t="shared" si="185"/>
        <v>-1.8981905558332431E-3</v>
      </c>
      <c r="J1004" s="9">
        <f t="shared" si="186"/>
        <v>71185.167142857143</v>
      </c>
      <c r="K1004" s="9">
        <f t="shared" si="189"/>
        <v>67904.679333333348</v>
      </c>
      <c r="L1004" s="9">
        <f t="shared" si="188"/>
        <v>67800.815888888887</v>
      </c>
      <c r="M1004" s="9">
        <f t="shared" si="187"/>
        <v>7.8137336291614658E-3</v>
      </c>
      <c r="N1004" s="9">
        <f t="shared" si="190"/>
        <v>1.6454514049809559E-2</v>
      </c>
    </row>
    <row r="1005" spans="1:14" x14ac:dyDescent="0.35">
      <c r="A1005" s="1">
        <v>43840</v>
      </c>
      <c r="B1005" s="2" t="s">
        <v>1005</v>
      </c>
      <c r="C1005">
        <f t="shared" si="179"/>
        <v>70485.460000000006</v>
      </c>
      <c r="D1005">
        <f t="shared" si="180"/>
        <v>2020</v>
      </c>
      <c r="E1005">
        <f t="shared" si="181"/>
        <v>1</v>
      </c>
      <c r="F1005" t="str">
        <f t="shared" si="183"/>
        <v>January</v>
      </c>
      <c r="G1005">
        <f t="shared" si="182"/>
        <v>10</v>
      </c>
      <c r="H1005" s="7">
        <f t="shared" si="184"/>
        <v>-2.0465923595867705</v>
      </c>
      <c r="I1005" s="9">
        <f t="shared" si="185"/>
        <v>-2.0678252611942907E-2</v>
      </c>
      <c r="J1005" s="9">
        <f t="shared" si="186"/>
        <v>71209.057142857142</v>
      </c>
      <c r="K1005" s="9">
        <f t="shared" si="189"/>
        <v>68013.303000000014</v>
      </c>
      <c r="L1005" s="9">
        <f t="shared" si="188"/>
        <v>67847.178444444435</v>
      </c>
      <c r="M1005" s="9">
        <f t="shared" si="187"/>
        <v>1.2110578076185584E-2</v>
      </c>
      <c r="N1005" s="9">
        <f t="shared" si="190"/>
        <v>1.6981003668017133E-2</v>
      </c>
    </row>
    <row r="1006" spans="1:14" x14ac:dyDescent="0.35">
      <c r="A1006" s="1">
        <v>43843</v>
      </c>
      <c r="B1006" s="2" t="s">
        <v>1006</v>
      </c>
      <c r="C1006">
        <f t="shared" si="179"/>
        <v>69483.759999999995</v>
      </c>
      <c r="D1006">
        <f t="shared" si="180"/>
        <v>2020</v>
      </c>
      <c r="E1006">
        <f t="shared" si="181"/>
        <v>1</v>
      </c>
      <c r="F1006" t="str">
        <f t="shared" si="183"/>
        <v>January</v>
      </c>
      <c r="G1006">
        <f t="shared" si="182"/>
        <v>13</v>
      </c>
      <c r="H1006" s="7">
        <f t="shared" si="184"/>
        <v>-1.4211441622144647</v>
      </c>
      <c r="I1006" s="9">
        <f t="shared" si="185"/>
        <v>-1.4313391211715135E-2</v>
      </c>
      <c r="J1006" s="9">
        <f t="shared" si="186"/>
        <v>70975.295714285719</v>
      </c>
      <c r="K1006" s="9">
        <f t="shared" si="189"/>
        <v>68051.848333333328</v>
      </c>
      <c r="L1006" s="9">
        <f t="shared" si="188"/>
        <v>67905.584333333318</v>
      </c>
      <c r="M1006" s="9">
        <f t="shared" si="187"/>
        <v>1.2108582885529916E-2</v>
      </c>
      <c r="N1006" s="9">
        <f t="shared" si="190"/>
        <v>1.6987548396906572E-2</v>
      </c>
    </row>
    <row r="1007" spans="1:14" x14ac:dyDescent="0.35">
      <c r="A1007" s="1">
        <v>43844</v>
      </c>
      <c r="B1007" s="2" t="s">
        <v>1007</v>
      </c>
      <c r="C1007">
        <f t="shared" si="179"/>
        <v>67585.25</v>
      </c>
      <c r="D1007">
        <f t="shared" si="180"/>
        <v>2020</v>
      </c>
      <c r="E1007">
        <f t="shared" si="181"/>
        <v>1</v>
      </c>
      <c r="F1007" t="str">
        <f t="shared" si="183"/>
        <v>January</v>
      </c>
      <c r="G1007">
        <f t="shared" si="182"/>
        <v>14</v>
      </c>
      <c r="H1007" s="7">
        <f t="shared" si="184"/>
        <v>-2.732307520491112</v>
      </c>
      <c r="I1007" s="9">
        <f t="shared" si="185"/>
        <v>-2.7703292226532745E-2</v>
      </c>
      <c r="J1007" s="9">
        <f t="shared" si="186"/>
        <v>70498.838571428583</v>
      </c>
      <c r="K1007" s="9">
        <f t="shared" si="189"/>
        <v>68041.046999999991</v>
      </c>
      <c r="L1007" s="9">
        <f t="shared" si="188"/>
        <v>67948.460777777771</v>
      </c>
      <c r="M1007" s="9">
        <f t="shared" si="187"/>
        <v>1.5194368606810829E-2</v>
      </c>
      <c r="N1007" s="9">
        <f t="shared" si="190"/>
        <v>1.7721163935455225E-2</v>
      </c>
    </row>
    <row r="1008" spans="1:14" x14ac:dyDescent="0.35">
      <c r="A1008" s="1">
        <v>43845</v>
      </c>
      <c r="B1008" s="2" t="s">
        <v>1008</v>
      </c>
      <c r="C1008">
        <f t="shared" si="179"/>
        <v>67690.720000000001</v>
      </c>
      <c r="D1008">
        <f t="shared" si="180"/>
        <v>2020</v>
      </c>
      <c r="E1008">
        <f t="shared" si="181"/>
        <v>1</v>
      </c>
      <c r="F1008" t="str">
        <f t="shared" si="183"/>
        <v>January</v>
      </c>
      <c r="G1008">
        <f t="shared" si="182"/>
        <v>15</v>
      </c>
      <c r="H1008" s="7">
        <f t="shared" si="184"/>
        <v>0.15605476046918693</v>
      </c>
      <c r="I1008" s="9">
        <f t="shared" si="185"/>
        <v>1.5593312156028502E-3</v>
      </c>
      <c r="J1008" s="9">
        <f t="shared" si="186"/>
        <v>70021.084285714285</v>
      </c>
      <c r="K1008" s="9">
        <f t="shared" si="189"/>
        <v>68105.525666666668</v>
      </c>
      <c r="L1008" s="9">
        <f t="shared" si="188"/>
        <v>67997.647222222207</v>
      </c>
      <c r="M1008" s="9">
        <f t="shared" si="187"/>
        <v>1.5189298060247146E-2</v>
      </c>
      <c r="N1008" s="9">
        <f t="shared" si="190"/>
        <v>1.6655148605126822E-2</v>
      </c>
    </row>
    <row r="1009" spans="1:14" x14ac:dyDescent="0.35">
      <c r="A1009" s="1">
        <v>43846</v>
      </c>
      <c r="B1009" s="2" t="s">
        <v>1009</v>
      </c>
      <c r="C1009">
        <f t="shared" si="179"/>
        <v>68367.37</v>
      </c>
      <c r="D1009">
        <f t="shared" si="180"/>
        <v>2020</v>
      </c>
      <c r="E1009">
        <f t="shared" si="181"/>
        <v>1</v>
      </c>
      <c r="F1009" t="str">
        <f t="shared" si="183"/>
        <v>January</v>
      </c>
      <c r="G1009">
        <f t="shared" si="182"/>
        <v>16</v>
      </c>
      <c r="H1009" s="7">
        <f t="shared" si="184"/>
        <v>0.99962003654266662</v>
      </c>
      <c r="I1009" s="9">
        <f t="shared" si="185"/>
        <v>9.9465688316625681E-3</v>
      </c>
      <c r="J1009" s="9">
        <f t="shared" si="186"/>
        <v>69666.511428571423</v>
      </c>
      <c r="K1009" s="9">
        <f t="shared" si="189"/>
        <v>68217.577666666664</v>
      </c>
      <c r="L1009" s="9">
        <f t="shared" si="188"/>
        <v>68048.303333333315</v>
      </c>
      <c r="M1009" s="9">
        <f t="shared" si="187"/>
        <v>1.6466763200244178E-2</v>
      </c>
      <c r="N1009" s="9">
        <f t="shared" si="190"/>
        <v>1.6562169465010636E-2</v>
      </c>
    </row>
    <row r="1010" spans="1:14" x14ac:dyDescent="0.35">
      <c r="A1010" s="1">
        <v>43847</v>
      </c>
      <c r="B1010" s="2" t="s">
        <v>1010</v>
      </c>
      <c r="C1010">
        <f t="shared" si="179"/>
        <v>67575.28</v>
      </c>
      <c r="D1010">
        <f t="shared" si="180"/>
        <v>2020</v>
      </c>
      <c r="E1010">
        <f t="shared" si="181"/>
        <v>1</v>
      </c>
      <c r="F1010" t="str">
        <f t="shared" si="183"/>
        <v>January</v>
      </c>
      <c r="G1010">
        <f t="shared" si="182"/>
        <v>17</v>
      </c>
      <c r="H1010" s="7">
        <f t="shared" si="184"/>
        <v>-1.1585790121808057</v>
      </c>
      <c r="I1010" s="9">
        <f t="shared" si="185"/>
        <v>-1.1653428323724409E-2</v>
      </c>
      <c r="J1010" s="9">
        <f t="shared" si="186"/>
        <v>69020.855714285717</v>
      </c>
      <c r="K1010" s="9">
        <f t="shared" si="189"/>
        <v>68235.926333333337</v>
      </c>
      <c r="L1010" s="9">
        <f t="shared" si="188"/>
        <v>68087.74033333332</v>
      </c>
      <c r="M1010" s="9">
        <f t="shared" si="187"/>
        <v>1.3177900287319197E-2</v>
      </c>
      <c r="N1010" s="9">
        <f t="shared" si="190"/>
        <v>1.5797906746752775E-2</v>
      </c>
    </row>
    <row r="1011" spans="1:14" x14ac:dyDescent="0.35">
      <c r="A1011" s="1">
        <v>43850</v>
      </c>
      <c r="B1011" s="2" t="s">
        <v>1011</v>
      </c>
      <c r="C1011">
        <f t="shared" si="179"/>
        <v>68245.84</v>
      </c>
      <c r="D1011">
        <f t="shared" si="180"/>
        <v>2020</v>
      </c>
      <c r="E1011">
        <f t="shared" si="181"/>
        <v>1</v>
      </c>
      <c r="F1011" t="str">
        <f t="shared" si="183"/>
        <v>January</v>
      </c>
      <c r="G1011">
        <f t="shared" si="182"/>
        <v>20</v>
      </c>
      <c r="H1011" s="7">
        <f t="shared" si="184"/>
        <v>0.99231553313578225</v>
      </c>
      <c r="I1011" s="9">
        <f t="shared" si="185"/>
        <v>9.8742441283079345E-3</v>
      </c>
      <c r="J1011" s="9">
        <f t="shared" si="186"/>
        <v>68490.525714285701</v>
      </c>
      <c r="K1011" s="9">
        <f t="shared" si="189"/>
        <v>68322.063333333339</v>
      </c>
      <c r="L1011" s="9">
        <f t="shared" si="188"/>
        <v>68139.075666666657</v>
      </c>
      <c r="M1011" s="9">
        <f t="shared" si="187"/>
        <v>1.4909727875046224E-2</v>
      </c>
      <c r="N1011" s="9">
        <f t="shared" si="190"/>
        <v>1.5386445200861073E-2</v>
      </c>
    </row>
    <row r="1012" spans="1:14" x14ac:dyDescent="0.35">
      <c r="A1012" s="1">
        <v>43851</v>
      </c>
      <c r="B1012" s="2" t="s">
        <v>1012</v>
      </c>
      <c r="C1012">
        <f t="shared" si="179"/>
        <v>69083.44</v>
      </c>
      <c r="D1012">
        <f t="shared" si="180"/>
        <v>2020</v>
      </c>
      <c r="E1012">
        <f t="shared" si="181"/>
        <v>1</v>
      </c>
      <c r="F1012" t="str">
        <f t="shared" si="183"/>
        <v>January</v>
      </c>
      <c r="G1012">
        <f t="shared" si="182"/>
        <v>21</v>
      </c>
      <c r="H1012" s="7">
        <f t="shared" si="184"/>
        <v>1.2273275557894898</v>
      </c>
      <c r="I1012" s="9">
        <f t="shared" si="185"/>
        <v>1.2198569548608434E-2</v>
      </c>
      <c r="J1012" s="9">
        <f t="shared" si="186"/>
        <v>68290.237142857135</v>
      </c>
      <c r="K1012" s="9">
        <f t="shared" si="189"/>
        <v>68417.401000000013</v>
      </c>
      <c r="L1012" s="9">
        <f t="shared" si="188"/>
        <v>68202.039888888874</v>
      </c>
      <c r="M1012" s="9">
        <f t="shared" si="187"/>
        <v>1.5265173742590997E-2</v>
      </c>
      <c r="N1012" s="9">
        <f t="shared" si="190"/>
        <v>1.5460616045140164E-2</v>
      </c>
    </row>
    <row r="1013" spans="1:14" x14ac:dyDescent="0.35">
      <c r="A1013" s="1">
        <v>43852</v>
      </c>
      <c r="B1013" s="2" t="s">
        <v>1013</v>
      </c>
      <c r="C1013">
        <f t="shared" si="179"/>
        <v>69696.39</v>
      </c>
      <c r="D1013">
        <f t="shared" si="180"/>
        <v>2020</v>
      </c>
      <c r="E1013">
        <f t="shared" si="181"/>
        <v>1</v>
      </c>
      <c r="F1013" t="str">
        <f t="shared" si="183"/>
        <v>January</v>
      </c>
      <c r="G1013">
        <f t="shared" si="182"/>
        <v>22</v>
      </c>
      <c r="H1013" s="7">
        <f t="shared" si="184"/>
        <v>0.88726039120228684</v>
      </c>
      <c r="I1013" s="9">
        <f t="shared" si="185"/>
        <v>8.8334736498135048E-3</v>
      </c>
      <c r="J1013" s="9">
        <f t="shared" si="186"/>
        <v>68320.612857142856</v>
      </c>
      <c r="K1013" s="9">
        <f t="shared" si="189"/>
        <v>68482.366999999998</v>
      </c>
      <c r="L1013" s="9">
        <f t="shared" si="188"/>
        <v>68251.14455555554</v>
      </c>
      <c r="M1013" s="9">
        <f t="shared" si="187"/>
        <v>1.4875275310170095E-2</v>
      </c>
      <c r="N1013" s="9">
        <f t="shared" si="190"/>
        <v>1.4999962421891014E-2</v>
      </c>
    </row>
    <row r="1014" spans="1:14" x14ac:dyDescent="0.35">
      <c r="A1014" s="1">
        <v>43853</v>
      </c>
      <c r="B1014" s="2" t="s">
        <v>1014</v>
      </c>
      <c r="C1014">
        <f t="shared" si="179"/>
        <v>69211.759999999995</v>
      </c>
      <c r="D1014">
        <f t="shared" si="180"/>
        <v>2020</v>
      </c>
      <c r="E1014">
        <f t="shared" si="181"/>
        <v>1</v>
      </c>
      <c r="F1014" t="str">
        <f t="shared" si="183"/>
        <v>January</v>
      </c>
      <c r="G1014">
        <f t="shared" si="182"/>
        <v>23</v>
      </c>
      <c r="H1014" s="7">
        <f t="shared" si="184"/>
        <v>-0.69534447910430464</v>
      </c>
      <c r="I1014" s="9">
        <f t="shared" si="185"/>
        <v>-6.9777326432505201E-3</v>
      </c>
      <c r="J1014" s="9">
        <f t="shared" si="186"/>
        <v>68552.971428571429</v>
      </c>
      <c r="K1014" s="9">
        <f t="shared" si="189"/>
        <v>68520.82166666667</v>
      </c>
      <c r="L1014" s="9">
        <f t="shared" si="188"/>
        <v>68284.511777777763</v>
      </c>
      <c r="M1014" s="9">
        <f t="shared" si="187"/>
        <v>9.3932769553860245E-3</v>
      </c>
      <c r="N1014" s="9">
        <f t="shared" si="190"/>
        <v>1.5051766034780818E-2</v>
      </c>
    </row>
    <row r="1015" spans="1:14" x14ac:dyDescent="0.35">
      <c r="A1015" s="1">
        <v>43854</v>
      </c>
      <c r="B1015" s="2" t="s">
        <v>1015</v>
      </c>
      <c r="C1015">
        <f t="shared" si="179"/>
        <v>68650.66</v>
      </c>
      <c r="D1015">
        <f t="shared" si="180"/>
        <v>2020</v>
      </c>
      <c r="E1015">
        <f t="shared" si="181"/>
        <v>1</v>
      </c>
      <c r="F1015" t="str">
        <f t="shared" si="183"/>
        <v>January</v>
      </c>
      <c r="G1015">
        <f t="shared" si="182"/>
        <v>24</v>
      </c>
      <c r="H1015" s="7">
        <f t="shared" si="184"/>
        <v>-0.81070037808602369</v>
      </c>
      <c r="I1015" s="9">
        <f t="shared" si="185"/>
        <v>-8.1400442298735828E-3</v>
      </c>
      <c r="J1015" s="9">
        <f t="shared" si="186"/>
        <v>68690.105714285717</v>
      </c>
      <c r="K1015" s="9">
        <f t="shared" si="189"/>
        <v>68548.284333333329</v>
      </c>
      <c r="L1015" s="9">
        <f t="shared" si="188"/>
        <v>68307.265333333315</v>
      </c>
      <c r="M1015" s="9">
        <f t="shared" si="187"/>
        <v>1.0373798667205118E-2</v>
      </c>
      <c r="N1015" s="9">
        <f t="shared" si="190"/>
        <v>1.5119454857378938E-2</v>
      </c>
    </row>
    <row r="1016" spans="1:14" x14ac:dyDescent="0.35">
      <c r="A1016" s="1">
        <v>43857</v>
      </c>
      <c r="B1016" s="2" t="s">
        <v>1016</v>
      </c>
      <c r="C1016">
        <f t="shared" si="179"/>
        <v>67251.89</v>
      </c>
      <c r="D1016">
        <f t="shared" si="180"/>
        <v>2020</v>
      </c>
      <c r="E1016">
        <f t="shared" si="181"/>
        <v>1</v>
      </c>
      <c r="F1016" t="str">
        <f t="shared" si="183"/>
        <v>January</v>
      </c>
      <c r="G1016">
        <f t="shared" si="182"/>
        <v>27</v>
      </c>
      <c r="H1016" s="7">
        <f t="shared" si="184"/>
        <v>-2.0375186487646353</v>
      </c>
      <c r="I1016" s="9">
        <f t="shared" si="185"/>
        <v>-2.0585623975487462E-2</v>
      </c>
      <c r="J1016" s="9">
        <f t="shared" si="186"/>
        <v>68530.751428571428</v>
      </c>
      <c r="K1016" s="9">
        <f t="shared" si="189"/>
        <v>68578.388999999996</v>
      </c>
      <c r="L1016" s="9">
        <f t="shared" si="188"/>
        <v>68315.898999999976</v>
      </c>
      <c r="M1016" s="9">
        <f t="shared" si="187"/>
        <v>1.2650397788242656E-2</v>
      </c>
      <c r="N1016" s="9">
        <f t="shared" si="190"/>
        <v>1.5047575531895514E-2</v>
      </c>
    </row>
    <row r="1017" spans="1:14" x14ac:dyDescent="0.35">
      <c r="A1017" s="1">
        <v>43858</v>
      </c>
      <c r="B1017" s="2" t="s">
        <v>1017</v>
      </c>
      <c r="C1017">
        <f t="shared" si="179"/>
        <v>68416.41</v>
      </c>
      <c r="D1017">
        <f t="shared" si="180"/>
        <v>2020</v>
      </c>
      <c r="E1017">
        <f t="shared" si="181"/>
        <v>1</v>
      </c>
      <c r="F1017" t="str">
        <f t="shared" si="183"/>
        <v>January</v>
      </c>
      <c r="G1017">
        <f t="shared" si="182"/>
        <v>28</v>
      </c>
      <c r="H1017" s="7">
        <f t="shared" si="184"/>
        <v>1.7315795883208696</v>
      </c>
      <c r="I1017" s="9">
        <f t="shared" si="185"/>
        <v>1.7167585958602141E-2</v>
      </c>
      <c r="J1017" s="9">
        <f t="shared" si="186"/>
        <v>68650.912857142859</v>
      </c>
      <c r="K1017" s="9">
        <f t="shared" si="189"/>
        <v>68682.421999999977</v>
      </c>
      <c r="L1017" s="9">
        <f t="shared" si="188"/>
        <v>68336.25533333332</v>
      </c>
      <c r="M1017" s="9">
        <f t="shared" si="187"/>
        <v>1.3759347252986821E-2</v>
      </c>
      <c r="N1017" s="9">
        <f t="shared" si="190"/>
        <v>1.5015521865984805E-2</v>
      </c>
    </row>
    <row r="1018" spans="1:14" x14ac:dyDescent="0.35">
      <c r="A1018" s="1">
        <v>43859</v>
      </c>
      <c r="B1018" s="2" t="s">
        <v>1018</v>
      </c>
      <c r="C1018">
        <f t="shared" si="179"/>
        <v>66966.73</v>
      </c>
      <c r="D1018">
        <f t="shared" si="180"/>
        <v>2020</v>
      </c>
      <c r="E1018">
        <f t="shared" si="181"/>
        <v>1</v>
      </c>
      <c r="F1018" t="str">
        <f t="shared" si="183"/>
        <v>January</v>
      </c>
      <c r="G1018">
        <f t="shared" si="182"/>
        <v>29</v>
      </c>
      <c r="H1018" s="7">
        <f t="shared" si="184"/>
        <v>-2.1189068529026991</v>
      </c>
      <c r="I1018" s="9">
        <f t="shared" si="185"/>
        <v>-2.1416779238374439E-2</v>
      </c>
      <c r="J1018" s="9">
        <f t="shared" si="186"/>
        <v>68468.182857142863</v>
      </c>
      <c r="K1018" s="9">
        <f t="shared" si="189"/>
        <v>68724.223666666658</v>
      </c>
      <c r="L1018" s="9">
        <f t="shared" si="188"/>
        <v>68329.571666666656</v>
      </c>
      <c r="M1018" s="9">
        <f t="shared" si="187"/>
        <v>1.5640842626248378E-2</v>
      </c>
      <c r="N1018" s="9">
        <f t="shared" si="190"/>
        <v>1.555564880791185E-2</v>
      </c>
    </row>
    <row r="1019" spans="1:14" x14ac:dyDescent="0.35">
      <c r="A1019" s="1">
        <v>43860</v>
      </c>
      <c r="B1019" s="2" t="s">
        <v>1019</v>
      </c>
      <c r="C1019">
        <f t="shared" si="179"/>
        <v>66769.119999999995</v>
      </c>
      <c r="D1019">
        <f t="shared" si="180"/>
        <v>2020</v>
      </c>
      <c r="E1019">
        <f t="shared" si="181"/>
        <v>1</v>
      </c>
      <c r="F1019" t="str">
        <f t="shared" si="183"/>
        <v>January</v>
      </c>
      <c r="G1019">
        <f t="shared" si="182"/>
        <v>30</v>
      </c>
      <c r="H1019" s="7">
        <f t="shared" si="184"/>
        <v>-0.2950868289372956</v>
      </c>
      <c r="I1019" s="9">
        <f t="shared" si="185"/>
        <v>-2.9552306852209612E-3</v>
      </c>
      <c r="J1019" s="9">
        <f t="shared" si="186"/>
        <v>68137.565714285709</v>
      </c>
      <c r="K1019" s="9">
        <f t="shared" si="189"/>
        <v>68724.953333333324</v>
      </c>
      <c r="L1019" s="9">
        <f t="shared" si="188"/>
        <v>68316.294999999998</v>
      </c>
      <c r="M1019" s="9">
        <f t="shared" si="187"/>
        <v>1.4218644788693089E-2</v>
      </c>
      <c r="N1019" s="9">
        <f t="shared" si="190"/>
        <v>1.5306070086711318E-2</v>
      </c>
    </row>
    <row r="1020" spans="1:14" x14ac:dyDescent="0.35">
      <c r="A1020" s="1">
        <v>43861</v>
      </c>
      <c r="B1020" s="2" t="s">
        <v>1020</v>
      </c>
      <c r="C1020">
        <f t="shared" si="179"/>
        <v>67978.14</v>
      </c>
      <c r="D1020">
        <f t="shared" si="180"/>
        <v>2020</v>
      </c>
      <c r="E1020">
        <f t="shared" si="181"/>
        <v>1</v>
      </c>
      <c r="F1020" t="str">
        <f t="shared" si="183"/>
        <v>January</v>
      </c>
      <c r="G1020">
        <f t="shared" si="182"/>
        <v>31</v>
      </c>
      <c r="H1020" s="7">
        <f t="shared" si="184"/>
        <v>1.8107472436359864</v>
      </c>
      <c r="I1020" s="9">
        <f t="shared" si="185"/>
        <v>1.7945484693863138E-2</v>
      </c>
      <c r="J1020" s="9">
        <f t="shared" si="186"/>
        <v>67892.101428571419</v>
      </c>
      <c r="K1020" s="9">
        <f t="shared" si="189"/>
        <v>68779.214333333322</v>
      </c>
      <c r="L1020" s="9">
        <f t="shared" si="188"/>
        <v>68313.010888888879</v>
      </c>
      <c r="M1020" s="9">
        <f t="shared" si="187"/>
        <v>1.5988945762132192E-2</v>
      </c>
      <c r="N1020" s="9">
        <f t="shared" si="190"/>
        <v>1.5603807813825345E-2</v>
      </c>
    </row>
    <row r="1021" spans="1:14" x14ac:dyDescent="0.35">
      <c r="A1021" s="1">
        <v>43864</v>
      </c>
      <c r="B1021" s="2" t="s">
        <v>1021</v>
      </c>
      <c r="C1021">
        <f t="shared" si="179"/>
        <v>69682.649999999994</v>
      </c>
      <c r="D1021">
        <f t="shared" si="180"/>
        <v>2020</v>
      </c>
      <c r="E1021">
        <f t="shared" si="181"/>
        <v>2</v>
      </c>
      <c r="F1021" t="str">
        <f t="shared" si="183"/>
        <v>February</v>
      </c>
      <c r="G1021">
        <f t="shared" si="182"/>
        <v>3</v>
      </c>
      <c r="H1021" s="7">
        <f t="shared" si="184"/>
        <v>2.5074384206452174</v>
      </c>
      <c r="I1021" s="9">
        <f t="shared" si="185"/>
        <v>2.476517991481391E-2</v>
      </c>
      <c r="J1021" s="9">
        <f t="shared" si="186"/>
        <v>67959.371428571423</v>
      </c>
      <c r="K1021" s="9">
        <f t="shared" si="189"/>
        <v>68922.273333333302</v>
      </c>
      <c r="L1021" s="9">
        <f t="shared" si="188"/>
        <v>68312.013555555561</v>
      </c>
      <c r="M1021" s="9">
        <f t="shared" si="187"/>
        <v>1.9065468773859357E-2</v>
      </c>
      <c r="N1021" s="9">
        <f t="shared" si="190"/>
        <v>1.591672913150817E-2</v>
      </c>
    </row>
    <row r="1022" spans="1:14" x14ac:dyDescent="0.35">
      <c r="A1022" s="1">
        <v>43865</v>
      </c>
      <c r="B1022" s="2" t="s">
        <v>1022</v>
      </c>
      <c r="C1022">
        <f t="shared" si="179"/>
        <v>70357.58</v>
      </c>
      <c r="D1022">
        <f t="shared" si="180"/>
        <v>2020</v>
      </c>
      <c r="E1022">
        <f t="shared" si="181"/>
        <v>2</v>
      </c>
      <c r="F1022" t="str">
        <f t="shared" si="183"/>
        <v>February</v>
      </c>
      <c r="G1022">
        <f t="shared" si="182"/>
        <v>4</v>
      </c>
      <c r="H1022" s="7">
        <f t="shared" si="184"/>
        <v>0.96857682651277988</v>
      </c>
      <c r="I1022" s="9">
        <f t="shared" si="185"/>
        <v>9.6391619155590386E-3</v>
      </c>
      <c r="J1022" s="9">
        <f t="shared" si="186"/>
        <v>68203.217142857131</v>
      </c>
      <c r="K1022" s="9">
        <f t="shared" si="189"/>
        <v>69017.456333333306</v>
      </c>
      <c r="L1022" s="9">
        <f t="shared" si="188"/>
        <v>68330.336888888894</v>
      </c>
      <c r="M1022" s="9">
        <f t="shared" si="187"/>
        <v>1.8832617017717511E-2</v>
      </c>
      <c r="N1022" s="9">
        <f t="shared" si="190"/>
        <v>1.4980008117680818E-2</v>
      </c>
    </row>
    <row r="1023" spans="1:14" x14ac:dyDescent="0.35">
      <c r="A1023" s="1">
        <v>43866</v>
      </c>
      <c r="B1023" s="2" t="s">
        <v>1023</v>
      </c>
      <c r="C1023">
        <f t="shared" si="179"/>
        <v>71338.990000000005</v>
      </c>
      <c r="D1023">
        <f t="shared" si="180"/>
        <v>2020</v>
      </c>
      <c r="E1023">
        <f t="shared" si="181"/>
        <v>2</v>
      </c>
      <c r="F1023" t="str">
        <f t="shared" si="183"/>
        <v>February</v>
      </c>
      <c r="G1023">
        <f t="shared" si="182"/>
        <v>5</v>
      </c>
      <c r="H1023" s="7">
        <f t="shared" si="184"/>
        <v>1.3948887952087088</v>
      </c>
      <c r="I1023" s="9">
        <f t="shared" si="185"/>
        <v>1.3852497539659701E-2</v>
      </c>
      <c r="J1023" s="9">
        <f t="shared" si="186"/>
        <v>68787.088571428583</v>
      </c>
      <c r="K1023" s="9">
        <f t="shared" si="189"/>
        <v>69205.971999999994</v>
      </c>
      <c r="L1023" s="9">
        <f t="shared" si="188"/>
        <v>68375.656444444452</v>
      </c>
      <c r="M1023" s="9">
        <f t="shared" si="187"/>
        <v>1.5732382739870664E-2</v>
      </c>
      <c r="N1023" s="9">
        <f t="shared" si="190"/>
        <v>1.4121967952240112E-2</v>
      </c>
    </row>
    <row r="1024" spans="1:14" x14ac:dyDescent="0.35">
      <c r="A1024" s="1">
        <v>43867</v>
      </c>
      <c r="B1024" s="2" t="s">
        <v>1024</v>
      </c>
      <c r="C1024">
        <f t="shared" si="179"/>
        <v>72438.25</v>
      </c>
      <c r="D1024">
        <f t="shared" si="180"/>
        <v>2020</v>
      </c>
      <c r="E1024">
        <f t="shared" si="181"/>
        <v>2</v>
      </c>
      <c r="F1024" t="str">
        <f t="shared" si="183"/>
        <v>February</v>
      </c>
      <c r="G1024">
        <f t="shared" si="182"/>
        <v>6</v>
      </c>
      <c r="H1024" s="7">
        <f t="shared" si="184"/>
        <v>1.5408964999364227</v>
      </c>
      <c r="I1024" s="9">
        <f t="shared" si="185"/>
        <v>1.5291452524448593E-2</v>
      </c>
      <c r="J1024" s="9">
        <f t="shared" si="186"/>
        <v>69361.637142857144</v>
      </c>
      <c r="K1024" s="9">
        <f t="shared" si="189"/>
        <v>69407.879333333316</v>
      </c>
      <c r="L1024" s="9">
        <f t="shared" si="188"/>
        <v>68439.238888888896</v>
      </c>
      <c r="M1024" s="9">
        <f t="shared" si="187"/>
        <v>1.5573866983253538E-2</v>
      </c>
      <c r="N1024" s="9">
        <f t="shared" si="190"/>
        <v>1.4238044187602425E-2</v>
      </c>
    </row>
    <row r="1025" spans="1:14" x14ac:dyDescent="0.35">
      <c r="A1025" s="1">
        <v>43868</v>
      </c>
      <c r="B1025" s="2" t="s">
        <v>1025</v>
      </c>
      <c r="C1025">
        <f t="shared" si="179"/>
        <v>71534.570000000007</v>
      </c>
      <c r="D1025">
        <f t="shared" si="180"/>
        <v>2020</v>
      </c>
      <c r="E1025">
        <f t="shared" si="181"/>
        <v>2</v>
      </c>
      <c r="F1025" t="str">
        <f t="shared" si="183"/>
        <v>February</v>
      </c>
      <c r="G1025">
        <f t="shared" si="182"/>
        <v>7</v>
      </c>
      <c r="H1025" s="7">
        <f t="shared" si="184"/>
        <v>-1.2475177133627511</v>
      </c>
      <c r="I1025" s="9">
        <f t="shared" si="185"/>
        <v>-1.2553645442920388E-2</v>
      </c>
      <c r="J1025" s="9">
        <f t="shared" si="186"/>
        <v>70014.185714285719</v>
      </c>
      <c r="K1025" s="9">
        <f t="shared" si="189"/>
        <v>69532.247999999992</v>
      </c>
      <c r="L1025" s="9">
        <f t="shared" si="188"/>
        <v>68483.636666666673</v>
      </c>
      <c r="M1025" s="9">
        <f t="shared" si="187"/>
        <v>1.2899060673622426E-2</v>
      </c>
      <c r="N1025" s="9">
        <f t="shared" si="190"/>
        <v>1.4075544948408845E-2</v>
      </c>
    </row>
    <row r="1026" spans="1:14" x14ac:dyDescent="0.35">
      <c r="A1026" s="1">
        <v>43871</v>
      </c>
      <c r="B1026" s="2" t="s">
        <v>1026</v>
      </c>
      <c r="C1026">
        <f t="shared" si="179"/>
        <v>70264.11</v>
      </c>
      <c r="D1026">
        <f t="shared" si="180"/>
        <v>2020</v>
      </c>
      <c r="E1026">
        <f t="shared" si="181"/>
        <v>2</v>
      </c>
      <c r="F1026" t="str">
        <f t="shared" si="183"/>
        <v>February</v>
      </c>
      <c r="G1026">
        <f t="shared" si="182"/>
        <v>10</v>
      </c>
      <c r="H1026" s="7">
        <f t="shared" si="184"/>
        <v>-1.7760084389967064</v>
      </c>
      <c r="I1026" s="9">
        <f t="shared" si="185"/>
        <v>-1.7919687218786721E-2</v>
      </c>
      <c r="J1026" s="9">
        <f t="shared" si="186"/>
        <v>70513.47</v>
      </c>
      <c r="K1026" s="9">
        <f t="shared" si="189"/>
        <v>69577.358333333323</v>
      </c>
      <c r="L1026" s="9">
        <f t="shared" si="188"/>
        <v>68515.466888888899</v>
      </c>
      <c r="M1026" s="9">
        <f t="shared" si="187"/>
        <v>1.6128794263514722E-2</v>
      </c>
      <c r="N1026" s="9">
        <f t="shared" si="190"/>
        <v>1.4248117068598302E-2</v>
      </c>
    </row>
    <row r="1027" spans="1:14" x14ac:dyDescent="0.35">
      <c r="A1027" s="1">
        <v>43872</v>
      </c>
      <c r="B1027" s="2" t="s">
        <v>1027</v>
      </c>
      <c r="C1027">
        <f t="shared" ref="C1027:C1090" si="191">_xlfn.NUMBERVALUE(B1027,".",",")</f>
        <v>69750.67</v>
      </c>
      <c r="D1027">
        <f t="shared" ref="D1027:D1090" si="192">YEAR(A1027)</f>
        <v>2020</v>
      </c>
      <c r="E1027">
        <f t="shared" ref="E1027:E1090" si="193">MONTH(A1027)</f>
        <v>2</v>
      </c>
      <c r="F1027" t="str">
        <f t="shared" si="183"/>
        <v>February</v>
      </c>
      <c r="G1027">
        <f t="shared" ref="G1027:G1090" si="194">DAY(A1027)</f>
        <v>11</v>
      </c>
      <c r="H1027" s="7">
        <f t="shared" si="184"/>
        <v>-0.73072867499496164</v>
      </c>
      <c r="I1027" s="9">
        <f t="shared" si="185"/>
        <v>-7.3341157477919477E-3</v>
      </c>
      <c r="J1027" s="9">
        <f t="shared" si="186"/>
        <v>70766.68857142856</v>
      </c>
      <c r="K1027" s="9">
        <f t="shared" si="189"/>
        <v>69570.70699999998</v>
      </c>
      <c r="L1027" s="9">
        <f t="shared" si="188"/>
        <v>68541.82644444445</v>
      </c>
      <c r="M1027" s="9">
        <f t="shared" si="187"/>
        <v>1.6175034179741699E-2</v>
      </c>
      <c r="N1027" s="9">
        <f t="shared" si="190"/>
        <v>1.4055624555096756E-2</v>
      </c>
    </row>
    <row r="1028" spans="1:14" x14ac:dyDescent="0.35">
      <c r="A1028" s="1">
        <v>43873</v>
      </c>
      <c r="B1028" s="2" t="s">
        <v>1028</v>
      </c>
      <c r="C1028">
        <f t="shared" si="191"/>
        <v>72264.899999999994</v>
      </c>
      <c r="D1028">
        <f t="shared" si="192"/>
        <v>2020</v>
      </c>
      <c r="E1028">
        <f t="shared" si="193"/>
        <v>2</v>
      </c>
      <c r="F1028" t="str">
        <f t="shared" ref="F1028:F1091" si="195">TEXT(A1028,"mmmm")</f>
        <v>February</v>
      </c>
      <c r="G1028">
        <f t="shared" si="194"/>
        <v>12</v>
      </c>
      <c r="H1028" s="7">
        <f t="shared" ref="H1028:H1091" si="196">((C1028-C1027)/C1027)*100</f>
        <v>3.6045961995777183</v>
      </c>
      <c r="I1028" s="9">
        <f t="shared" ref="I1028:I1091" si="197">LN(C1028/C1027)</f>
        <v>3.5411507713988731E-2</v>
      </c>
      <c r="J1028" s="9">
        <f t="shared" si="186"/>
        <v>71135.581428571415</v>
      </c>
      <c r="K1028" s="9">
        <f t="shared" si="189"/>
        <v>69635.595999999976</v>
      </c>
      <c r="L1028" s="9">
        <f t="shared" si="188"/>
        <v>68611.195222222232</v>
      </c>
      <c r="M1028" s="9">
        <f t="shared" si="187"/>
        <v>1.8779245557563547E-2</v>
      </c>
      <c r="N1028" s="9">
        <f t="shared" si="190"/>
        <v>1.5459749980208109E-2</v>
      </c>
    </row>
    <row r="1029" spans="1:14" x14ac:dyDescent="0.35">
      <c r="A1029" s="1">
        <v>43874</v>
      </c>
      <c r="B1029" s="2" t="s">
        <v>1029</v>
      </c>
      <c r="C1029">
        <f t="shared" si="191"/>
        <v>73350.94</v>
      </c>
      <c r="D1029">
        <f t="shared" si="192"/>
        <v>2020</v>
      </c>
      <c r="E1029">
        <f t="shared" si="193"/>
        <v>2</v>
      </c>
      <c r="F1029" t="str">
        <f t="shared" si="195"/>
        <v>February</v>
      </c>
      <c r="G1029">
        <f t="shared" si="194"/>
        <v>13</v>
      </c>
      <c r="H1029" s="7">
        <f t="shared" si="196"/>
        <v>1.5028596178781237</v>
      </c>
      <c r="I1029" s="9">
        <f t="shared" si="197"/>
        <v>1.4916785672036904E-2</v>
      </c>
      <c r="J1029" s="9">
        <f t="shared" si="186"/>
        <v>71563.204285714281</v>
      </c>
      <c r="K1029" s="9">
        <f t="shared" si="189"/>
        <v>69709.957666666654</v>
      </c>
      <c r="L1029" s="9">
        <f t="shared" si="188"/>
        <v>68678.904111111129</v>
      </c>
      <c r="M1029" s="9">
        <f t="shared" si="187"/>
        <v>1.9090619193864171E-2</v>
      </c>
      <c r="N1029" s="9">
        <f t="shared" si="190"/>
        <v>1.5556475988257873E-2</v>
      </c>
    </row>
    <row r="1030" spans="1:14" x14ac:dyDescent="0.35">
      <c r="A1030" s="1">
        <v>43875</v>
      </c>
      <c r="B1030" s="2" t="s">
        <v>1030</v>
      </c>
      <c r="C1030">
        <f t="shared" si="191"/>
        <v>73783.429999999993</v>
      </c>
      <c r="D1030">
        <f t="shared" si="192"/>
        <v>2020</v>
      </c>
      <c r="E1030">
        <f t="shared" si="193"/>
        <v>2</v>
      </c>
      <c r="F1030" t="str">
        <f t="shared" si="195"/>
        <v>February</v>
      </c>
      <c r="G1030">
        <f t="shared" si="194"/>
        <v>14</v>
      </c>
      <c r="H1030" s="7">
        <f t="shared" si="196"/>
        <v>0.58961752910050047</v>
      </c>
      <c r="I1030" s="9">
        <f t="shared" si="197"/>
        <v>5.8788608753576315E-3</v>
      </c>
      <c r="J1030" s="9">
        <f t="shared" si="186"/>
        <v>71912.41</v>
      </c>
      <c r="K1030" s="9">
        <f t="shared" si="189"/>
        <v>69805.390333333329</v>
      </c>
      <c r="L1030" s="9">
        <f t="shared" si="188"/>
        <v>68744.270222222229</v>
      </c>
      <c r="M1030" s="9">
        <f t="shared" si="187"/>
        <v>1.8775946709625572E-2</v>
      </c>
      <c r="N1030" s="9">
        <f t="shared" si="190"/>
        <v>1.5563400511871472E-2</v>
      </c>
    </row>
    <row r="1031" spans="1:14" x14ac:dyDescent="0.35">
      <c r="A1031" s="1">
        <v>43878</v>
      </c>
      <c r="B1031" s="2" t="s">
        <v>1031</v>
      </c>
      <c r="C1031">
        <f t="shared" si="191"/>
        <v>73830.27</v>
      </c>
      <c r="D1031">
        <f t="shared" si="192"/>
        <v>2020</v>
      </c>
      <c r="E1031">
        <f t="shared" si="193"/>
        <v>2</v>
      </c>
      <c r="F1031" t="str">
        <f t="shared" si="195"/>
        <v>February</v>
      </c>
      <c r="G1031">
        <f t="shared" si="194"/>
        <v>17</v>
      </c>
      <c r="H1031" s="7">
        <f t="shared" si="196"/>
        <v>6.3483088276068314E-2</v>
      </c>
      <c r="I1031" s="9">
        <f t="shared" si="197"/>
        <v>6.34629462876298E-4</v>
      </c>
      <c r="J1031" s="9">
        <f t="shared" si="186"/>
        <v>72111.27</v>
      </c>
      <c r="K1031" s="9">
        <f t="shared" si="189"/>
        <v>69898.565999999992</v>
      </c>
      <c r="L1031" s="9">
        <f t="shared" si="188"/>
        <v>68795.63966666667</v>
      </c>
      <c r="M1031" s="9">
        <f t="shared" si="187"/>
        <v>1.8221734285104207E-2</v>
      </c>
      <c r="N1031" s="9">
        <f t="shared" si="190"/>
        <v>1.5563788009255387E-2</v>
      </c>
    </row>
    <row r="1032" spans="1:14" x14ac:dyDescent="0.35">
      <c r="A1032" s="1">
        <v>43879</v>
      </c>
      <c r="B1032" s="2" t="s">
        <v>1032</v>
      </c>
      <c r="C1032">
        <f t="shared" si="191"/>
        <v>73382.83</v>
      </c>
      <c r="D1032">
        <f t="shared" si="192"/>
        <v>2020</v>
      </c>
      <c r="E1032">
        <f t="shared" si="193"/>
        <v>2</v>
      </c>
      <c r="F1032" t="str">
        <f t="shared" si="195"/>
        <v>February</v>
      </c>
      <c r="G1032">
        <f t="shared" si="194"/>
        <v>18</v>
      </c>
      <c r="H1032" s="7">
        <f t="shared" si="196"/>
        <v>-0.60603868846748399</v>
      </c>
      <c r="I1032" s="9">
        <f t="shared" si="197"/>
        <v>-6.0788255640366407E-3</v>
      </c>
      <c r="J1032" s="9">
        <f t="shared" si="186"/>
        <v>72375.307142857142</v>
      </c>
      <c r="K1032" s="9">
        <f t="shared" si="189"/>
        <v>69983.014333333325</v>
      </c>
      <c r="L1032" s="9">
        <f t="shared" si="188"/>
        <v>68831.303444444449</v>
      </c>
      <c r="M1032" s="9">
        <f t="shared" si="187"/>
        <v>1.7465900711231372E-2</v>
      </c>
      <c r="N1032" s="9">
        <f t="shared" si="190"/>
        <v>1.5606506940830758E-2</v>
      </c>
    </row>
    <row r="1033" spans="1:14" x14ac:dyDescent="0.35">
      <c r="A1033" s="1">
        <v>43880</v>
      </c>
      <c r="B1033" s="2" t="s">
        <v>1033</v>
      </c>
      <c r="C1033">
        <f t="shared" si="191"/>
        <v>73128.649999999994</v>
      </c>
      <c r="D1033">
        <f t="shared" si="192"/>
        <v>2020</v>
      </c>
      <c r="E1033">
        <f t="shared" si="193"/>
        <v>2</v>
      </c>
      <c r="F1033" t="str">
        <f t="shared" si="195"/>
        <v>February</v>
      </c>
      <c r="G1033">
        <f t="shared" si="194"/>
        <v>19</v>
      </c>
      <c r="H1033" s="7">
        <f t="shared" si="196"/>
        <v>-0.34637530332368971</v>
      </c>
      <c r="I1033" s="9">
        <f t="shared" si="197"/>
        <v>-3.4697657140839154E-3</v>
      </c>
      <c r="J1033" s="9">
        <f t="shared" ref="J1033:J1096" si="198">AVERAGE(C1027:C1033)</f>
        <v>72784.527142857158</v>
      </c>
      <c r="K1033" s="9">
        <f t="shared" si="189"/>
        <v>70017.473666666672</v>
      </c>
      <c r="L1033" s="9">
        <f t="shared" si="188"/>
        <v>68862.280666666673</v>
      </c>
      <c r="M1033" s="9">
        <f t="shared" si="187"/>
        <v>1.5199373936231339E-2</v>
      </c>
      <c r="N1033" s="9">
        <f t="shared" si="190"/>
        <v>1.5319660918240552E-2</v>
      </c>
    </row>
    <row r="1034" spans="1:14" x14ac:dyDescent="0.35">
      <c r="A1034" s="1">
        <v>43881</v>
      </c>
      <c r="B1034" s="2" t="s">
        <v>1034</v>
      </c>
      <c r="C1034">
        <f t="shared" si="191"/>
        <v>73801.88</v>
      </c>
      <c r="D1034">
        <f t="shared" si="192"/>
        <v>2020</v>
      </c>
      <c r="E1034">
        <f t="shared" si="193"/>
        <v>2</v>
      </c>
      <c r="F1034" t="str">
        <f t="shared" si="195"/>
        <v>February</v>
      </c>
      <c r="G1034">
        <f t="shared" si="194"/>
        <v>20</v>
      </c>
      <c r="H1034" s="7">
        <f t="shared" si="196"/>
        <v>0.92061045841815825</v>
      </c>
      <c r="I1034" s="9">
        <f t="shared" si="197"/>
        <v>9.1639867004597881E-3</v>
      </c>
      <c r="J1034" s="9">
        <f t="shared" si="198"/>
        <v>73363.271428571432</v>
      </c>
      <c r="K1034" s="9">
        <f t="shared" si="189"/>
        <v>70078.931333333327</v>
      </c>
      <c r="L1034" s="9">
        <f t="shared" si="188"/>
        <v>68906.64922222223</v>
      </c>
      <c r="M1034" s="9">
        <f t="shared" ref="M1034:M1097" si="199">STDEV(I1028:I1034)</f>
        <v>1.40776090204275E-2</v>
      </c>
      <c r="N1034" s="9">
        <f t="shared" si="190"/>
        <v>1.539353318274117E-2</v>
      </c>
    </row>
    <row r="1035" spans="1:14" x14ac:dyDescent="0.35">
      <c r="A1035" s="1">
        <v>43882</v>
      </c>
      <c r="B1035" s="2" t="s">
        <v>1035</v>
      </c>
      <c r="C1035">
        <f t="shared" si="191"/>
        <v>74426.399999999994</v>
      </c>
      <c r="D1035">
        <f t="shared" si="192"/>
        <v>2020</v>
      </c>
      <c r="E1035">
        <f t="shared" si="193"/>
        <v>2</v>
      </c>
      <c r="F1035" t="str">
        <f t="shared" si="195"/>
        <v>February</v>
      </c>
      <c r="G1035">
        <f t="shared" si="194"/>
        <v>21</v>
      </c>
      <c r="H1035" s="7">
        <f t="shared" si="196"/>
        <v>0.84621150572314618</v>
      </c>
      <c r="I1035" s="9">
        <f t="shared" si="197"/>
        <v>8.4265120716511804E-3</v>
      </c>
      <c r="J1035" s="9">
        <f t="shared" si="198"/>
        <v>73672.057142857142</v>
      </c>
      <c r="K1035" s="9">
        <f t="shared" si="189"/>
        <v>70210.296000000002</v>
      </c>
      <c r="L1035" s="9">
        <f t="shared" si="188"/>
        <v>68958.361777777784</v>
      </c>
      <c r="M1035" s="9">
        <f t="shared" si="199"/>
        <v>7.4984811910365455E-3</v>
      </c>
      <c r="N1035" s="9">
        <f t="shared" si="190"/>
        <v>1.4899613169006416E-2</v>
      </c>
    </row>
    <row r="1036" spans="1:14" x14ac:dyDescent="0.35">
      <c r="A1036" s="1">
        <v>43885</v>
      </c>
      <c r="B1036" s="2" t="s">
        <v>1036</v>
      </c>
      <c r="C1036">
        <f t="shared" si="191"/>
        <v>74776.11</v>
      </c>
      <c r="D1036">
        <f t="shared" si="192"/>
        <v>2020</v>
      </c>
      <c r="E1036">
        <f t="shared" si="193"/>
        <v>2</v>
      </c>
      <c r="F1036" t="str">
        <f t="shared" si="195"/>
        <v>February</v>
      </c>
      <c r="G1036">
        <f t="shared" si="194"/>
        <v>24</v>
      </c>
      <c r="H1036" s="7">
        <f t="shared" si="196"/>
        <v>0.46987359324111666</v>
      </c>
      <c r="I1036" s="9">
        <f t="shared" si="197"/>
        <v>4.6877313310762078E-3</v>
      </c>
      <c r="J1036" s="9">
        <f t="shared" si="198"/>
        <v>73875.652857142864</v>
      </c>
      <c r="K1036" s="9">
        <f t="shared" si="189"/>
        <v>70386.707666666654</v>
      </c>
      <c r="L1036" s="9">
        <f t="shared" si="188"/>
        <v>69020.367444444462</v>
      </c>
      <c r="M1036" s="9">
        <f t="shared" si="199"/>
        <v>5.8880531576745816E-3</v>
      </c>
      <c r="N1036" s="9">
        <f t="shared" si="190"/>
        <v>1.459110080671004E-2</v>
      </c>
    </row>
    <row r="1037" spans="1:14" x14ac:dyDescent="0.35">
      <c r="A1037" s="1">
        <v>43886</v>
      </c>
      <c r="B1037" s="2" t="s">
        <v>1037</v>
      </c>
      <c r="C1037">
        <f t="shared" si="191"/>
        <v>74008.070000000007</v>
      </c>
      <c r="D1037">
        <f t="shared" si="192"/>
        <v>2020</v>
      </c>
      <c r="E1037">
        <f t="shared" si="193"/>
        <v>2</v>
      </c>
      <c r="F1037" t="str">
        <f t="shared" si="195"/>
        <v>February</v>
      </c>
      <c r="G1037">
        <f t="shared" si="194"/>
        <v>25</v>
      </c>
      <c r="H1037" s="7">
        <f t="shared" si="196"/>
        <v>-1.0271194904361747</v>
      </c>
      <c r="I1037" s="9">
        <f t="shared" si="197"/>
        <v>-1.032430762717074E-2</v>
      </c>
      <c r="J1037" s="9">
        <f t="shared" si="198"/>
        <v>73907.744285714289</v>
      </c>
      <c r="K1037" s="9">
        <f t="shared" si="189"/>
        <v>70600.801666666666</v>
      </c>
      <c r="L1037" s="9">
        <f t="shared" si="188"/>
        <v>69068.019000000015</v>
      </c>
      <c r="M1037" s="9">
        <f t="shared" si="199"/>
        <v>7.4344341350877129E-3</v>
      </c>
      <c r="N1037" s="9">
        <f t="shared" si="190"/>
        <v>1.3668627984107666E-2</v>
      </c>
    </row>
    <row r="1038" spans="1:14" x14ac:dyDescent="0.35">
      <c r="A1038" s="1">
        <v>43887</v>
      </c>
      <c r="B1038" s="2" t="s">
        <v>1038</v>
      </c>
      <c r="C1038">
        <f t="shared" si="191"/>
        <v>74359.03</v>
      </c>
      <c r="D1038">
        <f t="shared" si="192"/>
        <v>2020</v>
      </c>
      <c r="E1038">
        <f t="shared" si="193"/>
        <v>2</v>
      </c>
      <c r="F1038" t="str">
        <f t="shared" si="195"/>
        <v>February</v>
      </c>
      <c r="G1038">
        <f t="shared" si="194"/>
        <v>26</v>
      </c>
      <c r="H1038" s="7">
        <f t="shared" si="196"/>
        <v>0.47421855481434899</v>
      </c>
      <c r="I1038" s="9">
        <f t="shared" si="197"/>
        <v>4.7309768082382797E-3</v>
      </c>
      <c r="J1038" s="9">
        <f t="shared" si="198"/>
        <v>73983.281428571427</v>
      </c>
      <c r="K1038" s="9">
        <f t="shared" si="189"/>
        <v>70823.078666666668</v>
      </c>
      <c r="L1038" s="9">
        <f t="shared" si="188"/>
        <v>69105.215111111131</v>
      </c>
      <c r="M1038" s="9">
        <f t="shared" si="199"/>
        <v>7.6119333569252632E-3</v>
      </c>
      <c r="N1038" s="9">
        <f t="shared" si="190"/>
        <v>1.366915724001295E-2</v>
      </c>
    </row>
    <row r="1039" spans="1:14" x14ac:dyDescent="0.35">
      <c r="A1039" s="1">
        <v>43888</v>
      </c>
      <c r="B1039" s="2" t="s">
        <v>1039</v>
      </c>
      <c r="C1039">
        <f t="shared" si="191"/>
        <v>75286.61</v>
      </c>
      <c r="D1039">
        <f t="shared" si="192"/>
        <v>2020</v>
      </c>
      <c r="E1039">
        <f t="shared" si="193"/>
        <v>2</v>
      </c>
      <c r="F1039" t="str">
        <f t="shared" si="195"/>
        <v>February</v>
      </c>
      <c r="G1039">
        <f t="shared" si="194"/>
        <v>27</v>
      </c>
      <c r="H1039" s="7">
        <f t="shared" si="196"/>
        <v>1.2474342389888649</v>
      </c>
      <c r="I1039" s="9">
        <f t="shared" si="197"/>
        <v>1.2397178827979818E-2</v>
      </c>
      <c r="J1039" s="9">
        <f t="shared" si="198"/>
        <v>74255.25</v>
      </c>
      <c r="K1039" s="9">
        <f t="shared" si="189"/>
        <v>71053.72</v>
      </c>
      <c r="L1039" s="9">
        <f t="shared" si="188"/>
        <v>69153.206888888904</v>
      </c>
      <c r="M1039" s="9">
        <f t="shared" si="199"/>
        <v>7.936723025690132E-3</v>
      </c>
      <c r="N1039" s="9">
        <f t="shared" si="190"/>
        <v>1.3718519558005555E-2</v>
      </c>
    </row>
    <row r="1040" spans="1:14" x14ac:dyDescent="0.35">
      <c r="A1040" s="1">
        <v>43889</v>
      </c>
      <c r="B1040" s="2" t="s">
        <v>1040</v>
      </c>
      <c r="C1040">
        <f t="shared" si="191"/>
        <v>75835.070000000007</v>
      </c>
      <c r="D1040">
        <f t="shared" si="192"/>
        <v>2020</v>
      </c>
      <c r="E1040">
        <f t="shared" si="193"/>
        <v>2</v>
      </c>
      <c r="F1040" t="str">
        <f t="shared" si="195"/>
        <v>February</v>
      </c>
      <c r="G1040">
        <f t="shared" si="194"/>
        <v>28</v>
      </c>
      <c r="H1040" s="7">
        <f t="shared" si="196"/>
        <v>0.72849607652676396</v>
      </c>
      <c r="I1040" s="9">
        <f t="shared" si="197"/>
        <v>7.2585536110896642E-3</v>
      </c>
      <c r="J1040" s="9">
        <f t="shared" si="198"/>
        <v>74641.881428571432</v>
      </c>
      <c r="K1040" s="9">
        <f t="shared" si="189"/>
        <v>71329.046333333317</v>
      </c>
      <c r="L1040" s="9">
        <f t="shared" si="188"/>
        <v>69201.322222222239</v>
      </c>
      <c r="M1040" s="9">
        <f t="shared" si="199"/>
        <v>7.3444607527828401E-3</v>
      </c>
      <c r="N1040" s="9">
        <f t="shared" si="190"/>
        <v>1.34435580357497E-2</v>
      </c>
    </row>
    <row r="1041" spans="1:14" x14ac:dyDescent="0.35">
      <c r="A1041" s="1">
        <v>43892</v>
      </c>
      <c r="B1041" s="2" t="s">
        <v>1041</v>
      </c>
      <c r="C1041">
        <f t="shared" si="191"/>
        <v>75907.899999999994</v>
      </c>
      <c r="D1041">
        <f t="shared" si="192"/>
        <v>2020</v>
      </c>
      <c r="E1041">
        <f t="shared" si="193"/>
        <v>3</v>
      </c>
      <c r="F1041" t="str">
        <f t="shared" si="195"/>
        <v>March</v>
      </c>
      <c r="G1041">
        <f t="shared" si="194"/>
        <v>2</v>
      </c>
      <c r="H1041" s="7">
        <f t="shared" si="196"/>
        <v>9.6037361078439284E-2</v>
      </c>
      <c r="I1041" s="9">
        <f t="shared" si="197"/>
        <v>9.5991274709218602E-4</v>
      </c>
      <c r="J1041" s="9">
        <f t="shared" si="198"/>
        <v>74942.741428571419</v>
      </c>
      <c r="K1041" s="9">
        <f t="shared" si="189"/>
        <v>71584.448333333334</v>
      </c>
      <c r="L1041" s="9">
        <f t="shared" si="188"/>
        <v>69258.736333333363</v>
      </c>
      <c r="M1041" s="9">
        <f t="shared" si="199"/>
        <v>7.2589869587455415E-3</v>
      </c>
      <c r="N1041" s="9">
        <f t="shared" si="190"/>
        <v>1.3404133144814916E-2</v>
      </c>
    </row>
    <row r="1042" spans="1:14" x14ac:dyDescent="0.35">
      <c r="A1042" s="1">
        <v>43893</v>
      </c>
      <c r="B1042" s="2" t="s">
        <v>1042</v>
      </c>
      <c r="C1042">
        <f t="shared" si="191"/>
        <v>75497.149999999994</v>
      </c>
      <c r="D1042">
        <f t="shared" si="192"/>
        <v>2020</v>
      </c>
      <c r="E1042">
        <f t="shared" si="193"/>
        <v>3</v>
      </c>
      <c r="F1042" t="str">
        <f t="shared" si="195"/>
        <v>March</v>
      </c>
      <c r="G1042">
        <f t="shared" si="194"/>
        <v>3</v>
      </c>
      <c r="H1042" s="7">
        <f t="shared" si="196"/>
        <v>-0.54111627380022376</v>
      </c>
      <c r="I1042" s="9">
        <f t="shared" si="197"/>
        <v>-5.4258561085412434E-3</v>
      </c>
      <c r="J1042" s="9">
        <f t="shared" si="198"/>
        <v>75095.705714285723</v>
      </c>
      <c r="K1042" s="9">
        <f t="shared" si="189"/>
        <v>71798.238666666672</v>
      </c>
      <c r="L1042" s="9">
        <f t="shared" si="188"/>
        <v>69311.690000000031</v>
      </c>
      <c r="M1042" s="9">
        <f t="shared" si="199"/>
        <v>7.7302219561680456E-3</v>
      </c>
      <c r="N1042" s="9">
        <f t="shared" si="190"/>
        <v>1.339808856322683E-2</v>
      </c>
    </row>
    <row r="1043" spans="1:14" x14ac:dyDescent="0.35">
      <c r="A1043" s="1">
        <v>43894</v>
      </c>
      <c r="B1043" s="2" t="s">
        <v>1043</v>
      </c>
      <c r="C1043">
        <f t="shared" si="191"/>
        <v>75425.31</v>
      </c>
      <c r="D1043">
        <f t="shared" si="192"/>
        <v>2020</v>
      </c>
      <c r="E1043">
        <f t="shared" si="193"/>
        <v>3</v>
      </c>
      <c r="F1043" t="str">
        <f t="shared" si="195"/>
        <v>March</v>
      </c>
      <c r="G1043">
        <f t="shared" si="194"/>
        <v>4</v>
      </c>
      <c r="H1043" s="7">
        <f t="shared" si="196"/>
        <v>-9.5155909858844354E-2</v>
      </c>
      <c r="I1043" s="9">
        <f t="shared" si="197"/>
        <v>-9.520121183537011E-4</v>
      </c>
      <c r="J1043" s="9">
        <f t="shared" si="198"/>
        <v>75188.448571428584</v>
      </c>
      <c r="K1043" s="9">
        <f t="shared" si="189"/>
        <v>71989.202666666664</v>
      </c>
      <c r="L1043" s="9">
        <f t="shared" si="188"/>
        <v>69357.918222222244</v>
      </c>
      <c r="M1043" s="9">
        <f t="shared" si="199"/>
        <v>7.7021921123598142E-3</v>
      </c>
      <c r="N1043" s="9">
        <f t="shared" si="190"/>
        <v>1.3369233446680569E-2</v>
      </c>
    </row>
    <row r="1044" spans="1:14" x14ac:dyDescent="0.35">
      <c r="A1044" s="1">
        <v>43895</v>
      </c>
      <c r="B1044" s="2" t="s">
        <v>1044</v>
      </c>
      <c r="C1044">
        <f t="shared" si="191"/>
        <v>74776.39</v>
      </c>
      <c r="D1044">
        <f t="shared" si="192"/>
        <v>2020</v>
      </c>
      <c r="E1044">
        <f t="shared" si="193"/>
        <v>3</v>
      </c>
      <c r="F1044" t="str">
        <f t="shared" si="195"/>
        <v>March</v>
      </c>
      <c r="G1044">
        <f t="shared" si="194"/>
        <v>5</v>
      </c>
      <c r="H1044" s="7">
        <f t="shared" si="196"/>
        <v>-0.86034780632654773</v>
      </c>
      <c r="I1044" s="9">
        <f t="shared" si="197"/>
        <v>-8.6407016358959251E-3</v>
      </c>
      <c r="J1044" s="9">
        <f t="shared" si="198"/>
        <v>75298.208571428564</v>
      </c>
      <c r="K1044" s="9">
        <f t="shared" si="189"/>
        <v>72174.690333333332</v>
      </c>
      <c r="L1044" s="9">
        <f t="shared" si="188"/>
        <v>69413.823666666693</v>
      </c>
      <c r="M1044" s="9">
        <f t="shared" si="199"/>
        <v>7.2966865046827931E-3</v>
      </c>
      <c r="N1044" s="9">
        <f t="shared" si="190"/>
        <v>1.3413829912533561E-2</v>
      </c>
    </row>
    <row r="1045" spans="1:14" x14ac:dyDescent="0.35">
      <c r="A1045" s="1">
        <v>43896</v>
      </c>
      <c r="B1045" s="2" t="s">
        <v>1045</v>
      </c>
      <c r="C1045">
        <f t="shared" si="191"/>
        <v>74194.350000000006</v>
      </c>
      <c r="D1045">
        <f t="shared" si="192"/>
        <v>2020</v>
      </c>
      <c r="E1045">
        <f t="shared" si="193"/>
        <v>3</v>
      </c>
      <c r="F1045" t="str">
        <f t="shared" si="195"/>
        <v>March</v>
      </c>
      <c r="G1045">
        <f t="shared" si="194"/>
        <v>6</v>
      </c>
      <c r="H1045" s="7">
        <f t="shared" si="196"/>
        <v>-0.77837402955664692</v>
      </c>
      <c r="I1045" s="9">
        <f t="shared" si="197"/>
        <v>-7.8141917223173568E-3</v>
      </c>
      <c r="J1045" s="9">
        <f t="shared" si="198"/>
        <v>75274.682857142863</v>
      </c>
      <c r="K1045" s="9">
        <f t="shared" si="189"/>
        <v>72359.48000000001</v>
      </c>
      <c r="L1045" s="9">
        <f t="shared" si="188"/>
        <v>69457.470555555585</v>
      </c>
      <c r="M1045" s="9">
        <f t="shared" si="199"/>
        <v>7.881046939906055E-3</v>
      </c>
      <c r="N1045" s="9">
        <f t="shared" si="190"/>
        <v>1.3404981033640935E-2</v>
      </c>
    </row>
    <row r="1046" spans="1:14" x14ac:dyDescent="0.35">
      <c r="A1046" s="1">
        <v>43899</v>
      </c>
      <c r="B1046" s="2" t="s">
        <v>1046</v>
      </c>
      <c r="C1046">
        <f t="shared" si="191"/>
        <v>74324.67</v>
      </c>
      <c r="D1046">
        <f t="shared" si="192"/>
        <v>2020</v>
      </c>
      <c r="E1046">
        <f t="shared" si="193"/>
        <v>3</v>
      </c>
      <c r="F1046" t="str">
        <f t="shared" si="195"/>
        <v>March</v>
      </c>
      <c r="G1046">
        <f t="shared" si="194"/>
        <v>9</v>
      </c>
      <c r="H1046" s="7">
        <f t="shared" si="196"/>
        <v>0.17564679790306462</v>
      </c>
      <c r="I1046" s="9">
        <f t="shared" si="197"/>
        <v>1.7549271931136244E-3</v>
      </c>
      <c r="J1046" s="9">
        <f t="shared" si="198"/>
        <v>75137.262857142865</v>
      </c>
      <c r="K1046" s="9">
        <f t="shared" si="189"/>
        <v>72595.239333333346</v>
      </c>
      <c r="L1046" s="9">
        <f t="shared" si="188"/>
        <v>69510.863888888911</v>
      </c>
      <c r="M1046" s="9">
        <f t="shared" si="199"/>
        <v>5.760989873022964E-3</v>
      </c>
      <c r="N1046" s="9">
        <f t="shared" si="190"/>
        <v>1.2673794259257449E-2</v>
      </c>
    </row>
    <row r="1047" spans="1:14" x14ac:dyDescent="0.35">
      <c r="A1047" s="1">
        <v>43900</v>
      </c>
      <c r="B1047" s="2" t="s">
        <v>1047</v>
      </c>
      <c r="C1047">
        <f t="shared" si="191"/>
        <v>74349.94</v>
      </c>
      <c r="D1047">
        <f t="shared" si="192"/>
        <v>2020</v>
      </c>
      <c r="E1047">
        <f t="shared" si="193"/>
        <v>3</v>
      </c>
      <c r="F1047" t="str">
        <f t="shared" si="195"/>
        <v>March</v>
      </c>
      <c r="G1047">
        <f t="shared" si="194"/>
        <v>10</v>
      </c>
      <c r="H1047" s="7">
        <f t="shared" si="196"/>
        <v>3.3999478235159433E-2</v>
      </c>
      <c r="I1047" s="9">
        <f t="shared" si="197"/>
        <v>3.3993699722307082E-4</v>
      </c>
      <c r="J1047" s="9">
        <f t="shared" si="198"/>
        <v>74925.101428571419</v>
      </c>
      <c r="K1047" s="9">
        <f t="shared" si="189"/>
        <v>72793.023666666661</v>
      </c>
      <c r="L1047" s="9">
        <f t="shared" si="188"/>
        <v>69573.451888888914</v>
      </c>
      <c r="M1047" s="9">
        <f t="shared" si="199"/>
        <v>4.3647275245819166E-3</v>
      </c>
      <c r="N1047" s="9">
        <f t="shared" si="190"/>
        <v>1.2410033746326973E-2</v>
      </c>
    </row>
    <row r="1048" spans="1:14" x14ac:dyDescent="0.35">
      <c r="A1048" s="1">
        <v>43901</v>
      </c>
      <c r="B1048" s="2" t="s">
        <v>1048</v>
      </c>
      <c r="C1048">
        <f t="shared" si="191"/>
        <v>74838.09</v>
      </c>
      <c r="D1048">
        <f t="shared" si="192"/>
        <v>2020</v>
      </c>
      <c r="E1048">
        <f t="shared" si="193"/>
        <v>3</v>
      </c>
      <c r="F1048" t="str">
        <f t="shared" si="195"/>
        <v>March</v>
      </c>
      <c r="G1048">
        <f t="shared" si="194"/>
        <v>11</v>
      </c>
      <c r="H1048" s="7">
        <f t="shared" si="196"/>
        <v>0.65655735566161078</v>
      </c>
      <c r="I1048" s="9">
        <f t="shared" si="197"/>
        <v>6.5441140566238169E-3</v>
      </c>
      <c r="J1048" s="9">
        <f t="shared" si="198"/>
        <v>74772.271428571417</v>
      </c>
      <c r="K1048" s="9">
        <f t="shared" si="189"/>
        <v>73055.402333333332</v>
      </c>
      <c r="L1048" s="9">
        <f t="shared" si="188"/>
        <v>69642.646555555577</v>
      </c>
      <c r="M1048" s="9">
        <f t="shared" si="199"/>
        <v>5.527353436887583E-3</v>
      </c>
      <c r="N1048" s="9">
        <f t="shared" si="190"/>
        <v>1.1550954093371094E-2</v>
      </c>
    </row>
    <row r="1049" spans="1:14" x14ac:dyDescent="0.35">
      <c r="A1049" s="1">
        <v>43902</v>
      </c>
      <c r="B1049" s="2" t="s">
        <v>1049</v>
      </c>
      <c r="C1049">
        <f t="shared" si="191"/>
        <v>75751.41</v>
      </c>
      <c r="D1049">
        <f t="shared" si="192"/>
        <v>2020</v>
      </c>
      <c r="E1049">
        <f t="shared" si="193"/>
        <v>3</v>
      </c>
      <c r="F1049" t="str">
        <f t="shared" si="195"/>
        <v>March</v>
      </c>
      <c r="G1049">
        <f t="shared" si="194"/>
        <v>12</v>
      </c>
      <c r="H1049" s="7">
        <f t="shared" si="196"/>
        <v>1.2203945878362301</v>
      </c>
      <c r="I1049" s="9">
        <f t="shared" si="197"/>
        <v>1.2130078109114166E-2</v>
      </c>
      <c r="J1049" s="9">
        <f t="shared" si="198"/>
        <v>74808.594285714295</v>
      </c>
      <c r="K1049" s="9">
        <f t="shared" si="189"/>
        <v>73354.811999999991</v>
      </c>
      <c r="L1049" s="9">
        <f t="shared" si="188"/>
        <v>69728.74855555559</v>
      </c>
      <c r="M1049" s="9">
        <f t="shared" si="199"/>
        <v>7.3956555821249751E-3</v>
      </c>
      <c r="N1049" s="9">
        <f t="shared" si="190"/>
        <v>1.1579363997820724E-2</v>
      </c>
    </row>
    <row r="1050" spans="1:14" x14ac:dyDescent="0.35">
      <c r="A1050" s="1">
        <v>43903</v>
      </c>
      <c r="B1050" s="2" t="s">
        <v>1050</v>
      </c>
      <c r="C1050">
        <f t="shared" si="191"/>
        <v>74847.63</v>
      </c>
      <c r="D1050">
        <f t="shared" si="192"/>
        <v>2020</v>
      </c>
      <c r="E1050">
        <f t="shared" si="193"/>
        <v>3</v>
      </c>
      <c r="F1050" t="str">
        <f t="shared" si="195"/>
        <v>March</v>
      </c>
      <c r="G1050">
        <f t="shared" si="194"/>
        <v>13</v>
      </c>
      <c r="H1050" s="7">
        <f t="shared" si="196"/>
        <v>-1.1930867029405774</v>
      </c>
      <c r="I1050" s="9">
        <f t="shared" si="197"/>
        <v>-1.200261103993858E-2</v>
      </c>
      <c r="J1050" s="9">
        <f t="shared" si="198"/>
        <v>74726.068571428565</v>
      </c>
      <c r="K1050" s="9">
        <f t="shared" si="189"/>
        <v>73583.794999999998</v>
      </c>
      <c r="L1050" s="9">
        <f t="shared" si="188"/>
        <v>69797.693444444463</v>
      </c>
      <c r="M1050" s="9">
        <f t="shared" si="199"/>
        <v>8.7986829922414578E-3</v>
      </c>
      <c r="N1050" s="9">
        <f t="shared" si="190"/>
        <v>1.1644875137492273E-2</v>
      </c>
    </row>
    <row r="1051" spans="1:14" x14ac:dyDescent="0.35">
      <c r="A1051" s="1">
        <v>43906</v>
      </c>
      <c r="B1051" s="2" t="s">
        <v>1051</v>
      </c>
      <c r="C1051">
        <f t="shared" si="191"/>
        <v>74124.27</v>
      </c>
      <c r="D1051">
        <f t="shared" si="192"/>
        <v>2020</v>
      </c>
      <c r="E1051">
        <f t="shared" si="193"/>
        <v>3</v>
      </c>
      <c r="F1051" t="str">
        <f t="shared" si="195"/>
        <v>March</v>
      </c>
      <c r="G1051">
        <f t="shared" si="194"/>
        <v>16</v>
      </c>
      <c r="H1051" s="7">
        <f t="shared" si="196"/>
        <v>-0.96644342646520742</v>
      </c>
      <c r="I1051" s="9">
        <f t="shared" si="197"/>
        <v>-9.7114379976372331E-3</v>
      </c>
      <c r="J1051" s="9">
        <f t="shared" si="198"/>
        <v>74632.90857142859</v>
      </c>
      <c r="K1051" s="9">
        <f t="shared" si="189"/>
        <v>73731.849000000002</v>
      </c>
      <c r="L1051" s="9">
        <f t="shared" si="188"/>
        <v>69855.363000000027</v>
      </c>
      <c r="M1051" s="9">
        <f t="shared" si="199"/>
        <v>8.959495608065313E-3</v>
      </c>
      <c r="N1051" s="9">
        <f t="shared" si="190"/>
        <v>1.113418778045849E-2</v>
      </c>
    </row>
    <row r="1052" spans="1:14" x14ac:dyDescent="0.35">
      <c r="A1052" s="1">
        <v>43907</v>
      </c>
      <c r="B1052" s="2" t="s">
        <v>1052</v>
      </c>
      <c r="C1052">
        <f t="shared" si="191"/>
        <v>73484.3</v>
      </c>
      <c r="D1052">
        <f t="shared" si="192"/>
        <v>2020</v>
      </c>
      <c r="E1052">
        <f t="shared" si="193"/>
        <v>3</v>
      </c>
      <c r="F1052" t="str">
        <f t="shared" si="195"/>
        <v>March</v>
      </c>
      <c r="G1052">
        <f t="shared" si="194"/>
        <v>17</v>
      </c>
      <c r="H1052" s="7">
        <f t="shared" si="196"/>
        <v>-0.86337443862853702</v>
      </c>
      <c r="I1052" s="9">
        <f t="shared" si="197"/>
        <v>-8.6712310803307123E-3</v>
      </c>
      <c r="J1052" s="9">
        <f t="shared" si="198"/>
        <v>74531.472857142857</v>
      </c>
      <c r="K1052" s="9">
        <f t="shared" si="189"/>
        <v>73836.073000000004</v>
      </c>
      <c r="L1052" s="9">
        <f t="shared" ref="L1052:L1115" si="200">AVERAGE(C963:C1052)</f>
        <v>69909.513555555575</v>
      </c>
      <c r="M1052" s="9">
        <f t="shared" si="199"/>
        <v>9.0693094848578251E-3</v>
      </c>
      <c r="N1052" s="9">
        <f t="shared" si="190"/>
        <v>1.1206007829988341E-2</v>
      </c>
    </row>
    <row r="1053" spans="1:14" x14ac:dyDescent="0.35">
      <c r="A1053" s="1">
        <v>43908</v>
      </c>
      <c r="B1053" s="2" t="s">
        <v>1053</v>
      </c>
      <c r="C1053">
        <f t="shared" si="191"/>
        <v>70628.2</v>
      </c>
      <c r="D1053">
        <f t="shared" si="192"/>
        <v>2020</v>
      </c>
      <c r="E1053">
        <f t="shared" si="193"/>
        <v>3</v>
      </c>
      <c r="F1053" t="str">
        <f t="shared" si="195"/>
        <v>March</v>
      </c>
      <c r="G1053">
        <f t="shared" si="194"/>
        <v>18</v>
      </c>
      <c r="H1053" s="7">
        <f t="shared" si="196"/>
        <v>-3.886680556254881</v>
      </c>
      <c r="I1053" s="9">
        <f t="shared" si="197"/>
        <v>-3.9642279785059235E-2</v>
      </c>
      <c r="J1053" s="9">
        <f t="shared" si="198"/>
        <v>74003.40571428572</v>
      </c>
      <c r="K1053" s="9">
        <f t="shared" si="189"/>
        <v>73812.37999999999</v>
      </c>
      <c r="L1053" s="9">
        <f t="shared" si="200"/>
        <v>69933.993888888916</v>
      </c>
      <c r="M1053" s="9">
        <f t="shared" si="199"/>
        <v>1.6849272567064966E-2</v>
      </c>
      <c r="N1053" s="9">
        <f t="shared" si="190"/>
        <v>1.3236522986152825E-2</v>
      </c>
    </row>
    <row r="1054" spans="1:14" x14ac:dyDescent="0.35">
      <c r="A1054" s="1">
        <v>43909</v>
      </c>
      <c r="B1054" s="2" t="s">
        <v>1054</v>
      </c>
      <c r="C1054">
        <f t="shared" si="191"/>
        <v>71903.72</v>
      </c>
      <c r="D1054">
        <f t="shared" si="192"/>
        <v>2020</v>
      </c>
      <c r="E1054">
        <f t="shared" si="193"/>
        <v>3</v>
      </c>
      <c r="F1054" t="str">
        <f t="shared" si="195"/>
        <v>March</v>
      </c>
      <c r="G1054">
        <f t="shared" si="194"/>
        <v>19</v>
      </c>
      <c r="H1054" s="7">
        <f t="shared" si="196"/>
        <v>1.8059641899411343</v>
      </c>
      <c r="I1054" s="9">
        <f t="shared" si="197"/>
        <v>1.7898503739676715E-2</v>
      </c>
      <c r="J1054" s="9">
        <f t="shared" si="198"/>
        <v>73653.945714285714</v>
      </c>
      <c r="K1054" s="9">
        <f t="shared" si="189"/>
        <v>73794.562333333335</v>
      </c>
      <c r="L1054" s="9">
        <f t="shared" si="200"/>
        <v>69972.68188888891</v>
      </c>
      <c r="M1054" s="9">
        <f t="shared" si="199"/>
        <v>1.930244479773224E-2</v>
      </c>
      <c r="N1054" s="9">
        <f t="shared" si="190"/>
        <v>1.3350710203780326E-2</v>
      </c>
    </row>
    <row r="1055" spans="1:14" x14ac:dyDescent="0.35">
      <c r="A1055" s="1">
        <v>43910</v>
      </c>
      <c r="B1055" s="2" t="s">
        <v>1055</v>
      </c>
      <c r="C1055">
        <f t="shared" si="191"/>
        <v>73685.89</v>
      </c>
      <c r="D1055">
        <f t="shared" si="192"/>
        <v>2020</v>
      </c>
      <c r="E1055">
        <f t="shared" si="193"/>
        <v>3</v>
      </c>
      <c r="F1055" t="str">
        <f t="shared" si="195"/>
        <v>March</v>
      </c>
      <c r="G1055">
        <f t="shared" si="194"/>
        <v>20</v>
      </c>
      <c r="H1055" s="7">
        <f t="shared" si="196"/>
        <v>2.4785504838970756</v>
      </c>
      <c r="I1055" s="9">
        <f t="shared" si="197"/>
        <v>2.448332711995924E-2</v>
      </c>
      <c r="J1055" s="9">
        <f t="shared" si="198"/>
        <v>73489.345714285722</v>
      </c>
      <c r="K1055" s="9">
        <f t="shared" si="189"/>
        <v>73866.273000000001</v>
      </c>
      <c r="L1055" s="9">
        <f t="shared" si="200"/>
        <v>70038.638555555575</v>
      </c>
      <c r="M1055" s="9">
        <f t="shared" si="199"/>
        <v>2.2051504324475418E-2</v>
      </c>
      <c r="N1055" s="9">
        <f t="shared" si="190"/>
        <v>1.3875561120706361E-2</v>
      </c>
    </row>
    <row r="1056" spans="1:14" x14ac:dyDescent="0.35">
      <c r="A1056" s="1">
        <v>43913</v>
      </c>
      <c r="B1056" s="2" t="s">
        <v>1056</v>
      </c>
      <c r="C1056">
        <f t="shared" si="191"/>
        <v>73889.41</v>
      </c>
      <c r="D1056">
        <f t="shared" si="192"/>
        <v>2020</v>
      </c>
      <c r="E1056">
        <f t="shared" si="193"/>
        <v>3</v>
      </c>
      <c r="F1056" t="str">
        <f t="shared" si="195"/>
        <v>March</v>
      </c>
      <c r="G1056">
        <f t="shared" si="194"/>
        <v>23</v>
      </c>
      <c r="H1056" s="7">
        <f t="shared" si="196"/>
        <v>0.27619941891182159</v>
      </c>
      <c r="I1056" s="9">
        <f t="shared" si="197"/>
        <v>2.7581868920448513E-3</v>
      </c>
      <c r="J1056" s="9">
        <f t="shared" si="198"/>
        <v>73223.345714285722</v>
      </c>
      <c r="K1056" s="9">
        <f t="shared" ref="K1056:K1119" si="201">AVERAGE(C1027:C1056)</f>
        <v>73987.116333333324</v>
      </c>
      <c r="L1056" s="9">
        <f t="shared" si="200"/>
        <v>70103.303333333344</v>
      </c>
      <c r="M1056" s="9">
        <f t="shared" si="199"/>
        <v>2.1307230314528459E-2</v>
      </c>
      <c r="N1056" s="9">
        <f t="shared" si="190"/>
        <v>1.3409721429296251E-2</v>
      </c>
    </row>
    <row r="1057" spans="1:14" x14ac:dyDescent="0.35">
      <c r="A1057" s="1">
        <v>43914</v>
      </c>
      <c r="B1057" s="2" t="s">
        <v>1057</v>
      </c>
      <c r="C1057">
        <f t="shared" si="191"/>
        <v>72684.820000000007</v>
      </c>
      <c r="D1057">
        <f t="shared" si="192"/>
        <v>2020</v>
      </c>
      <c r="E1057">
        <f t="shared" si="193"/>
        <v>3</v>
      </c>
      <c r="F1057" t="str">
        <f t="shared" si="195"/>
        <v>March</v>
      </c>
      <c r="G1057">
        <f t="shared" si="194"/>
        <v>24</v>
      </c>
      <c r="H1057" s="7">
        <f t="shared" si="196"/>
        <v>-1.6302606828231494</v>
      </c>
      <c r="I1057" s="9">
        <f t="shared" si="197"/>
        <v>-1.6436956490552539E-2</v>
      </c>
      <c r="J1057" s="9">
        <f t="shared" si="198"/>
        <v>72914.372857142866</v>
      </c>
      <c r="K1057" s="9">
        <f t="shared" si="201"/>
        <v>74084.921333333317</v>
      </c>
      <c r="L1057" s="9">
        <f t="shared" si="200"/>
        <v>70156.387555555571</v>
      </c>
      <c r="M1057" s="9">
        <f t="shared" si="199"/>
        <v>2.1663174482932222E-2</v>
      </c>
      <c r="N1057" s="9">
        <f t="shared" ref="N1057:N1120" si="202">STDEV(I1028:I1057)</f>
        <v>1.372004625053457E-2</v>
      </c>
    </row>
    <row r="1058" spans="1:14" x14ac:dyDescent="0.35">
      <c r="A1058" s="1">
        <v>43915</v>
      </c>
      <c r="B1058" s="2" t="s">
        <v>1058</v>
      </c>
      <c r="C1058">
        <f t="shared" si="191"/>
        <v>72398.62</v>
      </c>
      <c r="D1058">
        <f t="shared" si="192"/>
        <v>2020</v>
      </c>
      <c r="E1058">
        <f t="shared" si="193"/>
        <v>3</v>
      </c>
      <c r="F1058" t="str">
        <f t="shared" si="195"/>
        <v>March</v>
      </c>
      <c r="G1058">
        <f t="shared" si="194"/>
        <v>25</v>
      </c>
      <c r="H1058" s="7">
        <f t="shared" si="196"/>
        <v>-0.393754844546649</v>
      </c>
      <c r="I1058" s="9">
        <f t="shared" si="197"/>
        <v>-3.9453209992603702E-3</v>
      </c>
      <c r="J1058" s="9">
        <f t="shared" si="198"/>
        <v>72667.851428571434</v>
      </c>
      <c r="K1058" s="9">
        <f t="shared" si="201"/>
        <v>74089.378666666656</v>
      </c>
      <c r="L1058" s="9">
        <f t="shared" si="200"/>
        <v>70209.122666666677</v>
      </c>
      <c r="M1058" s="9">
        <f t="shared" si="199"/>
        <v>2.1527382826422088E-2</v>
      </c>
      <c r="N1058" s="9">
        <f t="shared" si="202"/>
        <v>1.2144281599956784E-2</v>
      </c>
    </row>
    <row r="1059" spans="1:14" x14ac:dyDescent="0.35">
      <c r="A1059" s="1">
        <v>43916</v>
      </c>
      <c r="B1059" s="2" t="s">
        <v>1059</v>
      </c>
      <c r="C1059">
        <f t="shared" si="191"/>
        <v>73295.88</v>
      </c>
      <c r="D1059">
        <f t="shared" si="192"/>
        <v>2020</v>
      </c>
      <c r="E1059">
        <f t="shared" si="193"/>
        <v>3</v>
      </c>
      <c r="F1059" t="str">
        <f t="shared" si="195"/>
        <v>March</v>
      </c>
      <c r="G1059">
        <f t="shared" si="194"/>
        <v>26</v>
      </c>
      <c r="H1059" s="7">
        <f t="shared" si="196"/>
        <v>1.2393330149110706</v>
      </c>
      <c r="I1059" s="9">
        <f t="shared" si="197"/>
        <v>1.2317161509396638E-2</v>
      </c>
      <c r="J1059" s="9">
        <f t="shared" si="198"/>
        <v>72640.934285714276</v>
      </c>
      <c r="K1059" s="9">
        <f t="shared" si="201"/>
        <v>74087.54333333332</v>
      </c>
      <c r="L1059" s="9">
        <f t="shared" si="200"/>
        <v>70270.354222222231</v>
      </c>
      <c r="M1059" s="9">
        <f t="shared" si="199"/>
        <v>2.2118685975665617E-2</v>
      </c>
      <c r="N1059" s="9">
        <f t="shared" si="202"/>
        <v>1.2043485565214077E-2</v>
      </c>
    </row>
    <row r="1060" spans="1:14" x14ac:dyDescent="0.35">
      <c r="A1060" s="1">
        <v>43917</v>
      </c>
      <c r="B1060" s="2" t="s">
        <v>1060</v>
      </c>
      <c r="C1060">
        <f t="shared" si="191"/>
        <v>74734.37</v>
      </c>
      <c r="D1060">
        <f t="shared" si="192"/>
        <v>2020</v>
      </c>
      <c r="E1060">
        <f t="shared" si="193"/>
        <v>3</v>
      </c>
      <c r="F1060" t="str">
        <f t="shared" si="195"/>
        <v>March</v>
      </c>
      <c r="G1060">
        <f t="shared" si="194"/>
        <v>27</v>
      </c>
      <c r="H1060" s="7">
        <f t="shared" si="196"/>
        <v>1.9625796156618771</v>
      </c>
      <c r="I1060" s="9">
        <f t="shared" si="197"/>
        <v>1.9435693471078212E-2</v>
      </c>
      <c r="J1060" s="9">
        <f t="shared" si="198"/>
        <v>73227.53</v>
      </c>
      <c r="K1060" s="9">
        <f t="shared" si="201"/>
        <v>74119.241333333324</v>
      </c>
      <c r="L1060" s="9">
        <f t="shared" si="200"/>
        <v>70356.112333333353</v>
      </c>
      <c r="M1060" s="9">
        <f t="shared" si="199"/>
        <v>1.4642337671498629E-2</v>
      </c>
      <c r="N1060" s="9">
        <f t="shared" si="202"/>
        <v>1.2517654269205069E-2</v>
      </c>
    </row>
    <row r="1061" spans="1:14" x14ac:dyDescent="0.35">
      <c r="A1061" s="1">
        <v>43920</v>
      </c>
      <c r="B1061" s="2" t="s">
        <v>1061</v>
      </c>
      <c r="C1061">
        <f t="shared" si="191"/>
        <v>77390.850000000006</v>
      </c>
      <c r="D1061">
        <f t="shared" si="192"/>
        <v>2020</v>
      </c>
      <c r="E1061">
        <f t="shared" si="193"/>
        <v>3</v>
      </c>
      <c r="F1061" t="str">
        <f t="shared" si="195"/>
        <v>March</v>
      </c>
      <c r="G1061">
        <f t="shared" si="194"/>
        <v>30</v>
      </c>
      <c r="H1061" s="7">
        <f t="shared" si="196"/>
        <v>3.5545626463433235</v>
      </c>
      <c r="I1061" s="9">
        <f t="shared" si="197"/>
        <v>3.4928463136225524E-2</v>
      </c>
      <c r="J1061" s="9">
        <f t="shared" si="198"/>
        <v>74011.405714285705</v>
      </c>
      <c r="K1061" s="9">
        <f t="shared" si="201"/>
        <v>74237.927333333326</v>
      </c>
      <c r="L1061" s="9">
        <f t="shared" si="200"/>
        <v>70492.800666666677</v>
      </c>
      <c r="M1061" s="9">
        <f t="shared" si="199"/>
        <v>1.7652357261340543E-2</v>
      </c>
      <c r="N1061" s="9">
        <f t="shared" si="202"/>
        <v>1.4013753518251676E-2</v>
      </c>
    </row>
    <row r="1062" spans="1:14" x14ac:dyDescent="0.35">
      <c r="A1062" s="1">
        <v>43921</v>
      </c>
      <c r="B1062" s="2" t="s">
        <v>1062</v>
      </c>
      <c r="C1062">
        <f t="shared" si="191"/>
        <v>77536.12</v>
      </c>
      <c r="D1062">
        <f t="shared" si="192"/>
        <v>2020</v>
      </c>
      <c r="E1062">
        <f t="shared" si="193"/>
        <v>3</v>
      </c>
      <c r="F1062" t="str">
        <f t="shared" si="195"/>
        <v>March</v>
      </c>
      <c r="G1062">
        <f t="shared" si="194"/>
        <v>31</v>
      </c>
      <c r="H1062" s="7">
        <f t="shared" si="196"/>
        <v>0.18770952896885032</v>
      </c>
      <c r="I1062" s="9">
        <f t="shared" si="197"/>
        <v>1.8753357478662317E-3</v>
      </c>
      <c r="J1062" s="9">
        <f t="shared" si="198"/>
        <v>74561.43857142856</v>
      </c>
      <c r="K1062" s="9">
        <f t="shared" si="201"/>
        <v>74376.37033333334</v>
      </c>
      <c r="L1062" s="9">
        <f t="shared" si="200"/>
        <v>70635.281111111137</v>
      </c>
      <c r="M1062" s="9">
        <f t="shared" si="199"/>
        <v>1.6711923549087931E-2</v>
      </c>
      <c r="N1062" s="9">
        <f t="shared" si="202"/>
        <v>1.3939095624740471E-2</v>
      </c>
    </row>
    <row r="1063" spans="1:14" x14ac:dyDescent="0.35">
      <c r="A1063" s="1">
        <v>43922</v>
      </c>
      <c r="B1063" s="2" t="s">
        <v>1063</v>
      </c>
      <c r="C1063">
        <f t="shared" si="191"/>
        <v>77110.69</v>
      </c>
      <c r="D1063">
        <f t="shared" si="192"/>
        <v>2020</v>
      </c>
      <c r="E1063">
        <f t="shared" si="193"/>
        <v>4</v>
      </c>
      <c r="F1063" t="str">
        <f t="shared" si="195"/>
        <v>April</v>
      </c>
      <c r="G1063">
        <f t="shared" si="194"/>
        <v>1</v>
      </c>
      <c r="H1063" s="7">
        <f t="shared" si="196"/>
        <v>-0.54868621230981518</v>
      </c>
      <c r="I1063" s="9">
        <f t="shared" si="197"/>
        <v>-5.5019702405249941E-3</v>
      </c>
      <c r="J1063" s="9">
        <f t="shared" si="198"/>
        <v>75021.621428571438</v>
      </c>
      <c r="K1063" s="9">
        <f t="shared" si="201"/>
        <v>74509.10500000001</v>
      </c>
      <c r="L1063" s="9">
        <f t="shared" si="200"/>
        <v>70757.147777777791</v>
      </c>
      <c r="M1063" s="9">
        <f t="shared" si="199"/>
        <v>1.7363037267671178E-2</v>
      </c>
      <c r="N1063" s="9">
        <f t="shared" si="202"/>
        <v>1.3970667151207657E-2</v>
      </c>
    </row>
    <row r="1064" spans="1:14" x14ac:dyDescent="0.35">
      <c r="A1064" s="1">
        <v>43923</v>
      </c>
      <c r="B1064" s="2" t="s">
        <v>1064</v>
      </c>
      <c r="C1064">
        <f t="shared" si="191"/>
        <v>76090.509999999995</v>
      </c>
      <c r="D1064">
        <f t="shared" si="192"/>
        <v>2020</v>
      </c>
      <c r="E1064">
        <f t="shared" si="193"/>
        <v>4</v>
      </c>
      <c r="F1064" t="str">
        <f t="shared" si="195"/>
        <v>April</v>
      </c>
      <c r="G1064">
        <f t="shared" si="194"/>
        <v>2</v>
      </c>
      <c r="H1064" s="7">
        <f t="shared" si="196"/>
        <v>-1.3230072250682849</v>
      </c>
      <c r="I1064" s="9">
        <f t="shared" si="197"/>
        <v>-1.3318369305564088E-2</v>
      </c>
      <c r="J1064" s="9">
        <f t="shared" si="198"/>
        <v>75508.148571428566</v>
      </c>
      <c r="K1064" s="9">
        <f t="shared" si="201"/>
        <v>74585.392666666667</v>
      </c>
      <c r="L1064" s="9">
        <f t="shared" si="200"/>
        <v>70856.334444444466</v>
      </c>
      <c r="M1064" s="9">
        <f t="shared" si="199"/>
        <v>1.6716480166641439E-2</v>
      </c>
      <c r="N1064" s="9">
        <f t="shared" si="202"/>
        <v>1.4161906931756136E-2</v>
      </c>
    </row>
    <row r="1065" spans="1:14" x14ac:dyDescent="0.35">
      <c r="A1065" s="1">
        <v>43924</v>
      </c>
      <c r="B1065" s="2" t="s">
        <v>1065</v>
      </c>
      <c r="C1065">
        <f t="shared" si="191"/>
        <v>74205.69</v>
      </c>
      <c r="D1065">
        <f t="shared" si="192"/>
        <v>2020</v>
      </c>
      <c r="E1065">
        <f t="shared" si="193"/>
        <v>4</v>
      </c>
      <c r="F1065" t="str">
        <f t="shared" si="195"/>
        <v>April</v>
      </c>
      <c r="G1065">
        <f t="shared" si="194"/>
        <v>3</v>
      </c>
      <c r="H1065" s="7">
        <f t="shared" si="196"/>
        <v>-2.4770763134587908</v>
      </c>
      <c r="I1065" s="9">
        <f t="shared" si="197"/>
        <v>-2.5082720885671383E-2</v>
      </c>
      <c r="J1065" s="9">
        <f t="shared" si="198"/>
        <v>75766.301428571431</v>
      </c>
      <c r="K1065" s="9">
        <f t="shared" si="201"/>
        <v>74578.035666666663</v>
      </c>
      <c r="L1065" s="9">
        <f t="shared" si="200"/>
        <v>70933.878222222236</v>
      </c>
      <c r="M1065" s="9">
        <f t="shared" si="199"/>
        <v>2.0424405621410274E-2</v>
      </c>
      <c r="N1065" s="9">
        <f t="shared" si="202"/>
        <v>1.4861614284709163E-2</v>
      </c>
    </row>
    <row r="1066" spans="1:14" x14ac:dyDescent="0.35">
      <c r="A1066" s="1">
        <v>43927</v>
      </c>
      <c r="B1066" s="2" t="s">
        <v>1066</v>
      </c>
      <c r="C1066">
        <f t="shared" si="191"/>
        <v>73697.11</v>
      </c>
      <c r="D1066">
        <f t="shared" si="192"/>
        <v>2020</v>
      </c>
      <c r="E1066">
        <f t="shared" si="193"/>
        <v>4</v>
      </c>
      <c r="F1066" t="str">
        <f t="shared" si="195"/>
        <v>April</v>
      </c>
      <c r="G1066">
        <f t="shared" si="194"/>
        <v>6</v>
      </c>
      <c r="H1066" s="7">
        <f t="shared" si="196"/>
        <v>-0.68536523277393113</v>
      </c>
      <c r="I1066" s="9">
        <f t="shared" si="197"/>
        <v>-6.877246468677007E-3</v>
      </c>
      <c r="J1066" s="9">
        <f t="shared" si="198"/>
        <v>75823.62000000001</v>
      </c>
      <c r="K1066" s="9">
        <f t="shared" si="201"/>
        <v>74542.069000000003</v>
      </c>
      <c r="L1066" s="9">
        <f t="shared" si="200"/>
        <v>70993.541666666672</v>
      </c>
      <c r="M1066" s="9">
        <f t="shared" si="199"/>
        <v>2.0335081001518356E-2</v>
      </c>
      <c r="N1066" s="9">
        <f t="shared" si="202"/>
        <v>1.4883146475520694E-2</v>
      </c>
    </row>
    <row r="1067" spans="1:14" x14ac:dyDescent="0.35">
      <c r="A1067" s="1">
        <v>43928</v>
      </c>
      <c r="B1067" s="2" t="s">
        <v>1067</v>
      </c>
      <c r="C1067">
        <f t="shared" si="191"/>
        <v>74987.05</v>
      </c>
      <c r="D1067">
        <f t="shared" si="192"/>
        <v>2020</v>
      </c>
      <c r="E1067">
        <f t="shared" si="193"/>
        <v>4</v>
      </c>
      <c r="F1067" t="str">
        <f t="shared" si="195"/>
        <v>April</v>
      </c>
      <c r="G1067">
        <f t="shared" si="194"/>
        <v>7</v>
      </c>
      <c r="H1067" s="7">
        <f t="shared" si="196"/>
        <v>1.7503264374953131</v>
      </c>
      <c r="I1067" s="9">
        <f t="shared" si="197"/>
        <v>1.7351846560378765E-2</v>
      </c>
      <c r="J1067" s="9">
        <f t="shared" si="198"/>
        <v>75859.717142857146</v>
      </c>
      <c r="K1067" s="9">
        <f t="shared" si="201"/>
        <v>74574.70166666666</v>
      </c>
      <c r="L1067" s="9">
        <f t="shared" si="200"/>
        <v>71072.183444444439</v>
      </c>
      <c r="M1067" s="9">
        <f t="shared" si="199"/>
        <v>2.0029409565165475E-2</v>
      </c>
      <c r="N1067" s="9">
        <f t="shared" si="202"/>
        <v>1.5108246545858175E-2</v>
      </c>
    </row>
    <row r="1068" spans="1:14" x14ac:dyDescent="0.35">
      <c r="A1068" s="1">
        <v>43929</v>
      </c>
      <c r="B1068" s="2" t="s">
        <v>1068</v>
      </c>
      <c r="C1068">
        <f t="shared" si="191"/>
        <v>75653.84</v>
      </c>
      <c r="D1068">
        <f t="shared" si="192"/>
        <v>2020</v>
      </c>
      <c r="E1068">
        <f t="shared" si="193"/>
        <v>4</v>
      </c>
      <c r="F1068" t="str">
        <f t="shared" si="195"/>
        <v>April</v>
      </c>
      <c r="G1068">
        <f t="shared" si="194"/>
        <v>8</v>
      </c>
      <c r="H1068" s="7">
        <f t="shared" si="196"/>
        <v>0.88920686971949625</v>
      </c>
      <c r="I1068" s="9">
        <f t="shared" si="197"/>
        <v>8.8527670643894982E-3</v>
      </c>
      <c r="J1068" s="9">
        <f t="shared" si="198"/>
        <v>75611.572857142863</v>
      </c>
      <c r="K1068" s="9">
        <f t="shared" si="201"/>
        <v>74617.861999999994</v>
      </c>
      <c r="L1068" s="9">
        <f t="shared" si="200"/>
        <v>71182.155444444434</v>
      </c>
      <c r="M1068" s="9">
        <f t="shared" si="199"/>
        <v>1.4103485476060136E-2</v>
      </c>
      <c r="N1068" s="9">
        <f t="shared" si="202"/>
        <v>1.5167258625394369E-2</v>
      </c>
    </row>
    <row r="1069" spans="1:14" x14ac:dyDescent="0.35">
      <c r="A1069" s="1">
        <v>43930</v>
      </c>
      <c r="B1069" s="2" t="s">
        <v>1069</v>
      </c>
      <c r="C1069">
        <f t="shared" si="191"/>
        <v>75528.460000000006</v>
      </c>
      <c r="D1069">
        <f t="shared" si="192"/>
        <v>2020</v>
      </c>
      <c r="E1069">
        <f t="shared" si="193"/>
        <v>4</v>
      </c>
      <c r="F1069" t="str">
        <f t="shared" si="195"/>
        <v>April</v>
      </c>
      <c r="G1069">
        <f t="shared" si="194"/>
        <v>9</v>
      </c>
      <c r="H1069" s="7">
        <f t="shared" si="196"/>
        <v>-0.16572853407043198</v>
      </c>
      <c r="I1069" s="9">
        <f t="shared" si="197"/>
        <v>-1.6586601572400573E-3</v>
      </c>
      <c r="J1069" s="9">
        <f t="shared" si="198"/>
        <v>75324.764285714278</v>
      </c>
      <c r="K1069" s="9">
        <f t="shared" si="201"/>
        <v>74625.923666666684</v>
      </c>
      <c r="L1069" s="9">
        <f t="shared" si="200"/>
        <v>71299.073777777769</v>
      </c>
      <c r="M1069" s="9">
        <f t="shared" si="199"/>
        <v>1.3952174711339948E-2</v>
      </c>
      <c r="N1069" s="9">
        <f t="shared" si="202"/>
        <v>1.5005721117492272E-2</v>
      </c>
    </row>
    <row r="1070" spans="1:14" x14ac:dyDescent="0.35">
      <c r="A1070" s="1">
        <v>43935</v>
      </c>
      <c r="B1070" s="2" t="s">
        <v>1070</v>
      </c>
      <c r="C1070">
        <f t="shared" si="191"/>
        <v>76368.34</v>
      </c>
      <c r="D1070">
        <f t="shared" si="192"/>
        <v>2020</v>
      </c>
      <c r="E1070">
        <f t="shared" si="193"/>
        <v>4</v>
      </c>
      <c r="F1070" t="str">
        <f t="shared" si="195"/>
        <v>April</v>
      </c>
      <c r="G1070">
        <f t="shared" si="194"/>
        <v>14</v>
      </c>
      <c r="H1070" s="7">
        <f t="shared" si="196"/>
        <v>1.1120046668500723</v>
      </c>
      <c r="I1070" s="9">
        <f t="shared" si="197"/>
        <v>1.105867351198688E-2</v>
      </c>
      <c r="J1070" s="9">
        <f t="shared" si="198"/>
        <v>75218.71428571429</v>
      </c>
      <c r="K1070" s="9">
        <f t="shared" si="201"/>
        <v>74643.699333333338</v>
      </c>
      <c r="L1070" s="9">
        <f t="shared" si="200"/>
        <v>71402.890666666659</v>
      </c>
      <c r="M1070" s="9">
        <f t="shared" si="199"/>
        <v>1.4971935849689812E-2</v>
      </c>
      <c r="N1070" s="9">
        <f t="shared" si="202"/>
        <v>1.5084008533943734E-2</v>
      </c>
    </row>
    <row r="1071" spans="1:14" x14ac:dyDescent="0.35">
      <c r="A1071" s="1">
        <v>43936</v>
      </c>
      <c r="B1071" s="2" t="s">
        <v>1071</v>
      </c>
      <c r="C1071">
        <f t="shared" si="191"/>
        <v>76154.69</v>
      </c>
      <c r="D1071">
        <f t="shared" si="192"/>
        <v>2020</v>
      </c>
      <c r="E1071">
        <f t="shared" si="193"/>
        <v>4</v>
      </c>
      <c r="F1071" t="str">
        <f t="shared" si="195"/>
        <v>April</v>
      </c>
      <c r="G1071">
        <f t="shared" si="194"/>
        <v>15</v>
      </c>
      <c r="H1071" s="7">
        <f t="shared" si="196"/>
        <v>-0.27976252986511713</v>
      </c>
      <c r="I1071" s="9">
        <f t="shared" si="197"/>
        <v>-2.8015459663871083E-3</v>
      </c>
      <c r="J1071" s="9">
        <f t="shared" si="198"/>
        <v>75227.882857142846</v>
      </c>
      <c r="K1071" s="9">
        <f t="shared" si="201"/>
        <v>74651.925666666662</v>
      </c>
      <c r="L1071" s="9">
        <f t="shared" si="200"/>
        <v>71519.479111111097</v>
      </c>
      <c r="M1071" s="9">
        <f t="shared" si="199"/>
        <v>1.4075332999443392E-2</v>
      </c>
      <c r="N1071" s="9">
        <f t="shared" si="202"/>
        <v>1.5093393041731813E-2</v>
      </c>
    </row>
    <row r="1072" spans="1:14" x14ac:dyDescent="0.35">
      <c r="A1072" s="1">
        <v>43937</v>
      </c>
      <c r="B1072" s="2" t="s">
        <v>1072</v>
      </c>
      <c r="C1072">
        <f t="shared" si="191"/>
        <v>76502.59</v>
      </c>
      <c r="D1072">
        <f t="shared" si="192"/>
        <v>2020</v>
      </c>
      <c r="E1072">
        <f t="shared" si="193"/>
        <v>4</v>
      </c>
      <c r="F1072" t="str">
        <f t="shared" si="195"/>
        <v>April</v>
      </c>
      <c r="G1072">
        <f t="shared" si="194"/>
        <v>16</v>
      </c>
      <c r="H1072" s="7">
        <f t="shared" si="196"/>
        <v>0.45683332175601288</v>
      </c>
      <c r="I1072" s="9">
        <f t="shared" si="197"/>
        <v>4.557930054743896E-3</v>
      </c>
      <c r="J1072" s="9">
        <f t="shared" si="198"/>
        <v>75556.011428571437</v>
      </c>
      <c r="K1072" s="9">
        <f t="shared" si="201"/>
        <v>74685.440333333347</v>
      </c>
      <c r="L1072" s="9">
        <f t="shared" si="200"/>
        <v>71633.693333333315</v>
      </c>
      <c r="M1072" s="9">
        <f t="shared" si="199"/>
        <v>8.6378234856244653E-3</v>
      </c>
      <c r="N1072" s="9">
        <f t="shared" si="202"/>
        <v>1.5077222766329335E-2</v>
      </c>
    </row>
    <row r="1073" spans="1:14" x14ac:dyDescent="0.35">
      <c r="A1073" s="1">
        <v>43938</v>
      </c>
      <c r="B1073" s="2" t="s">
        <v>1073</v>
      </c>
      <c r="C1073">
        <f t="shared" si="191"/>
        <v>75853.16</v>
      </c>
      <c r="D1073">
        <f t="shared" si="192"/>
        <v>2020</v>
      </c>
      <c r="E1073">
        <f t="shared" si="193"/>
        <v>4</v>
      </c>
      <c r="F1073" t="str">
        <f t="shared" si="195"/>
        <v>April</v>
      </c>
      <c r="G1073">
        <f t="shared" si="194"/>
        <v>17</v>
      </c>
      <c r="H1073" s="7">
        <f t="shared" si="196"/>
        <v>-0.84889936406073707</v>
      </c>
      <c r="I1073" s="9">
        <f t="shared" si="197"/>
        <v>-8.5252303684247403E-3</v>
      </c>
      <c r="J1073" s="9">
        <f t="shared" si="198"/>
        <v>75864.018571428591</v>
      </c>
      <c r="K1073" s="9">
        <f t="shared" si="201"/>
        <v>74699.702000000019</v>
      </c>
      <c r="L1073" s="9">
        <f t="shared" si="200"/>
        <v>71723.757222222208</v>
      </c>
      <c r="M1073" s="9">
        <f t="shared" si="199"/>
        <v>9.0094430148499778E-3</v>
      </c>
      <c r="N1073" s="9">
        <f t="shared" si="202"/>
        <v>1.5164497562733331E-2</v>
      </c>
    </row>
    <row r="1074" spans="1:14" x14ac:dyDescent="0.35">
      <c r="A1074" s="1">
        <v>43941</v>
      </c>
      <c r="B1074" s="2" t="s">
        <v>1074</v>
      </c>
      <c r="C1074">
        <f t="shared" si="191"/>
        <v>75765.16</v>
      </c>
      <c r="D1074">
        <f t="shared" si="192"/>
        <v>2020</v>
      </c>
      <c r="E1074">
        <f t="shared" si="193"/>
        <v>4</v>
      </c>
      <c r="F1074" t="str">
        <f t="shared" si="195"/>
        <v>April</v>
      </c>
      <c r="G1074">
        <f t="shared" si="194"/>
        <v>20</v>
      </c>
      <c r="H1074" s="7">
        <f t="shared" si="196"/>
        <v>-0.11601362421816046</v>
      </c>
      <c r="I1074" s="9">
        <f t="shared" si="197"/>
        <v>-1.160809721167107E-3</v>
      </c>
      <c r="J1074" s="9">
        <f t="shared" si="198"/>
        <v>75975.177142857137</v>
      </c>
      <c r="K1074" s="9">
        <f t="shared" si="201"/>
        <v>74732.661000000036</v>
      </c>
      <c r="L1074" s="9">
        <f t="shared" si="200"/>
        <v>71809.390999999989</v>
      </c>
      <c r="M1074" s="9">
        <f t="shared" si="199"/>
        <v>6.9623208983799314E-3</v>
      </c>
      <c r="N1074" s="9">
        <f t="shared" si="202"/>
        <v>1.5075554253889636E-2</v>
      </c>
    </row>
    <row r="1075" spans="1:14" x14ac:dyDescent="0.35">
      <c r="A1075" s="1">
        <v>43942</v>
      </c>
      <c r="B1075" s="2" t="s">
        <v>1075</v>
      </c>
      <c r="C1075">
        <f t="shared" si="191"/>
        <v>76382.95</v>
      </c>
      <c r="D1075">
        <f t="shared" si="192"/>
        <v>2020</v>
      </c>
      <c r="E1075">
        <f t="shared" si="193"/>
        <v>4</v>
      </c>
      <c r="F1075" t="str">
        <f t="shared" si="195"/>
        <v>April</v>
      </c>
      <c r="G1075">
        <f t="shared" si="194"/>
        <v>21</v>
      </c>
      <c r="H1075" s="7">
        <f t="shared" si="196"/>
        <v>0.81540116855820488</v>
      </c>
      <c r="I1075" s="9">
        <f t="shared" si="197"/>
        <v>8.1209473486869004E-3</v>
      </c>
      <c r="J1075" s="9">
        <f t="shared" si="198"/>
        <v>76079.335714285713</v>
      </c>
      <c r="K1075" s="9">
        <f t="shared" si="201"/>
        <v>74805.61433333336</v>
      </c>
      <c r="L1075" s="9">
        <f t="shared" si="200"/>
        <v>71904.459555555542</v>
      </c>
      <c r="M1075" s="9">
        <f t="shared" si="199"/>
        <v>6.837442776165944E-3</v>
      </c>
      <c r="N1075" s="9">
        <f t="shared" si="202"/>
        <v>1.5055490844817623E-2</v>
      </c>
    </row>
    <row r="1076" spans="1:14" x14ac:dyDescent="0.35">
      <c r="A1076" s="1">
        <v>43943</v>
      </c>
      <c r="B1076" s="2" t="s">
        <v>1076</v>
      </c>
      <c r="C1076">
        <f t="shared" si="191"/>
        <v>76585.19</v>
      </c>
      <c r="D1076">
        <f t="shared" si="192"/>
        <v>2020</v>
      </c>
      <c r="E1076">
        <f t="shared" si="193"/>
        <v>4</v>
      </c>
      <c r="F1076" t="str">
        <f t="shared" si="195"/>
        <v>April</v>
      </c>
      <c r="G1076">
        <f t="shared" si="194"/>
        <v>22</v>
      </c>
      <c r="H1076" s="7">
        <f t="shared" si="196"/>
        <v>0.26477113020642074</v>
      </c>
      <c r="I1076" s="9">
        <f t="shared" si="197"/>
        <v>2.6442122893841212E-3</v>
      </c>
      <c r="J1076" s="9">
        <f t="shared" si="198"/>
        <v>76230.297142857147</v>
      </c>
      <c r="K1076" s="9">
        <f t="shared" si="201"/>
        <v>74880.965000000011</v>
      </c>
      <c r="L1076" s="9">
        <f t="shared" si="200"/>
        <v>72018.197777777779</v>
      </c>
      <c r="M1076" s="9">
        <f t="shared" si="199"/>
        <v>6.7120291786193732E-3</v>
      </c>
      <c r="N1076" s="9">
        <f t="shared" si="202"/>
        <v>1.505796677378808E-2</v>
      </c>
    </row>
    <row r="1077" spans="1:14" x14ac:dyDescent="0.35">
      <c r="A1077" s="1">
        <v>43944</v>
      </c>
      <c r="B1077" s="2" t="s">
        <v>1077</v>
      </c>
      <c r="C1077">
        <f t="shared" si="191"/>
        <v>76690.92</v>
      </c>
      <c r="D1077">
        <f t="shared" si="192"/>
        <v>2020</v>
      </c>
      <c r="E1077">
        <f t="shared" si="193"/>
        <v>4</v>
      </c>
      <c r="F1077" t="str">
        <f t="shared" si="195"/>
        <v>April</v>
      </c>
      <c r="G1077">
        <f t="shared" si="194"/>
        <v>23</v>
      </c>
      <c r="H1077" s="7">
        <f t="shared" si="196"/>
        <v>0.13805541254124448</v>
      </c>
      <c r="I1077" s="9">
        <f t="shared" si="197"/>
        <v>1.3796020367383445E-3</v>
      </c>
      <c r="J1077" s="9">
        <f t="shared" si="198"/>
        <v>76276.38</v>
      </c>
      <c r="K1077" s="9">
        <f t="shared" si="201"/>
        <v>74958.997666666677</v>
      </c>
      <c r="L1077" s="9">
        <f t="shared" si="200"/>
        <v>72144.814444444448</v>
      </c>
      <c r="M1077" s="9">
        <f t="shared" si="199"/>
        <v>5.3999568682660815E-3</v>
      </c>
      <c r="N1077" s="9">
        <f t="shared" si="202"/>
        <v>1.5057594761179873E-2</v>
      </c>
    </row>
    <row r="1078" spans="1:14" x14ac:dyDescent="0.35">
      <c r="A1078" s="1">
        <v>43945</v>
      </c>
      <c r="B1078" s="2" t="s">
        <v>1078</v>
      </c>
      <c r="C1078">
        <f t="shared" si="191"/>
        <v>76090.52</v>
      </c>
      <c r="D1078">
        <f t="shared" si="192"/>
        <v>2020</v>
      </c>
      <c r="E1078">
        <f t="shared" si="193"/>
        <v>4</v>
      </c>
      <c r="F1078" t="str">
        <f t="shared" si="195"/>
        <v>April</v>
      </c>
      <c r="G1078">
        <f t="shared" si="194"/>
        <v>24</v>
      </c>
      <c r="H1078" s="7">
        <f t="shared" si="196"/>
        <v>-0.78288277151974983</v>
      </c>
      <c r="I1078" s="9">
        <f t="shared" si="197"/>
        <v>-7.8596338763160974E-3</v>
      </c>
      <c r="J1078" s="9">
        <f t="shared" si="198"/>
        <v>76267.212857142862</v>
      </c>
      <c r="K1078" s="9">
        <f t="shared" si="201"/>
        <v>75000.74533333334</v>
      </c>
      <c r="L1078" s="9">
        <f t="shared" si="200"/>
        <v>72260.123777777757</v>
      </c>
      <c r="M1078" s="9">
        <f t="shared" si="199"/>
        <v>6.2091200710611919E-3</v>
      </c>
      <c r="N1078" s="9">
        <f t="shared" si="202"/>
        <v>1.5105382275593311E-2</v>
      </c>
    </row>
    <row r="1079" spans="1:14" x14ac:dyDescent="0.35">
      <c r="A1079" s="1">
        <v>43949</v>
      </c>
      <c r="B1079" s="2" t="s">
        <v>1079</v>
      </c>
      <c r="C1079">
        <f t="shared" si="191"/>
        <v>75679.56</v>
      </c>
      <c r="D1079">
        <f t="shared" si="192"/>
        <v>2020</v>
      </c>
      <c r="E1079">
        <f t="shared" si="193"/>
        <v>4</v>
      </c>
      <c r="F1079" t="str">
        <f t="shared" si="195"/>
        <v>April</v>
      </c>
      <c r="G1079">
        <f t="shared" si="194"/>
        <v>28</v>
      </c>
      <c r="H1079" s="7">
        <f t="shared" si="196"/>
        <v>-0.54009356224665883</v>
      </c>
      <c r="I1079" s="9">
        <f t="shared" si="197"/>
        <v>-5.4155734042001134E-3</v>
      </c>
      <c r="J1079" s="9">
        <f t="shared" si="198"/>
        <v>76149.637142857144</v>
      </c>
      <c r="K1079" s="9">
        <f t="shared" si="201"/>
        <v>74998.350333333336</v>
      </c>
      <c r="L1079" s="9">
        <f t="shared" si="200"/>
        <v>72359.371888888869</v>
      </c>
      <c r="M1079" s="9">
        <f t="shared" si="199"/>
        <v>6.1000067233150093E-3</v>
      </c>
      <c r="N1079" s="9">
        <f t="shared" si="202"/>
        <v>1.4980845180198526E-2</v>
      </c>
    </row>
    <row r="1080" spans="1:14" x14ac:dyDescent="0.35">
      <c r="A1080" s="1">
        <v>43950</v>
      </c>
      <c r="B1080" s="2" t="s">
        <v>1080</v>
      </c>
      <c r="C1080">
        <f t="shared" si="191"/>
        <v>75206</v>
      </c>
      <c r="D1080">
        <f t="shared" si="192"/>
        <v>2020</v>
      </c>
      <c r="E1080">
        <f t="shared" si="193"/>
        <v>4</v>
      </c>
      <c r="F1080" t="str">
        <f t="shared" si="195"/>
        <v>April</v>
      </c>
      <c r="G1080">
        <f t="shared" si="194"/>
        <v>29</v>
      </c>
      <c r="H1080" s="7">
        <f t="shared" si="196"/>
        <v>-0.62574359576086025</v>
      </c>
      <c r="I1080" s="9">
        <f t="shared" si="197"/>
        <v>-6.2770957662287418E-3</v>
      </c>
      <c r="J1080" s="9">
        <f t="shared" si="198"/>
        <v>76057.185714285719</v>
      </c>
      <c r="K1080" s="9">
        <f t="shared" si="201"/>
        <v>75010.296000000002</v>
      </c>
      <c r="L1080" s="9">
        <f t="shared" si="200"/>
        <v>72457.768444444431</v>
      </c>
      <c r="M1080" s="9">
        <f t="shared" si="199"/>
        <v>5.7185159087374616E-3</v>
      </c>
      <c r="N1080" s="9">
        <f t="shared" si="202"/>
        <v>1.485905587478438E-2</v>
      </c>
    </row>
    <row r="1081" spans="1:14" x14ac:dyDescent="0.35">
      <c r="A1081" s="1">
        <v>43951</v>
      </c>
      <c r="B1081" s="2" t="s">
        <v>1081</v>
      </c>
      <c r="C1081">
        <f t="shared" si="191"/>
        <v>75021.67</v>
      </c>
      <c r="D1081">
        <f t="shared" si="192"/>
        <v>2020</v>
      </c>
      <c r="E1081">
        <f t="shared" si="193"/>
        <v>4</v>
      </c>
      <c r="F1081" t="str">
        <f t="shared" si="195"/>
        <v>April</v>
      </c>
      <c r="G1081">
        <f t="shared" si="194"/>
        <v>30</v>
      </c>
      <c r="H1081" s="7">
        <f t="shared" si="196"/>
        <v>-0.2451001249900297</v>
      </c>
      <c r="I1081" s="9">
        <f t="shared" si="197"/>
        <v>-2.4540098705578693E-3</v>
      </c>
      <c r="J1081" s="9">
        <f t="shared" si="198"/>
        <v>75950.972857142871</v>
      </c>
      <c r="K1081" s="9">
        <f t="shared" si="201"/>
        <v>75040.209333333332</v>
      </c>
      <c r="L1081" s="9">
        <f t="shared" si="200"/>
        <v>72564.777222222197</v>
      </c>
      <c r="M1081" s="9">
        <f t="shared" si="199"/>
        <v>5.7369916219111982E-3</v>
      </c>
      <c r="N1081" s="9">
        <f t="shared" si="202"/>
        <v>1.4751502698816341E-2</v>
      </c>
    </row>
    <row r="1082" spans="1:14" x14ac:dyDescent="0.35">
      <c r="A1082" s="1">
        <v>43955</v>
      </c>
      <c r="B1082" s="2" t="s">
        <v>1082</v>
      </c>
      <c r="C1082">
        <f t="shared" si="191"/>
        <v>75190.740000000005</v>
      </c>
      <c r="D1082">
        <f t="shared" si="192"/>
        <v>2020</v>
      </c>
      <c r="E1082">
        <f t="shared" si="193"/>
        <v>5</v>
      </c>
      <c r="F1082" t="str">
        <f t="shared" si="195"/>
        <v>May</v>
      </c>
      <c r="G1082">
        <f t="shared" si="194"/>
        <v>4</v>
      </c>
      <c r="H1082" s="7">
        <f t="shared" si="196"/>
        <v>0.22536155220219306</v>
      </c>
      <c r="I1082" s="9">
        <f t="shared" si="197"/>
        <v>2.2510799393324109E-3</v>
      </c>
      <c r="J1082" s="9">
        <f t="shared" si="198"/>
        <v>75780.657142857133</v>
      </c>
      <c r="K1082" s="9">
        <f t="shared" si="201"/>
        <v>75097.090666666656</v>
      </c>
      <c r="L1082" s="9">
        <f t="shared" si="200"/>
        <v>72650.206666666636</v>
      </c>
      <c r="M1082" s="9">
        <f t="shared" si="199"/>
        <v>4.3805434159946309E-3</v>
      </c>
      <c r="N1082" s="9">
        <f t="shared" si="202"/>
        <v>1.4654334501713493E-2</v>
      </c>
    </row>
    <row r="1083" spans="1:14" x14ac:dyDescent="0.35">
      <c r="A1083" s="1">
        <v>43956</v>
      </c>
      <c r="B1083" s="2" t="s">
        <v>1083</v>
      </c>
      <c r="C1083">
        <f t="shared" si="191"/>
        <v>74889.17</v>
      </c>
      <c r="D1083">
        <f t="shared" si="192"/>
        <v>2020</v>
      </c>
      <c r="E1083">
        <f t="shared" si="193"/>
        <v>5</v>
      </c>
      <c r="F1083" t="str">
        <f t="shared" si="195"/>
        <v>May</v>
      </c>
      <c r="G1083">
        <f t="shared" si="194"/>
        <v>5</v>
      </c>
      <c r="H1083" s="7">
        <f t="shared" si="196"/>
        <v>-0.40107332365661907</v>
      </c>
      <c r="I1083" s="9">
        <f t="shared" si="197"/>
        <v>-4.0187977975379438E-3</v>
      </c>
      <c r="J1083" s="9">
        <f t="shared" si="198"/>
        <v>75538.368571428568</v>
      </c>
      <c r="K1083" s="9">
        <f t="shared" si="201"/>
        <v>75239.122999999992</v>
      </c>
      <c r="L1083" s="9">
        <f t="shared" si="200"/>
        <v>72752.491666666654</v>
      </c>
      <c r="M1083" s="9">
        <f t="shared" si="199"/>
        <v>3.8297829729086619E-3</v>
      </c>
      <c r="N1083" s="9">
        <f t="shared" si="202"/>
        <v>1.2560963711703661E-2</v>
      </c>
    </row>
    <row r="1084" spans="1:14" x14ac:dyDescent="0.35">
      <c r="A1084" s="1">
        <v>43957</v>
      </c>
      <c r="B1084" s="2" t="s">
        <v>1084</v>
      </c>
      <c r="C1084">
        <f t="shared" si="191"/>
        <v>74304.56</v>
      </c>
      <c r="D1084">
        <f t="shared" si="192"/>
        <v>2020</v>
      </c>
      <c r="E1084">
        <f t="shared" si="193"/>
        <v>5</v>
      </c>
      <c r="F1084" t="str">
        <f t="shared" si="195"/>
        <v>May</v>
      </c>
      <c r="G1084">
        <f t="shared" si="194"/>
        <v>6</v>
      </c>
      <c r="H1084" s="7">
        <f t="shared" si="196"/>
        <v>-0.78063356824491525</v>
      </c>
      <c r="I1084" s="9">
        <f t="shared" si="197"/>
        <v>-7.8369646248412795E-3</v>
      </c>
      <c r="J1084" s="9">
        <f t="shared" si="198"/>
        <v>75197.459999999992</v>
      </c>
      <c r="K1084" s="9">
        <f t="shared" si="201"/>
        <v>75319.150999999998</v>
      </c>
      <c r="L1084" s="9">
        <f t="shared" si="200"/>
        <v>72840.530888888854</v>
      </c>
      <c r="M1084" s="9">
        <f t="shared" si="199"/>
        <v>3.5686544670426178E-3</v>
      </c>
      <c r="N1084" s="9">
        <f t="shared" si="202"/>
        <v>1.2310699196182068E-2</v>
      </c>
    </row>
    <row r="1085" spans="1:14" x14ac:dyDescent="0.35">
      <c r="A1085" s="1">
        <v>43958</v>
      </c>
      <c r="B1085" s="2" t="s">
        <v>1085</v>
      </c>
      <c r="C1085">
        <f t="shared" si="191"/>
        <v>73454.960000000006</v>
      </c>
      <c r="D1085">
        <f t="shared" si="192"/>
        <v>2020</v>
      </c>
      <c r="E1085">
        <f t="shared" si="193"/>
        <v>5</v>
      </c>
      <c r="F1085" t="str">
        <f t="shared" si="195"/>
        <v>May</v>
      </c>
      <c r="G1085">
        <f t="shared" si="194"/>
        <v>7</v>
      </c>
      <c r="H1085" s="7">
        <f t="shared" si="196"/>
        <v>-1.1434022353405919</v>
      </c>
      <c r="I1085" s="9">
        <f t="shared" si="197"/>
        <v>-1.1499893382243543E-2</v>
      </c>
      <c r="J1085" s="9">
        <f t="shared" si="198"/>
        <v>74820.951428571425</v>
      </c>
      <c r="K1085" s="9">
        <f t="shared" si="201"/>
        <v>75311.453333333324</v>
      </c>
      <c r="L1085" s="9">
        <f t="shared" si="200"/>
        <v>72903.324777777758</v>
      </c>
      <c r="M1085" s="9">
        <f t="shared" si="199"/>
        <v>4.3227040624454222E-3</v>
      </c>
      <c r="N1085" s="9">
        <f t="shared" si="202"/>
        <v>1.169068337821977E-2</v>
      </c>
    </row>
    <row r="1086" spans="1:14" x14ac:dyDescent="0.35">
      <c r="A1086" s="1">
        <v>43959</v>
      </c>
      <c r="B1086" s="2" t="s">
        <v>1086</v>
      </c>
      <c r="C1086">
        <f t="shared" si="191"/>
        <v>73504.039999999994</v>
      </c>
      <c r="D1086">
        <f t="shared" si="192"/>
        <v>2020</v>
      </c>
      <c r="E1086">
        <f t="shared" si="193"/>
        <v>5</v>
      </c>
      <c r="F1086" t="str">
        <f t="shared" si="195"/>
        <v>May</v>
      </c>
      <c r="G1086">
        <f t="shared" si="194"/>
        <v>8</v>
      </c>
      <c r="H1086" s="7">
        <f t="shared" si="196"/>
        <v>6.6816454600189271E-2</v>
      </c>
      <c r="I1086" s="9">
        <f t="shared" si="197"/>
        <v>6.6794142345441077E-4</v>
      </c>
      <c r="J1086" s="9">
        <f t="shared" si="198"/>
        <v>74510.162857142845</v>
      </c>
      <c r="K1086" s="9">
        <f t="shared" si="201"/>
        <v>75298.607666666649</v>
      </c>
      <c r="L1086" s="9">
        <f t="shared" si="200"/>
        <v>72954.360777777765</v>
      </c>
      <c r="M1086" s="9">
        <f t="shared" si="199"/>
        <v>4.8169350104795118E-3</v>
      </c>
      <c r="N1086" s="9">
        <f t="shared" si="202"/>
        <v>1.1679256244308576E-2</v>
      </c>
    </row>
    <row r="1087" spans="1:14" x14ac:dyDescent="0.35">
      <c r="A1087" s="1">
        <v>43962</v>
      </c>
      <c r="B1087" s="2" t="s">
        <v>1087</v>
      </c>
      <c r="C1087">
        <f t="shared" si="191"/>
        <v>73797.33</v>
      </c>
      <c r="D1087">
        <f t="shared" si="192"/>
        <v>2020</v>
      </c>
      <c r="E1087">
        <f t="shared" si="193"/>
        <v>5</v>
      </c>
      <c r="F1087" t="str">
        <f t="shared" si="195"/>
        <v>May</v>
      </c>
      <c r="G1087">
        <f t="shared" si="194"/>
        <v>11</v>
      </c>
      <c r="H1087" s="7">
        <f t="shared" si="196"/>
        <v>0.39901208151280959</v>
      </c>
      <c r="I1087" s="9">
        <f t="shared" si="197"/>
        <v>3.9821813955563928E-3</v>
      </c>
      <c r="J1087" s="9">
        <f t="shared" si="198"/>
        <v>74308.924285714296</v>
      </c>
      <c r="K1087" s="9">
        <f t="shared" si="201"/>
        <v>75335.691333333321</v>
      </c>
      <c r="L1087" s="9">
        <f t="shared" si="200"/>
        <v>72997.10655555554</v>
      </c>
      <c r="M1087" s="9">
        <f t="shared" si="199"/>
        <v>5.5697700108013485E-3</v>
      </c>
      <c r="N1087" s="9">
        <f t="shared" si="202"/>
        <v>1.128723762915753E-2</v>
      </c>
    </row>
    <row r="1088" spans="1:14" x14ac:dyDescent="0.35">
      <c r="A1088" s="1">
        <v>43963</v>
      </c>
      <c r="B1088" s="2" t="s">
        <v>1088</v>
      </c>
      <c r="C1088">
        <f t="shared" si="191"/>
        <v>72314.81</v>
      </c>
      <c r="D1088">
        <f t="shared" si="192"/>
        <v>2020</v>
      </c>
      <c r="E1088">
        <f t="shared" si="193"/>
        <v>5</v>
      </c>
      <c r="F1088" t="str">
        <f t="shared" si="195"/>
        <v>May</v>
      </c>
      <c r="G1088">
        <f t="shared" si="194"/>
        <v>12</v>
      </c>
      <c r="H1088" s="7">
        <f t="shared" si="196"/>
        <v>-2.0089073683289138</v>
      </c>
      <c r="I1088" s="9">
        <f t="shared" si="197"/>
        <v>-2.0293602961963746E-2</v>
      </c>
      <c r="J1088" s="9">
        <f t="shared" si="198"/>
        <v>73922.23</v>
      </c>
      <c r="K1088" s="9">
        <f t="shared" si="201"/>
        <v>75332.897666666657</v>
      </c>
      <c r="L1088" s="9">
        <f t="shared" si="200"/>
        <v>73019.290777777773</v>
      </c>
      <c r="M1088" s="9">
        <f t="shared" si="199"/>
        <v>8.6612239890254718E-3</v>
      </c>
      <c r="N1088" s="9">
        <f t="shared" si="202"/>
        <v>1.188821715087285E-2</v>
      </c>
    </row>
    <row r="1089" spans="1:14" x14ac:dyDescent="0.35">
      <c r="A1089" s="1">
        <v>43964</v>
      </c>
      <c r="B1089" s="2" t="s">
        <v>1089</v>
      </c>
      <c r="C1089">
        <f t="shared" si="191"/>
        <v>72164.02</v>
      </c>
      <c r="D1089">
        <f t="shared" si="192"/>
        <v>2020</v>
      </c>
      <c r="E1089">
        <f t="shared" si="193"/>
        <v>5</v>
      </c>
      <c r="F1089" t="str">
        <f t="shared" si="195"/>
        <v>May</v>
      </c>
      <c r="G1089">
        <f t="shared" si="194"/>
        <v>13</v>
      </c>
      <c r="H1089" s="7">
        <f t="shared" si="196"/>
        <v>-0.20851883590649495</v>
      </c>
      <c r="I1089" s="9">
        <f t="shared" si="197"/>
        <v>-2.0873653911857794E-3</v>
      </c>
      <c r="J1089" s="9">
        <f t="shared" si="198"/>
        <v>73489.841428571424</v>
      </c>
      <c r="K1089" s="9">
        <f t="shared" si="201"/>
        <v>75295.168999999994</v>
      </c>
      <c r="L1089" s="9">
        <f t="shared" si="200"/>
        <v>73030.88999999997</v>
      </c>
      <c r="M1089" s="9">
        <f t="shared" si="199"/>
        <v>8.1766986051032293E-3</v>
      </c>
      <c r="N1089" s="9">
        <f t="shared" si="202"/>
        <v>1.1660687677986722E-2</v>
      </c>
    </row>
    <row r="1090" spans="1:14" x14ac:dyDescent="0.35">
      <c r="A1090" s="1">
        <v>43965</v>
      </c>
      <c r="B1090" s="2" t="s">
        <v>1090</v>
      </c>
      <c r="C1090">
        <f t="shared" si="191"/>
        <v>74834.52</v>
      </c>
      <c r="D1090">
        <f t="shared" si="192"/>
        <v>2020</v>
      </c>
      <c r="E1090">
        <f t="shared" si="193"/>
        <v>5</v>
      </c>
      <c r="F1090" t="str">
        <f t="shared" si="195"/>
        <v>May</v>
      </c>
      <c r="G1090">
        <f t="shared" si="194"/>
        <v>14</v>
      </c>
      <c r="H1090" s="7">
        <f t="shared" si="196"/>
        <v>3.7005976108315473</v>
      </c>
      <c r="I1090" s="9">
        <f t="shared" si="197"/>
        <v>3.6337692112477768E-2</v>
      </c>
      <c r="J1090" s="9">
        <f t="shared" si="198"/>
        <v>73482.034285714297</v>
      </c>
      <c r="K1090" s="9">
        <f t="shared" si="201"/>
        <v>75298.507333333328</v>
      </c>
      <c r="L1090" s="9">
        <f t="shared" si="200"/>
        <v>73074.379666666646</v>
      </c>
      <c r="M1090" s="9">
        <f t="shared" si="199"/>
        <v>1.8011610280161329E-2</v>
      </c>
      <c r="N1090" s="9">
        <f t="shared" si="202"/>
        <v>1.2990543986071905E-2</v>
      </c>
    </row>
    <row r="1091" spans="1:14" x14ac:dyDescent="0.35">
      <c r="A1091" s="1">
        <v>43966</v>
      </c>
      <c r="B1091" s="2" t="s">
        <v>1091</v>
      </c>
      <c r="C1091">
        <f t="shared" ref="C1091:C1154" si="203">_xlfn.NUMBERVALUE(B1091,".",",")</f>
        <v>76233.259999999995</v>
      </c>
      <c r="D1091">
        <f t="shared" ref="D1091:D1154" si="204">YEAR(A1091)</f>
        <v>2020</v>
      </c>
      <c r="E1091">
        <f t="shared" ref="E1091:E1154" si="205">MONTH(A1091)</f>
        <v>5</v>
      </c>
      <c r="F1091" t="str">
        <f t="shared" si="195"/>
        <v>May</v>
      </c>
      <c r="G1091">
        <f t="shared" ref="G1091:G1154" si="206">DAY(A1091)</f>
        <v>15</v>
      </c>
      <c r="H1091" s="7">
        <f t="shared" si="196"/>
        <v>1.8691106724543574</v>
      </c>
      <c r="I1091" s="9">
        <f t="shared" si="197"/>
        <v>1.8518574551769338E-2</v>
      </c>
      <c r="J1091" s="9">
        <f t="shared" si="198"/>
        <v>73757.562857142868</v>
      </c>
      <c r="K1091" s="9">
        <f t="shared" si="201"/>
        <v>75259.921000000002</v>
      </c>
      <c r="L1091" s="9">
        <f t="shared" si="200"/>
        <v>73132.138111111082</v>
      </c>
      <c r="M1091" s="9">
        <f t="shared" si="199"/>
        <v>1.8860428952706551E-2</v>
      </c>
      <c r="N1091" s="9">
        <f t="shared" si="202"/>
        <v>1.1758051874267587E-2</v>
      </c>
    </row>
    <row r="1092" spans="1:14" x14ac:dyDescent="0.35">
      <c r="A1092" s="1">
        <v>43969</v>
      </c>
      <c r="B1092" s="2" t="s">
        <v>1092</v>
      </c>
      <c r="C1092">
        <f t="shared" si="203"/>
        <v>76176.149999999994</v>
      </c>
      <c r="D1092">
        <f t="shared" si="204"/>
        <v>2020</v>
      </c>
      <c r="E1092">
        <f t="shared" si="205"/>
        <v>5</v>
      </c>
      <c r="F1092" t="str">
        <f t="shared" ref="F1092:F1155" si="207">TEXT(A1092,"mmmm")</f>
        <v>May</v>
      </c>
      <c r="G1092">
        <f t="shared" si="206"/>
        <v>18</v>
      </c>
      <c r="H1092" s="7">
        <f t="shared" ref="H1092:H1155" si="208">((C1092-C1091)/C1091)*100</f>
        <v>-7.4914807526269486E-2</v>
      </c>
      <c r="I1092" s="9">
        <f t="shared" ref="I1092:I1155" si="209">LN(C1092/C1091)</f>
        <v>-7.4942882690717913E-4</v>
      </c>
      <c r="J1092" s="9">
        <f t="shared" si="198"/>
        <v>74146.304285714286</v>
      </c>
      <c r="K1092" s="9">
        <f t="shared" si="201"/>
        <v>75214.588666666663</v>
      </c>
      <c r="L1092" s="9">
        <f t="shared" si="200"/>
        <v>73191.324444444428</v>
      </c>
      <c r="M1092" s="9">
        <f t="shared" si="199"/>
        <v>1.7829694532024844E-2</v>
      </c>
      <c r="N1092" s="9">
        <f t="shared" si="202"/>
        <v>1.1749511667792787E-2</v>
      </c>
    </row>
    <row r="1093" spans="1:14" x14ac:dyDescent="0.35">
      <c r="A1093" s="1">
        <v>43970</v>
      </c>
      <c r="B1093" s="2" t="s">
        <v>1093</v>
      </c>
      <c r="C1093">
        <f t="shared" si="203"/>
        <v>74955.66</v>
      </c>
      <c r="D1093">
        <f t="shared" si="204"/>
        <v>2020</v>
      </c>
      <c r="E1093">
        <f t="shared" si="205"/>
        <v>5</v>
      </c>
      <c r="F1093" t="str">
        <f t="shared" si="207"/>
        <v>May</v>
      </c>
      <c r="G1093">
        <f t="shared" si="206"/>
        <v>19</v>
      </c>
      <c r="H1093" s="7">
        <f t="shared" si="208"/>
        <v>-1.6021943876134339</v>
      </c>
      <c r="I1093" s="9">
        <f t="shared" si="209"/>
        <v>-1.6151682865676018E-2</v>
      </c>
      <c r="J1093" s="9">
        <f t="shared" si="198"/>
        <v>74353.678571428594</v>
      </c>
      <c r="K1093" s="9">
        <f t="shared" si="201"/>
        <v>75142.754333333331</v>
      </c>
      <c r="L1093" s="9">
        <f t="shared" si="200"/>
        <v>73223.110999999975</v>
      </c>
      <c r="M1093" s="9">
        <f t="shared" si="199"/>
        <v>1.9588318056641092E-2</v>
      </c>
      <c r="N1093" s="9">
        <f t="shared" si="202"/>
        <v>1.2059823439284944E-2</v>
      </c>
    </row>
    <row r="1094" spans="1:14" x14ac:dyDescent="0.35">
      <c r="A1094" s="1">
        <v>43971</v>
      </c>
      <c r="B1094" s="2" t="s">
        <v>1094</v>
      </c>
      <c r="C1094">
        <f t="shared" si="203"/>
        <v>75593.47</v>
      </c>
      <c r="D1094">
        <f t="shared" si="204"/>
        <v>2020</v>
      </c>
      <c r="E1094">
        <f t="shared" si="205"/>
        <v>5</v>
      </c>
      <c r="F1094" t="str">
        <f t="shared" si="207"/>
        <v>May</v>
      </c>
      <c r="G1094">
        <f t="shared" si="206"/>
        <v>20</v>
      </c>
      <c r="H1094" s="7">
        <f t="shared" si="208"/>
        <v>0.85091639510611694</v>
      </c>
      <c r="I1094" s="9">
        <f t="shared" si="209"/>
        <v>8.4731650848378116E-3</v>
      </c>
      <c r="J1094" s="9">
        <f t="shared" si="198"/>
        <v>74610.27</v>
      </c>
      <c r="K1094" s="9">
        <f t="shared" si="201"/>
        <v>75126.186333333346</v>
      </c>
      <c r="L1094" s="9">
        <f t="shared" si="200"/>
        <v>73263.503444444432</v>
      </c>
      <c r="M1094" s="9">
        <f t="shared" si="199"/>
        <v>1.9706915810055091E-2</v>
      </c>
      <c r="N1094" s="9">
        <f t="shared" si="202"/>
        <v>1.1944565112335701E-2</v>
      </c>
    </row>
    <row r="1095" spans="1:14" x14ac:dyDescent="0.35">
      <c r="A1095" s="1">
        <v>43972</v>
      </c>
      <c r="B1095" s="2" t="s">
        <v>1095</v>
      </c>
      <c r="C1095">
        <f t="shared" si="203"/>
        <v>75160.210000000006</v>
      </c>
      <c r="D1095">
        <f t="shared" si="204"/>
        <v>2020</v>
      </c>
      <c r="E1095">
        <f t="shared" si="205"/>
        <v>5</v>
      </c>
      <c r="F1095" t="str">
        <f t="shared" si="207"/>
        <v>May</v>
      </c>
      <c r="G1095">
        <f t="shared" si="206"/>
        <v>21</v>
      </c>
      <c r="H1095" s="7">
        <f t="shared" si="208"/>
        <v>-0.57314474385154524</v>
      </c>
      <c r="I1095" s="9">
        <f t="shared" si="209"/>
        <v>-5.7479352127754743E-3</v>
      </c>
      <c r="J1095" s="9">
        <f t="shared" si="198"/>
        <v>75016.755714285697</v>
      </c>
      <c r="K1095" s="9">
        <f t="shared" si="201"/>
        <v>75158.003666666671</v>
      </c>
      <c r="L1095" s="9">
        <f t="shared" si="200"/>
        <v>73315.445111111098</v>
      </c>
      <c r="M1095" s="9">
        <f t="shared" si="199"/>
        <v>1.7422303255816615E-2</v>
      </c>
      <c r="N1095" s="9">
        <f t="shared" si="202"/>
        <v>1.1044406817838458E-2</v>
      </c>
    </row>
    <row r="1096" spans="1:14" x14ac:dyDescent="0.35">
      <c r="A1096" s="1">
        <v>43973</v>
      </c>
      <c r="B1096" s="2" t="s">
        <v>1096</v>
      </c>
      <c r="C1096">
        <f t="shared" si="203"/>
        <v>75925.55</v>
      </c>
      <c r="D1096">
        <f t="shared" si="204"/>
        <v>2020</v>
      </c>
      <c r="E1096">
        <f t="shared" si="205"/>
        <v>5</v>
      </c>
      <c r="F1096" t="str">
        <f t="shared" si="207"/>
        <v>May</v>
      </c>
      <c r="G1096">
        <f t="shared" si="206"/>
        <v>22</v>
      </c>
      <c r="H1096" s="7">
        <f t="shared" si="208"/>
        <v>1.0182781554229243</v>
      </c>
      <c r="I1096" s="9">
        <f t="shared" si="209"/>
        <v>1.0131286315611325E-2</v>
      </c>
      <c r="J1096" s="9">
        <f t="shared" si="198"/>
        <v>75554.11714285714</v>
      </c>
      <c r="K1096" s="9">
        <f t="shared" si="201"/>
        <v>75232.284999999989</v>
      </c>
      <c r="L1096" s="9">
        <f t="shared" si="200"/>
        <v>73387.020555555529</v>
      </c>
      <c r="M1096" s="9">
        <f t="shared" si="199"/>
        <v>1.7143744959805744E-2</v>
      </c>
      <c r="N1096" s="9">
        <f t="shared" si="202"/>
        <v>1.1093022993812981E-2</v>
      </c>
    </row>
    <row r="1097" spans="1:14" x14ac:dyDescent="0.35">
      <c r="A1097" s="1">
        <v>43976</v>
      </c>
      <c r="B1097" s="2" t="s">
        <v>1097</v>
      </c>
      <c r="C1097">
        <f t="shared" si="203"/>
        <v>75884.75</v>
      </c>
      <c r="D1097">
        <f t="shared" si="204"/>
        <v>2020</v>
      </c>
      <c r="E1097">
        <f t="shared" si="205"/>
        <v>5</v>
      </c>
      <c r="F1097" t="str">
        <f t="shared" si="207"/>
        <v>May</v>
      </c>
      <c r="G1097">
        <f t="shared" si="206"/>
        <v>25</v>
      </c>
      <c r="H1097" s="7">
        <f t="shared" si="208"/>
        <v>-5.3736851428804813E-2</v>
      </c>
      <c r="I1097" s="9">
        <f t="shared" si="209"/>
        <v>-5.3751294849341605E-4</v>
      </c>
      <c r="J1097" s="9">
        <f t="shared" ref="J1097:J1160" si="210">AVERAGE(C1091:C1097)</f>
        <v>75704.150000000009</v>
      </c>
      <c r="K1097" s="9">
        <f t="shared" si="201"/>
        <v>75262.208333333314</v>
      </c>
      <c r="L1097" s="9">
        <f t="shared" si="200"/>
        <v>73479.237222222204</v>
      </c>
      <c r="M1097" s="9">
        <f t="shared" si="199"/>
        <v>1.1433830166723547E-2</v>
      </c>
      <c r="N1097" s="9">
        <f t="shared" si="202"/>
        <v>1.065551854848186E-2</v>
      </c>
    </row>
    <row r="1098" spans="1:14" x14ac:dyDescent="0.35">
      <c r="A1098" s="1">
        <v>43977</v>
      </c>
      <c r="B1098" s="2" t="s">
        <v>1098</v>
      </c>
      <c r="C1098">
        <f t="shared" si="203"/>
        <v>73971.429999999993</v>
      </c>
      <c r="D1098">
        <f t="shared" si="204"/>
        <v>2020</v>
      </c>
      <c r="E1098">
        <f t="shared" si="205"/>
        <v>5</v>
      </c>
      <c r="F1098" t="str">
        <f t="shared" si="207"/>
        <v>May</v>
      </c>
      <c r="G1098">
        <f t="shared" si="206"/>
        <v>26</v>
      </c>
      <c r="H1098" s="7">
        <f t="shared" si="208"/>
        <v>-2.5213498100738385</v>
      </c>
      <c r="I1098" s="9">
        <f t="shared" si="209"/>
        <v>-2.5536804373262379E-2</v>
      </c>
      <c r="J1098" s="9">
        <f t="shared" si="210"/>
        <v>75381.031428571427</v>
      </c>
      <c r="K1098" s="9">
        <f t="shared" si="201"/>
        <v>75206.128000000012</v>
      </c>
      <c r="L1098" s="9">
        <f t="shared" si="200"/>
        <v>73549.022888888867</v>
      </c>
      <c r="M1098" s="9">
        <f t="shared" ref="M1098:M1161" si="211">STDEV(I1092:I1098)</f>
        <v>1.2856511628311839E-2</v>
      </c>
      <c r="N1098" s="9">
        <f t="shared" si="202"/>
        <v>1.1528496577395259E-2</v>
      </c>
    </row>
    <row r="1099" spans="1:14" x14ac:dyDescent="0.35">
      <c r="A1099" s="1">
        <v>43978</v>
      </c>
      <c r="B1099" s="2" t="s">
        <v>1099</v>
      </c>
      <c r="C1099">
        <f t="shared" si="203"/>
        <v>73830.47</v>
      </c>
      <c r="D1099">
        <f t="shared" si="204"/>
        <v>2020</v>
      </c>
      <c r="E1099">
        <f t="shared" si="205"/>
        <v>5</v>
      </c>
      <c r="F1099" t="str">
        <f t="shared" si="207"/>
        <v>May</v>
      </c>
      <c r="G1099">
        <f t="shared" si="206"/>
        <v>27</v>
      </c>
      <c r="H1099" s="7">
        <f t="shared" si="208"/>
        <v>-0.19056005811972523</v>
      </c>
      <c r="I1099" s="9">
        <f t="shared" si="209"/>
        <v>-1.9074185478975235E-3</v>
      </c>
      <c r="J1099" s="9">
        <f t="shared" si="210"/>
        <v>75045.934285714291</v>
      </c>
      <c r="K1099" s="9">
        <f t="shared" si="201"/>
        <v>75149.52833333335</v>
      </c>
      <c r="L1099" s="9">
        <f t="shared" si="200"/>
        <v>73609.723999999973</v>
      </c>
      <c r="M1099" s="9">
        <f t="shared" si="211"/>
        <v>1.2810538744657055E-2</v>
      </c>
      <c r="N1099" s="9">
        <f t="shared" si="202"/>
        <v>1.1529262375132588E-2</v>
      </c>
    </row>
    <row r="1100" spans="1:14" x14ac:dyDescent="0.35">
      <c r="A1100" s="1">
        <v>43979</v>
      </c>
      <c r="B1100" s="2" t="s">
        <v>1100</v>
      </c>
      <c r="C1100">
        <f t="shared" si="203"/>
        <v>73939.710000000006</v>
      </c>
      <c r="D1100">
        <f t="shared" si="204"/>
        <v>2020</v>
      </c>
      <c r="E1100">
        <f t="shared" si="205"/>
        <v>5</v>
      </c>
      <c r="F1100" t="str">
        <f t="shared" si="207"/>
        <v>May</v>
      </c>
      <c r="G1100">
        <f t="shared" si="206"/>
        <v>28</v>
      </c>
      <c r="H1100" s="7">
        <f t="shared" si="208"/>
        <v>0.14796059133851544</v>
      </c>
      <c r="I1100" s="9">
        <f t="shared" si="209"/>
        <v>1.4785123750933754E-3</v>
      </c>
      <c r="J1100" s="9">
        <f t="shared" si="210"/>
        <v>74900.798571428561</v>
      </c>
      <c r="K1100" s="9">
        <f t="shared" si="201"/>
        <v>75068.574000000008</v>
      </c>
      <c r="L1100" s="9">
        <f t="shared" si="200"/>
        <v>73680.439888888854</v>
      </c>
      <c r="M1100" s="9">
        <f t="shared" si="211"/>
        <v>1.1825911735511287E-2</v>
      </c>
      <c r="N1100" s="9">
        <f t="shared" si="202"/>
        <v>1.1321482478282074E-2</v>
      </c>
    </row>
    <row r="1101" spans="1:14" x14ac:dyDescent="0.35">
      <c r="A1101" s="1">
        <v>43980</v>
      </c>
      <c r="B1101" s="2" t="s">
        <v>1101</v>
      </c>
      <c r="C1101">
        <f t="shared" si="203"/>
        <v>74165.25</v>
      </c>
      <c r="D1101">
        <f t="shared" si="204"/>
        <v>2020</v>
      </c>
      <c r="E1101">
        <f t="shared" si="205"/>
        <v>5</v>
      </c>
      <c r="F1101" t="str">
        <f t="shared" si="207"/>
        <v>May</v>
      </c>
      <c r="G1101">
        <f t="shared" si="206"/>
        <v>29</v>
      </c>
      <c r="H1101" s="7">
        <f t="shared" si="208"/>
        <v>0.30503230266928766</v>
      </c>
      <c r="I1101" s="9">
        <f t="shared" si="209"/>
        <v>3.0456802303656895E-3</v>
      </c>
      <c r="J1101" s="9">
        <f t="shared" si="210"/>
        <v>74696.767142857148</v>
      </c>
      <c r="K1101" s="9">
        <f t="shared" si="201"/>
        <v>75002.259333333335</v>
      </c>
      <c r="L1101" s="9">
        <f t="shared" si="200"/>
        <v>73746.211111111086</v>
      </c>
      <c r="M1101" s="9">
        <f t="shared" si="211"/>
        <v>1.118946274730832E-2</v>
      </c>
      <c r="N1101" s="9">
        <f t="shared" si="202"/>
        <v>1.134108939874977E-2</v>
      </c>
    </row>
    <row r="1102" spans="1:14" x14ac:dyDescent="0.35">
      <c r="A1102" s="1">
        <v>43983</v>
      </c>
      <c r="B1102" s="2" t="s">
        <v>1102</v>
      </c>
      <c r="C1102">
        <f t="shared" si="203"/>
        <v>75060.92</v>
      </c>
      <c r="D1102">
        <f t="shared" si="204"/>
        <v>2020</v>
      </c>
      <c r="E1102">
        <f t="shared" si="205"/>
        <v>6</v>
      </c>
      <c r="F1102" t="str">
        <f t="shared" si="207"/>
        <v>June</v>
      </c>
      <c r="G1102">
        <f t="shared" si="206"/>
        <v>1</v>
      </c>
      <c r="H1102" s="7">
        <f t="shared" si="208"/>
        <v>1.2076680116361749</v>
      </c>
      <c r="I1102" s="9">
        <f t="shared" si="209"/>
        <v>1.2004338860776743E-2</v>
      </c>
      <c r="J1102" s="9">
        <f t="shared" si="210"/>
        <v>74682.582857142857</v>
      </c>
      <c r="K1102" s="9">
        <f t="shared" si="201"/>
        <v>74954.203666666668</v>
      </c>
      <c r="L1102" s="9">
        <f t="shared" si="200"/>
        <v>73812.627555555533</v>
      </c>
      <c r="M1102" s="9">
        <f t="shared" si="211"/>
        <v>1.2342441586403645E-2</v>
      </c>
      <c r="N1102" s="9">
        <f t="shared" si="202"/>
        <v>1.1543935535987671E-2</v>
      </c>
    </row>
    <row r="1103" spans="1:14" x14ac:dyDescent="0.35">
      <c r="A1103" s="1">
        <v>43984</v>
      </c>
      <c r="B1103" s="2" t="s">
        <v>1103</v>
      </c>
      <c r="C1103">
        <f t="shared" si="203"/>
        <v>75052.06</v>
      </c>
      <c r="D1103">
        <f t="shared" si="204"/>
        <v>2020</v>
      </c>
      <c r="E1103">
        <f t="shared" si="205"/>
        <v>6</v>
      </c>
      <c r="F1103" t="str">
        <f t="shared" si="207"/>
        <v>June</v>
      </c>
      <c r="G1103">
        <f t="shared" si="206"/>
        <v>2</v>
      </c>
      <c r="H1103" s="7">
        <f t="shared" si="208"/>
        <v>-1.180374554428667E-2</v>
      </c>
      <c r="I1103" s="9">
        <f t="shared" si="209"/>
        <v>-1.1804442241161217E-4</v>
      </c>
      <c r="J1103" s="9">
        <f t="shared" si="210"/>
        <v>74557.798571428561</v>
      </c>
      <c r="K1103" s="9">
        <f t="shared" si="201"/>
        <v>74927.500333333344</v>
      </c>
      <c r="L1103" s="9">
        <f t="shared" si="200"/>
        <v>73872.134999999966</v>
      </c>
      <c r="M1103" s="9">
        <f t="shared" si="211"/>
        <v>1.1492810147630416E-2</v>
      </c>
      <c r="N1103" s="9">
        <f t="shared" si="202"/>
        <v>1.1447409280187764E-2</v>
      </c>
    </row>
    <row r="1104" spans="1:14" x14ac:dyDescent="0.35">
      <c r="A1104" s="1">
        <v>43985</v>
      </c>
      <c r="B1104" s="2" t="s">
        <v>1104</v>
      </c>
      <c r="C1104">
        <f t="shared" si="203"/>
        <v>73722.600000000006</v>
      </c>
      <c r="D1104">
        <f t="shared" si="204"/>
        <v>2020</v>
      </c>
      <c r="E1104">
        <f t="shared" si="205"/>
        <v>6</v>
      </c>
      <c r="F1104" t="str">
        <f t="shared" si="207"/>
        <v>June</v>
      </c>
      <c r="G1104">
        <f t="shared" si="206"/>
        <v>3</v>
      </c>
      <c r="H1104" s="7">
        <f t="shared" si="208"/>
        <v>-1.7713837568215873</v>
      </c>
      <c r="I1104" s="9">
        <f t="shared" si="209"/>
        <v>-1.7872605306994763E-2</v>
      </c>
      <c r="J1104" s="9">
        <f t="shared" si="210"/>
        <v>74248.92</v>
      </c>
      <c r="K1104" s="9">
        <f t="shared" si="201"/>
        <v>74859.414999999994</v>
      </c>
      <c r="L1104" s="9">
        <f t="shared" si="200"/>
        <v>73922.25544444441</v>
      </c>
      <c r="M1104" s="9">
        <f t="shared" si="211"/>
        <v>1.2983379223445172E-2</v>
      </c>
      <c r="N1104" s="9">
        <f t="shared" si="202"/>
        <v>1.1886236982390407E-2</v>
      </c>
    </row>
    <row r="1105" spans="1:14" x14ac:dyDescent="0.35">
      <c r="A1105" s="1">
        <v>43986</v>
      </c>
      <c r="B1105" s="2" t="s">
        <v>1105</v>
      </c>
      <c r="C1105">
        <f t="shared" si="203"/>
        <v>73709.39</v>
      </c>
      <c r="D1105">
        <f t="shared" si="204"/>
        <v>2020</v>
      </c>
      <c r="E1105">
        <f t="shared" si="205"/>
        <v>6</v>
      </c>
      <c r="F1105" t="str">
        <f t="shared" si="207"/>
        <v>June</v>
      </c>
      <c r="G1105">
        <f t="shared" si="206"/>
        <v>4</v>
      </c>
      <c r="H1105" s="7">
        <f t="shared" si="208"/>
        <v>-1.7918521593115817E-2</v>
      </c>
      <c r="I1105" s="9">
        <f t="shared" si="209"/>
        <v>-1.792012715199702E-4</v>
      </c>
      <c r="J1105" s="9">
        <f t="shared" si="210"/>
        <v>74211.485714285722</v>
      </c>
      <c r="K1105" s="9">
        <f t="shared" si="201"/>
        <v>74770.296333333317</v>
      </c>
      <c r="L1105" s="9">
        <f t="shared" si="200"/>
        <v>73978.463555555514</v>
      </c>
      <c r="M1105" s="9">
        <f t="shared" si="211"/>
        <v>8.9151701659363793E-3</v>
      </c>
      <c r="N1105" s="9">
        <f t="shared" si="202"/>
        <v>1.1764733633542962E-2</v>
      </c>
    </row>
    <row r="1106" spans="1:14" x14ac:dyDescent="0.35">
      <c r="A1106" s="1">
        <v>43987</v>
      </c>
      <c r="B1106" s="2" t="s">
        <v>1106</v>
      </c>
      <c r="C1106">
        <f t="shared" si="203"/>
        <v>73786.45</v>
      </c>
      <c r="D1106">
        <f t="shared" si="204"/>
        <v>2020</v>
      </c>
      <c r="E1106">
        <f t="shared" si="205"/>
        <v>6</v>
      </c>
      <c r="F1106" t="str">
        <f t="shared" si="207"/>
        <v>June</v>
      </c>
      <c r="G1106">
        <f t="shared" si="206"/>
        <v>5</v>
      </c>
      <c r="H1106" s="7">
        <f t="shared" si="208"/>
        <v>0.10454570306442322</v>
      </c>
      <c r="I1106" s="9">
        <f t="shared" si="209"/>
        <v>1.0449109210323331E-3</v>
      </c>
      <c r="J1106" s="9">
        <f t="shared" si="210"/>
        <v>74205.197142857156</v>
      </c>
      <c r="K1106" s="9">
        <f t="shared" si="201"/>
        <v>74677.00499999999</v>
      </c>
      <c r="L1106" s="9">
        <f t="shared" si="200"/>
        <v>74051.069777777724</v>
      </c>
      <c r="M1106" s="9">
        <f t="shared" si="211"/>
        <v>8.9077064997993751E-3</v>
      </c>
      <c r="N1106" s="9">
        <f t="shared" si="202"/>
        <v>1.175038618335751E-2</v>
      </c>
    </row>
    <row r="1107" spans="1:14" x14ac:dyDescent="0.35">
      <c r="A1107" s="1">
        <v>43990</v>
      </c>
      <c r="B1107" s="2" t="s">
        <v>1107</v>
      </c>
      <c r="C1107">
        <f t="shared" si="203"/>
        <v>73238.009999999995</v>
      </c>
      <c r="D1107">
        <f t="shared" si="204"/>
        <v>2020</v>
      </c>
      <c r="E1107">
        <f t="shared" si="205"/>
        <v>6</v>
      </c>
      <c r="F1107" t="str">
        <f t="shared" si="207"/>
        <v>June</v>
      </c>
      <c r="G1107">
        <f t="shared" si="206"/>
        <v>8</v>
      </c>
      <c r="H1107" s="7">
        <f t="shared" si="208"/>
        <v>-0.74328010088573493</v>
      </c>
      <c r="I1107" s="9">
        <f t="shared" si="209"/>
        <v>-7.4605619207096891E-3</v>
      </c>
      <c r="J1107" s="9">
        <f t="shared" si="210"/>
        <v>74104.954285714281</v>
      </c>
      <c r="K1107" s="9">
        <f t="shared" si="201"/>
        <v>74561.907999999981</v>
      </c>
      <c r="L1107" s="9">
        <f t="shared" si="200"/>
        <v>74104.643111111058</v>
      </c>
      <c r="M1107" s="9">
        <f t="shared" si="211"/>
        <v>9.2791779703907239E-3</v>
      </c>
      <c r="N1107" s="9">
        <f t="shared" si="202"/>
        <v>1.1793170080021627E-2</v>
      </c>
    </row>
    <row r="1108" spans="1:14" x14ac:dyDescent="0.35">
      <c r="A1108" s="1">
        <v>43991</v>
      </c>
      <c r="B1108" s="2" t="s">
        <v>1108</v>
      </c>
      <c r="C1108">
        <f t="shared" si="203"/>
        <v>72444.52</v>
      </c>
      <c r="D1108">
        <f t="shared" si="204"/>
        <v>2020</v>
      </c>
      <c r="E1108">
        <f t="shared" si="205"/>
        <v>6</v>
      </c>
      <c r="F1108" t="str">
        <f t="shared" si="207"/>
        <v>June</v>
      </c>
      <c r="G1108">
        <f t="shared" si="206"/>
        <v>9</v>
      </c>
      <c r="H1108" s="7">
        <f t="shared" si="208"/>
        <v>-1.0834401426253808</v>
      </c>
      <c r="I1108" s="9">
        <f t="shared" si="209"/>
        <v>-1.0893520957659155E-2</v>
      </c>
      <c r="J1108" s="9">
        <f t="shared" si="210"/>
        <v>73859.135714285716</v>
      </c>
      <c r="K1108" s="9">
        <f t="shared" si="201"/>
        <v>74440.374666666656</v>
      </c>
      <c r="L1108" s="9">
        <f t="shared" si="200"/>
        <v>74165.507444444389</v>
      </c>
      <c r="M1108" s="9">
        <f t="shared" si="211"/>
        <v>9.6633143976696985E-3</v>
      </c>
      <c r="N1108" s="9">
        <f t="shared" si="202"/>
        <v>1.1862077018205448E-2</v>
      </c>
    </row>
    <row r="1109" spans="1:14" x14ac:dyDescent="0.35">
      <c r="A1109" s="1">
        <v>43992</v>
      </c>
      <c r="B1109" s="2" t="s">
        <v>1109</v>
      </c>
      <c r="C1109">
        <f t="shared" si="203"/>
        <v>71570.64</v>
      </c>
      <c r="D1109">
        <f t="shared" si="204"/>
        <v>2020</v>
      </c>
      <c r="E1109">
        <f t="shared" si="205"/>
        <v>6</v>
      </c>
      <c r="F1109" t="str">
        <f t="shared" si="207"/>
        <v>June</v>
      </c>
      <c r="G1109">
        <f t="shared" si="206"/>
        <v>10</v>
      </c>
      <c r="H1109" s="7">
        <f t="shared" si="208"/>
        <v>-1.2062748155416099</v>
      </c>
      <c r="I1109" s="9">
        <f t="shared" si="209"/>
        <v>-1.2136093529893602E-2</v>
      </c>
      <c r="J1109" s="9">
        <f t="shared" si="210"/>
        <v>73360.524285714288</v>
      </c>
      <c r="K1109" s="9">
        <f t="shared" si="201"/>
        <v>74303.410666666663</v>
      </c>
      <c r="L1109" s="9">
        <f t="shared" si="200"/>
        <v>74218.857666666605</v>
      </c>
      <c r="M1109" s="9">
        <f t="shared" si="211"/>
        <v>7.2834954884880712E-3</v>
      </c>
      <c r="N1109" s="9">
        <f t="shared" si="202"/>
        <v>1.1998575187569751E-2</v>
      </c>
    </row>
    <row r="1110" spans="1:14" x14ac:dyDescent="0.35">
      <c r="A1110" s="1">
        <v>43993</v>
      </c>
      <c r="B1110" s="2" t="s">
        <v>1110</v>
      </c>
      <c r="C1110">
        <f t="shared" si="203"/>
        <v>71684.100000000006</v>
      </c>
      <c r="D1110">
        <f t="shared" si="204"/>
        <v>2020</v>
      </c>
      <c r="E1110">
        <f t="shared" si="205"/>
        <v>6</v>
      </c>
      <c r="F1110" t="str">
        <f t="shared" si="207"/>
        <v>June</v>
      </c>
      <c r="G1110">
        <f t="shared" si="206"/>
        <v>11</v>
      </c>
      <c r="H1110" s="7">
        <f t="shared" si="208"/>
        <v>0.15852869277123469</v>
      </c>
      <c r="I1110" s="9">
        <f t="shared" si="209"/>
        <v>1.5840316868270421E-3</v>
      </c>
      <c r="J1110" s="9">
        <f t="shared" si="210"/>
        <v>72879.387142857158</v>
      </c>
      <c r="K1110" s="9">
        <f t="shared" si="201"/>
        <v>74186.013999999996</v>
      </c>
      <c r="L1110" s="9">
        <f t="shared" si="200"/>
        <v>74260.034999999945</v>
      </c>
      <c r="M1110" s="9">
        <f t="shared" si="211"/>
        <v>7.5667340078822178E-3</v>
      </c>
      <c r="N1110" s="9">
        <f t="shared" si="202"/>
        <v>1.1984632752582535E-2</v>
      </c>
    </row>
    <row r="1111" spans="1:14" x14ac:dyDescent="0.35">
      <c r="A1111" s="1">
        <v>43994</v>
      </c>
      <c r="B1111" s="2" t="s">
        <v>1111</v>
      </c>
      <c r="C1111">
        <f t="shared" si="203"/>
        <v>71359.039999999994</v>
      </c>
      <c r="D1111">
        <f t="shared" si="204"/>
        <v>2020</v>
      </c>
      <c r="E1111">
        <f t="shared" si="205"/>
        <v>6</v>
      </c>
      <c r="F1111" t="str">
        <f t="shared" si="207"/>
        <v>June</v>
      </c>
      <c r="G1111">
        <f t="shared" si="206"/>
        <v>12</v>
      </c>
      <c r="H1111" s="7">
        <f t="shared" si="208"/>
        <v>-0.45346178580746943</v>
      </c>
      <c r="I1111" s="9">
        <f t="shared" si="209"/>
        <v>-4.5449304251440554E-3</v>
      </c>
      <c r="J1111" s="9">
        <f t="shared" si="210"/>
        <v>72541.735714285707</v>
      </c>
      <c r="K1111" s="9">
        <f t="shared" si="201"/>
        <v>74063.926333333322</v>
      </c>
      <c r="L1111" s="9">
        <f t="shared" si="200"/>
        <v>74278.661555555489</v>
      </c>
      <c r="M1111" s="9">
        <f t="shared" si="211"/>
        <v>5.6894122760341517E-3</v>
      </c>
      <c r="N1111" s="9">
        <f t="shared" si="202"/>
        <v>1.1995852853874972E-2</v>
      </c>
    </row>
    <row r="1112" spans="1:14" x14ac:dyDescent="0.35">
      <c r="A1112" s="1">
        <v>43997</v>
      </c>
      <c r="B1112" s="2" t="s">
        <v>1112</v>
      </c>
      <c r="C1112">
        <f t="shared" si="203"/>
        <v>71119.360000000001</v>
      </c>
      <c r="D1112">
        <f t="shared" si="204"/>
        <v>2020</v>
      </c>
      <c r="E1112">
        <f t="shared" si="205"/>
        <v>6</v>
      </c>
      <c r="F1112" t="str">
        <f t="shared" si="207"/>
        <v>June</v>
      </c>
      <c r="G1112">
        <f t="shared" si="206"/>
        <v>15</v>
      </c>
      <c r="H1112" s="7">
        <f t="shared" si="208"/>
        <v>-0.33587895801287831</v>
      </c>
      <c r="I1112" s="9">
        <f t="shared" si="209"/>
        <v>-3.3644429764459766E-3</v>
      </c>
      <c r="J1112" s="9">
        <f t="shared" si="210"/>
        <v>72171.731428571424</v>
      </c>
      <c r="K1112" s="9">
        <f t="shared" si="201"/>
        <v>73928.213666666663</v>
      </c>
      <c r="L1112" s="9">
        <f t="shared" si="200"/>
        <v>74287.125777777735</v>
      </c>
      <c r="M1112" s="9">
        <f t="shared" si="211"/>
        <v>5.3913434915907792E-3</v>
      </c>
      <c r="N1112" s="9">
        <f t="shared" si="202"/>
        <v>1.1976380237453853E-2</v>
      </c>
    </row>
    <row r="1113" spans="1:14" x14ac:dyDescent="0.35">
      <c r="A1113" s="1">
        <v>43999</v>
      </c>
      <c r="B1113" s="2" t="s">
        <v>1113</v>
      </c>
      <c r="C1113">
        <f t="shared" si="203"/>
        <v>70087.63</v>
      </c>
      <c r="D1113">
        <f t="shared" si="204"/>
        <v>2020</v>
      </c>
      <c r="E1113">
        <f t="shared" si="205"/>
        <v>6</v>
      </c>
      <c r="F1113" t="str">
        <f t="shared" si="207"/>
        <v>June</v>
      </c>
      <c r="G1113">
        <f t="shared" si="206"/>
        <v>17</v>
      </c>
      <c r="H1113" s="7">
        <f t="shared" si="208"/>
        <v>-1.4507020310643908</v>
      </c>
      <c r="I1113" s="9">
        <f t="shared" si="209"/>
        <v>-1.4613276017620861E-2</v>
      </c>
      <c r="J1113" s="9">
        <f t="shared" si="210"/>
        <v>71643.328571428574</v>
      </c>
      <c r="K1113" s="9">
        <f t="shared" si="201"/>
        <v>73768.162333333326</v>
      </c>
      <c r="L1113" s="9">
        <f t="shared" si="200"/>
        <v>74273.221777777726</v>
      </c>
      <c r="M1113" s="9">
        <f t="shared" si="211"/>
        <v>5.6539156424039319E-3</v>
      </c>
      <c r="N1113" s="9">
        <f t="shared" si="202"/>
        <v>1.2196542636851783E-2</v>
      </c>
    </row>
    <row r="1114" spans="1:14" x14ac:dyDescent="0.35">
      <c r="A1114" s="1">
        <v>44000</v>
      </c>
      <c r="B1114" s="2" t="s">
        <v>1114</v>
      </c>
      <c r="C1114">
        <f t="shared" si="203"/>
        <v>71203.13</v>
      </c>
      <c r="D1114">
        <f t="shared" si="204"/>
        <v>2020</v>
      </c>
      <c r="E1114">
        <f t="shared" si="205"/>
        <v>6</v>
      </c>
      <c r="F1114" t="str">
        <f t="shared" si="207"/>
        <v>June</v>
      </c>
      <c r="G1114">
        <f t="shared" si="206"/>
        <v>18</v>
      </c>
      <c r="H1114" s="7">
        <f t="shared" si="208"/>
        <v>1.5915789990330675</v>
      </c>
      <c r="I1114" s="9">
        <f t="shared" si="209"/>
        <v>1.5790461853447738E-2</v>
      </c>
      <c r="J1114" s="9">
        <f t="shared" si="210"/>
        <v>71352.631428571432</v>
      </c>
      <c r="K1114" s="9">
        <f t="shared" si="201"/>
        <v>73664.781333333332</v>
      </c>
      <c r="L1114" s="9">
        <f t="shared" si="200"/>
        <v>74259.498222222173</v>
      </c>
      <c r="M1114" s="9">
        <f t="shared" si="211"/>
        <v>1.0407516790626384E-2</v>
      </c>
      <c r="N1114" s="9">
        <f t="shared" si="202"/>
        <v>1.2577485325766951E-2</v>
      </c>
    </row>
    <row r="1115" spans="1:14" x14ac:dyDescent="0.35">
      <c r="A1115" s="1">
        <v>44001</v>
      </c>
      <c r="B1115" s="2" t="s">
        <v>1115</v>
      </c>
      <c r="C1115">
        <f t="shared" si="203"/>
        <v>71467.17</v>
      </c>
      <c r="D1115">
        <f t="shared" si="204"/>
        <v>2020</v>
      </c>
      <c r="E1115">
        <f t="shared" si="205"/>
        <v>6</v>
      </c>
      <c r="F1115" t="str">
        <f t="shared" si="207"/>
        <v>June</v>
      </c>
      <c r="G1115">
        <f t="shared" si="206"/>
        <v>19</v>
      </c>
      <c r="H1115" s="7">
        <f t="shared" si="208"/>
        <v>0.37082639485089147</v>
      </c>
      <c r="I1115" s="9">
        <f t="shared" si="209"/>
        <v>3.7014052883384153E-3</v>
      </c>
      <c r="J1115" s="9">
        <f t="shared" si="210"/>
        <v>71213.009999999995</v>
      </c>
      <c r="K1115" s="9">
        <f t="shared" si="201"/>
        <v>73598.521666666667</v>
      </c>
      <c r="L1115" s="9">
        <f t="shared" si="200"/>
        <v>74258.749333333282</v>
      </c>
      <c r="M1115" s="9">
        <f t="shared" si="211"/>
        <v>1.0263206759586843E-2</v>
      </c>
      <c r="N1115" s="9">
        <f t="shared" si="202"/>
        <v>1.2463130301098814E-2</v>
      </c>
    </row>
    <row r="1116" spans="1:14" x14ac:dyDescent="0.35">
      <c r="A1116" s="1">
        <v>44004</v>
      </c>
      <c r="B1116" s="2" t="s">
        <v>1116</v>
      </c>
      <c r="C1116">
        <f t="shared" si="203"/>
        <v>71544.820000000007</v>
      </c>
      <c r="D1116">
        <f t="shared" si="204"/>
        <v>2020</v>
      </c>
      <c r="E1116">
        <f t="shared" si="205"/>
        <v>6</v>
      </c>
      <c r="F1116" t="str">
        <f t="shared" si="207"/>
        <v>June</v>
      </c>
      <c r="G1116">
        <f t="shared" si="206"/>
        <v>22</v>
      </c>
      <c r="H1116" s="7">
        <f t="shared" si="208"/>
        <v>0.1086512870175337</v>
      </c>
      <c r="I1116" s="9">
        <f t="shared" si="209"/>
        <v>1.0859230422652481E-3</v>
      </c>
      <c r="J1116" s="9">
        <f t="shared" si="210"/>
        <v>71209.321428571435</v>
      </c>
      <c r="K1116" s="9">
        <f t="shared" si="201"/>
        <v>73533.214333333322</v>
      </c>
      <c r="L1116" s="9">
        <f t="shared" ref="L1116:L1179" si="212">AVERAGE(C1027:C1116)</f>
        <v>74272.979444444383</v>
      </c>
      <c r="M1116" s="9">
        <f t="shared" si="211"/>
        <v>9.239702172940489E-3</v>
      </c>
      <c r="N1116" s="9">
        <f t="shared" si="202"/>
        <v>1.2465193771425775E-2</v>
      </c>
    </row>
    <row r="1117" spans="1:14" x14ac:dyDescent="0.35">
      <c r="A1117" s="1">
        <v>44005</v>
      </c>
      <c r="B1117" s="2" t="s">
        <v>1117</v>
      </c>
      <c r="C1117">
        <f t="shared" si="203"/>
        <v>71429.88</v>
      </c>
      <c r="D1117">
        <f t="shared" si="204"/>
        <v>2020</v>
      </c>
      <c r="E1117">
        <f t="shared" si="205"/>
        <v>6</v>
      </c>
      <c r="F1117" t="str">
        <f t="shared" si="207"/>
        <v>June</v>
      </c>
      <c r="G1117">
        <f t="shared" si="206"/>
        <v>23</v>
      </c>
      <c r="H1117" s="7">
        <f t="shared" si="208"/>
        <v>-0.16065453795257617</v>
      </c>
      <c r="I1117" s="9">
        <f t="shared" si="209"/>
        <v>-1.6078372573796603E-3</v>
      </c>
      <c r="J1117" s="9">
        <f t="shared" si="210"/>
        <v>71173.004285714283</v>
      </c>
      <c r="K1117" s="9">
        <f t="shared" si="201"/>
        <v>73454.299333333314</v>
      </c>
      <c r="L1117" s="9">
        <f t="shared" si="212"/>
        <v>74291.637333333274</v>
      </c>
      <c r="M1117" s="9">
        <f t="shared" si="211"/>
        <v>9.2242801709813225E-3</v>
      </c>
      <c r="N1117" s="9">
        <f t="shared" si="202"/>
        <v>1.2431423315708746E-2</v>
      </c>
    </row>
    <row r="1118" spans="1:14" x14ac:dyDescent="0.35">
      <c r="A1118" s="1">
        <v>44006</v>
      </c>
      <c r="B1118" s="2" t="s">
        <v>1118</v>
      </c>
      <c r="C1118">
        <f t="shared" si="203"/>
        <v>71686.33</v>
      </c>
      <c r="D1118">
        <f t="shared" si="204"/>
        <v>2020</v>
      </c>
      <c r="E1118">
        <f t="shared" si="205"/>
        <v>6</v>
      </c>
      <c r="F1118" t="str">
        <f t="shared" si="207"/>
        <v>June</v>
      </c>
      <c r="G1118">
        <f t="shared" si="206"/>
        <v>24</v>
      </c>
      <c r="H1118" s="7">
        <f t="shared" si="208"/>
        <v>0.35902342269089221</v>
      </c>
      <c r="I1118" s="9">
        <f t="shared" si="209"/>
        <v>3.5838047203678573E-3</v>
      </c>
      <c r="J1118" s="9">
        <f t="shared" si="210"/>
        <v>71219.759999999995</v>
      </c>
      <c r="K1118" s="9">
        <f t="shared" si="201"/>
        <v>73433.350000000006</v>
      </c>
      <c r="L1118" s="9">
        <f t="shared" si="212"/>
        <v>74285.20877777772</v>
      </c>
      <c r="M1118" s="9">
        <f t="shared" si="211"/>
        <v>9.1426015428568083E-3</v>
      </c>
      <c r="N1118" s="9">
        <f t="shared" si="202"/>
        <v>1.1912874567146061E-2</v>
      </c>
    </row>
    <row r="1119" spans="1:14" x14ac:dyDescent="0.35">
      <c r="A1119" s="1">
        <v>44007</v>
      </c>
      <c r="B1119" s="2" t="s">
        <v>1119</v>
      </c>
      <c r="C1119">
        <f t="shared" si="203"/>
        <v>72207.64</v>
      </c>
      <c r="D1119">
        <f t="shared" si="204"/>
        <v>2020</v>
      </c>
      <c r="E1119">
        <f t="shared" si="205"/>
        <v>6</v>
      </c>
      <c r="F1119" t="str">
        <f t="shared" si="207"/>
        <v>June</v>
      </c>
      <c r="G1119">
        <f t="shared" si="206"/>
        <v>25</v>
      </c>
      <c r="H1119" s="7">
        <f t="shared" si="208"/>
        <v>0.72720977625719951</v>
      </c>
      <c r="I1119" s="9">
        <f t="shared" si="209"/>
        <v>7.2457835556163034E-3</v>
      </c>
      <c r="J1119" s="9">
        <f t="shared" si="210"/>
        <v>71375.228571428583</v>
      </c>
      <c r="K1119" s="9">
        <f t="shared" si="201"/>
        <v>73434.804000000004</v>
      </c>
      <c r="L1119" s="9">
        <f t="shared" si="212"/>
        <v>74272.505444444381</v>
      </c>
      <c r="M1119" s="9">
        <f t="shared" si="211"/>
        <v>9.2443697715029784E-3</v>
      </c>
      <c r="N1119" s="9">
        <f t="shared" si="202"/>
        <v>1.1985987108570821E-2</v>
      </c>
    </row>
    <row r="1120" spans="1:14" x14ac:dyDescent="0.35">
      <c r="A1120" s="1">
        <v>44008</v>
      </c>
      <c r="B1120" s="2" t="s">
        <v>1120</v>
      </c>
      <c r="C1120">
        <f t="shared" si="203"/>
        <v>72403.88</v>
      </c>
      <c r="D1120">
        <f t="shared" si="204"/>
        <v>2020</v>
      </c>
      <c r="E1120">
        <f t="shared" si="205"/>
        <v>6</v>
      </c>
      <c r="F1120" t="str">
        <f t="shared" si="207"/>
        <v>June</v>
      </c>
      <c r="G1120">
        <f t="shared" si="206"/>
        <v>26</v>
      </c>
      <c r="H1120" s="7">
        <f t="shared" si="208"/>
        <v>0.27177179589307338</v>
      </c>
      <c r="I1120" s="9">
        <f t="shared" si="209"/>
        <v>2.7140316408834288E-3</v>
      </c>
      <c r="J1120" s="9">
        <f t="shared" si="210"/>
        <v>71706.121428571438</v>
      </c>
      <c r="K1120" s="9">
        <f t="shared" ref="K1120:K1183" si="213">AVERAGE(C1091:C1120)</f>
        <v>73353.782666666666</v>
      </c>
      <c r="L1120" s="9">
        <f t="shared" si="212"/>
        <v>74257.177111111057</v>
      </c>
      <c r="M1120" s="9">
        <f t="shared" si="211"/>
        <v>5.6049909679158141E-3</v>
      </c>
      <c r="N1120" s="9">
        <f t="shared" si="202"/>
        <v>9.8556133662773149E-3</v>
      </c>
    </row>
    <row r="1121" spans="1:14" x14ac:dyDescent="0.35">
      <c r="A1121" s="1">
        <v>44011</v>
      </c>
      <c r="B1121" s="2" t="s">
        <v>1121</v>
      </c>
      <c r="C1121">
        <f t="shared" si="203"/>
        <v>72939.25</v>
      </c>
      <c r="D1121">
        <f t="shared" si="204"/>
        <v>2020</v>
      </c>
      <c r="E1121">
        <f t="shared" si="205"/>
        <v>6</v>
      </c>
      <c r="F1121" t="str">
        <f t="shared" si="207"/>
        <v>June</v>
      </c>
      <c r="G1121">
        <f t="shared" si="206"/>
        <v>29</v>
      </c>
      <c r="H1121" s="7">
        <f t="shared" si="208"/>
        <v>0.73942169950007552</v>
      </c>
      <c r="I1121" s="9">
        <f t="shared" si="209"/>
        <v>7.3670137878228039E-3</v>
      </c>
      <c r="J1121" s="9">
        <f t="shared" si="210"/>
        <v>71954.138571428572</v>
      </c>
      <c r="K1121" s="9">
        <f t="shared" si="213"/>
        <v>73243.982333333333</v>
      </c>
      <c r="L1121" s="9">
        <f t="shared" si="212"/>
        <v>74247.276888888839</v>
      </c>
      <c r="M1121" s="9">
        <f t="shared" si="211"/>
        <v>3.2027018020790075E-3</v>
      </c>
      <c r="N1121" s="9">
        <f t="shared" ref="N1121:N1184" si="214">STDEV(I1092:I1121)</f>
        <v>9.2838430816489324E-3</v>
      </c>
    </row>
    <row r="1122" spans="1:14" x14ac:dyDescent="0.35">
      <c r="A1122" s="1">
        <v>44012</v>
      </c>
      <c r="B1122" s="2" t="s">
        <v>1122</v>
      </c>
      <c r="C1122">
        <f t="shared" si="203"/>
        <v>71016.63</v>
      </c>
      <c r="D1122">
        <f t="shared" si="204"/>
        <v>2020</v>
      </c>
      <c r="E1122">
        <f t="shared" si="205"/>
        <v>6</v>
      </c>
      <c r="F1122" t="str">
        <f t="shared" si="207"/>
        <v>June</v>
      </c>
      <c r="G1122">
        <f t="shared" si="206"/>
        <v>30</v>
      </c>
      <c r="H1122" s="7">
        <f t="shared" si="208"/>
        <v>-2.6359196180382924</v>
      </c>
      <c r="I1122" s="9">
        <f t="shared" si="209"/>
        <v>-2.671282793680671E-2</v>
      </c>
      <c r="J1122" s="9">
        <f t="shared" si="210"/>
        <v>71889.775714285715</v>
      </c>
      <c r="K1122" s="9">
        <f t="shared" si="213"/>
        <v>73071.998333333337</v>
      </c>
      <c r="L1122" s="9">
        <f t="shared" si="212"/>
        <v>74220.985777777736</v>
      </c>
      <c r="M1122" s="9">
        <f t="shared" si="211"/>
        <v>1.1822365549750694E-2</v>
      </c>
      <c r="N1122" s="9">
        <f t="shared" si="214"/>
        <v>1.0361718218946483E-2</v>
      </c>
    </row>
    <row r="1123" spans="1:14" x14ac:dyDescent="0.35">
      <c r="A1123" s="1">
        <v>44013</v>
      </c>
      <c r="B1123" s="2" t="s">
        <v>1123</v>
      </c>
      <c r="C1123">
        <f t="shared" si="203"/>
        <v>70807.600000000006</v>
      </c>
      <c r="D1123">
        <f t="shared" si="204"/>
        <v>2020</v>
      </c>
      <c r="E1123">
        <f t="shared" si="205"/>
        <v>7</v>
      </c>
      <c r="F1123" t="str">
        <f t="shared" si="207"/>
        <v>July</v>
      </c>
      <c r="G1123">
        <f t="shared" si="206"/>
        <v>1</v>
      </c>
      <c r="H1123" s="7">
        <f t="shared" si="208"/>
        <v>-0.2943395089291041</v>
      </c>
      <c r="I1123" s="9">
        <f t="shared" si="209"/>
        <v>-2.9477353955332914E-3</v>
      </c>
      <c r="J1123" s="9">
        <f t="shared" si="210"/>
        <v>71784.458571428579</v>
      </c>
      <c r="K1123" s="9">
        <f t="shared" si="213"/>
        <v>72933.729666666666</v>
      </c>
      <c r="L1123" s="9">
        <f t="shared" si="212"/>
        <v>74195.196333333297</v>
      </c>
      <c r="M1123" s="9">
        <f t="shared" si="211"/>
        <v>1.180753407648347E-2</v>
      </c>
      <c r="N1123" s="9">
        <f t="shared" si="214"/>
        <v>1.0029832090575957E-2</v>
      </c>
    </row>
    <row r="1124" spans="1:14" x14ac:dyDescent="0.35">
      <c r="A1124" s="1">
        <v>44014</v>
      </c>
      <c r="B1124" s="2" t="s">
        <v>1124</v>
      </c>
      <c r="C1124">
        <f t="shared" si="203"/>
        <v>71020.759999999995</v>
      </c>
      <c r="D1124">
        <f t="shared" si="204"/>
        <v>2020</v>
      </c>
      <c r="E1124">
        <f t="shared" si="205"/>
        <v>7</v>
      </c>
      <c r="F1124" t="str">
        <f t="shared" si="207"/>
        <v>July</v>
      </c>
      <c r="G1124">
        <f t="shared" si="206"/>
        <v>2</v>
      </c>
      <c r="H1124" s="7">
        <f t="shared" si="208"/>
        <v>0.30104113117799347</v>
      </c>
      <c r="I1124" s="9">
        <f t="shared" si="209"/>
        <v>3.0058890971910012E-3</v>
      </c>
      <c r="J1124" s="9">
        <f t="shared" si="210"/>
        <v>71726.01285714285</v>
      </c>
      <c r="K1124" s="9">
        <f t="shared" si="213"/>
        <v>72781.306000000011</v>
      </c>
      <c r="L1124" s="9">
        <f t="shared" si="212"/>
        <v>74164.294999999955</v>
      </c>
      <c r="M1124" s="9">
        <f t="shared" si="211"/>
        <v>1.1927350616071235E-2</v>
      </c>
      <c r="N1124" s="9">
        <f t="shared" si="214"/>
        <v>9.8834982871952963E-3</v>
      </c>
    </row>
    <row r="1125" spans="1:14" x14ac:dyDescent="0.35">
      <c r="A1125" s="1">
        <v>44015</v>
      </c>
      <c r="B1125" s="2" t="s">
        <v>1125</v>
      </c>
      <c r="C1125">
        <f t="shared" si="203"/>
        <v>71198.080000000002</v>
      </c>
      <c r="D1125">
        <f t="shared" si="204"/>
        <v>2020</v>
      </c>
      <c r="E1125">
        <f t="shared" si="205"/>
        <v>7</v>
      </c>
      <c r="F1125" t="str">
        <f t="shared" si="207"/>
        <v>July</v>
      </c>
      <c r="G1125">
        <f t="shared" si="206"/>
        <v>3</v>
      </c>
      <c r="H1125" s="7">
        <f t="shared" si="208"/>
        <v>0.24967347575554949</v>
      </c>
      <c r="I1125" s="9">
        <f t="shared" si="209"/>
        <v>2.4936230935875951E-3</v>
      </c>
      <c r="J1125" s="9">
        <f t="shared" si="210"/>
        <v>71656.262857142865</v>
      </c>
      <c r="K1125" s="9">
        <f t="shared" si="213"/>
        <v>72649.235000000001</v>
      </c>
      <c r="L1125" s="9">
        <f t="shared" si="212"/>
        <v>74128.424777777735</v>
      </c>
      <c r="M1125" s="9">
        <f t="shared" si="211"/>
        <v>1.1867221765695463E-2</v>
      </c>
      <c r="N1125" s="9">
        <f t="shared" si="214"/>
        <v>9.8925633964959316E-3</v>
      </c>
    </row>
    <row r="1126" spans="1:14" x14ac:dyDescent="0.35">
      <c r="A1126" s="1">
        <v>44018</v>
      </c>
      <c r="B1126" s="2" t="s">
        <v>1126</v>
      </c>
      <c r="C1126">
        <f t="shared" si="203"/>
        <v>70475.02</v>
      </c>
      <c r="D1126">
        <f t="shared" si="204"/>
        <v>2020</v>
      </c>
      <c r="E1126">
        <f t="shared" si="205"/>
        <v>7</v>
      </c>
      <c r="F1126" t="str">
        <f t="shared" si="207"/>
        <v>July</v>
      </c>
      <c r="G1126">
        <f t="shared" si="206"/>
        <v>6</v>
      </c>
      <c r="H1126" s="7">
        <f t="shared" si="208"/>
        <v>-1.015561093782301</v>
      </c>
      <c r="I1126" s="9">
        <f t="shared" si="209"/>
        <v>-1.0207530973484751E-2</v>
      </c>
      <c r="J1126" s="9">
        <f t="shared" si="210"/>
        <v>71408.745714285717</v>
      </c>
      <c r="K1126" s="9">
        <f t="shared" si="213"/>
        <v>72467.550666666662</v>
      </c>
      <c r="L1126" s="9">
        <f t="shared" si="212"/>
        <v>74080.634888888831</v>
      </c>
      <c r="M1126" s="9">
        <f t="shared" si="211"/>
        <v>1.1683900524106524E-2</v>
      </c>
      <c r="N1126" s="9">
        <f t="shared" si="214"/>
        <v>9.7421089050094521E-3</v>
      </c>
    </row>
    <row r="1127" spans="1:14" x14ac:dyDescent="0.35">
      <c r="A1127" s="1">
        <v>44019</v>
      </c>
      <c r="B1127" s="2" t="s">
        <v>1127</v>
      </c>
      <c r="C1127">
        <f t="shared" si="203"/>
        <v>70008.539999999994</v>
      </c>
      <c r="D1127">
        <f t="shared" si="204"/>
        <v>2020</v>
      </c>
      <c r="E1127">
        <f t="shared" si="205"/>
        <v>7</v>
      </c>
      <c r="F1127" t="str">
        <f t="shared" si="207"/>
        <v>July</v>
      </c>
      <c r="G1127">
        <f t="shared" si="206"/>
        <v>7</v>
      </c>
      <c r="H1127" s="7">
        <f t="shared" si="208"/>
        <v>-0.6619082903417558</v>
      </c>
      <c r="I1127" s="9">
        <f t="shared" si="209"/>
        <v>-6.6410861807493686E-3</v>
      </c>
      <c r="J1127" s="9">
        <f t="shared" si="210"/>
        <v>71066.554285714286</v>
      </c>
      <c r="K1127" s="9">
        <f t="shared" si="213"/>
        <v>72271.676999999996</v>
      </c>
      <c r="L1127" s="9">
        <f t="shared" si="212"/>
        <v>74036.195666666623</v>
      </c>
      <c r="M1127" s="9">
        <f t="shared" si="211"/>
        <v>1.1390044695068416E-2</v>
      </c>
      <c r="N1127" s="9">
        <f t="shared" si="214"/>
        <v>9.7637839927016221E-3</v>
      </c>
    </row>
    <row r="1128" spans="1:14" x14ac:dyDescent="0.35">
      <c r="A1128" s="1">
        <v>44020</v>
      </c>
      <c r="B1128" s="2" t="s">
        <v>1128</v>
      </c>
      <c r="C1128">
        <f t="shared" si="203"/>
        <v>68614.98</v>
      </c>
      <c r="D1128">
        <f t="shared" si="204"/>
        <v>2020</v>
      </c>
      <c r="E1128">
        <f t="shared" si="205"/>
        <v>7</v>
      </c>
      <c r="F1128" t="str">
        <f t="shared" si="207"/>
        <v>July</v>
      </c>
      <c r="G1128">
        <f t="shared" si="206"/>
        <v>8</v>
      </c>
      <c r="H1128" s="7">
        <f t="shared" si="208"/>
        <v>-1.9905571520274494</v>
      </c>
      <c r="I1128" s="9">
        <f t="shared" si="209"/>
        <v>-2.0106356367864651E-2</v>
      </c>
      <c r="J1128" s="9">
        <f t="shared" si="210"/>
        <v>70448.801428571431</v>
      </c>
      <c r="K1128" s="9">
        <f t="shared" si="213"/>
        <v>72093.128666666671</v>
      </c>
      <c r="L1128" s="9">
        <f t="shared" si="212"/>
        <v>73972.372888888858</v>
      </c>
      <c r="M1128" s="9">
        <f t="shared" si="211"/>
        <v>1.1228576865559269E-2</v>
      </c>
      <c r="N1128" s="9">
        <f t="shared" si="214"/>
        <v>9.3678579624443172E-3</v>
      </c>
    </row>
    <row r="1129" spans="1:14" x14ac:dyDescent="0.35">
      <c r="A1129" s="1">
        <v>44021</v>
      </c>
      <c r="B1129" s="2" t="s">
        <v>1129</v>
      </c>
      <c r="C1129">
        <f t="shared" si="203"/>
        <v>70554.679999999993</v>
      </c>
      <c r="D1129">
        <f t="shared" si="204"/>
        <v>2020</v>
      </c>
      <c r="E1129">
        <f t="shared" si="205"/>
        <v>7</v>
      </c>
      <c r="F1129" t="str">
        <f t="shared" si="207"/>
        <v>July</v>
      </c>
      <c r="G1129">
        <f t="shared" si="206"/>
        <v>9</v>
      </c>
      <c r="H1129" s="7">
        <f t="shared" si="208"/>
        <v>2.826933710393849</v>
      </c>
      <c r="I1129" s="9">
        <f t="shared" si="209"/>
        <v>2.7877133790555873E-2</v>
      </c>
      <c r="J1129" s="9">
        <f t="shared" si="210"/>
        <v>70382.80857142857</v>
      </c>
      <c r="K1129" s="9">
        <f t="shared" si="213"/>
        <v>71983.935666666672</v>
      </c>
      <c r="L1129" s="9">
        <f t="shared" si="212"/>
        <v>73919.795888888853</v>
      </c>
      <c r="M1129" s="9">
        <f t="shared" si="211"/>
        <v>1.4986417875536851E-2</v>
      </c>
      <c r="N1129" s="9">
        <f t="shared" si="214"/>
        <v>1.0888349165195071E-2</v>
      </c>
    </row>
    <row r="1130" spans="1:14" x14ac:dyDescent="0.35">
      <c r="A1130" s="1">
        <v>44022</v>
      </c>
      <c r="B1130" s="2" t="s">
        <v>1130</v>
      </c>
      <c r="C1130">
        <f t="shared" si="203"/>
        <v>70558.89</v>
      </c>
      <c r="D1130">
        <f t="shared" si="204"/>
        <v>2020</v>
      </c>
      <c r="E1130">
        <f t="shared" si="205"/>
        <v>7</v>
      </c>
      <c r="F1130" t="str">
        <f t="shared" si="207"/>
        <v>July</v>
      </c>
      <c r="G1130">
        <f t="shared" si="206"/>
        <v>10</v>
      </c>
      <c r="H1130" s="7">
        <f t="shared" si="208"/>
        <v>5.9670031810879209E-3</v>
      </c>
      <c r="I1130" s="9">
        <f t="shared" si="209"/>
        <v>5.966825162542173E-5</v>
      </c>
      <c r="J1130" s="9">
        <f t="shared" si="210"/>
        <v>70347.278571428571</v>
      </c>
      <c r="K1130" s="9">
        <f t="shared" si="213"/>
        <v>71871.241666666683</v>
      </c>
      <c r="L1130" s="9">
        <f t="shared" si="212"/>
        <v>73861.171666666618</v>
      </c>
      <c r="M1130" s="9">
        <f t="shared" si="211"/>
        <v>1.4962097923715299E-2</v>
      </c>
      <c r="N1130" s="9">
        <f t="shared" si="214"/>
        <v>1.0877984613204127E-2</v>
      </c>
    </row>
    <row r="1131" spans="1:14" x14ac:dyDescent="0.35">
      <c r="A1131" s="1">
        <v>44025</v>
      </c>
      <c r="B1131" s="2" t="s">
        <v>1131</v>
      </c>
      <c r="C1131">
        <f t="shared" si="203"/>
        <v>71015.399999999994</v>
      </c>
      <c r="D1131">
        <f t="shared" si="204"/>
        <v>2020</v>
      </c>
      <c r="E1131">
        <f t="shared" si="205"/>
        <v>7</v>
      </c>
      <c r="F1131" t="str">
        <f t="shared" si="207"/>
        <v>July</v>
      </c>
      <c r="G1131">
        <f t="shared" si="206"/>
        <v>13</v>
      </c>
      <c r="H1131" s="7">
        <f t="shared" si="208"/>
        <v>0.64699147052907824</v>
      </c>
      <c r="I1131" s="9">
        <f t="shared" si="209"/>
        <v>6.4490746477755909E-3</v>
      </c>
      <c r="J1131" s="9">
        <f t="shared" si="210"/>
        <v>70346.51285714285</v>
      </c>
      <c r="K1131" s="9">
        <f t="shared" si="213"/>
        <v>71766.246666666673</v>
      </c>
      <c r="L1131" s="9">
        <f t="shared" si="212"/>
        <v>73806.810555555523</v>
      </c>
      <c r="M1131" s="9">
        <f t="shared" si="211"/>
        <v>1.5152058911215066E-2</v>
      </c>
      <c r="N1131" s="9">
        <f t="shared" si="214"/>
        <v>1.0945213636280997E-2</v>
      </c>
    </row>
    <row r="1132" spans="1:14" x14ac:dyDescent="0.35">
      <c r="A1132" s="1">
        <v>44026</v>
      </c>
      <c r="B1132" s="2" t="s">
        <v>1132</v>
      </c>
      <c r="C1132">
        <f t="shared" si="203"/>
        <v>70865.850000000006</v>
      </c>
      <c r="D1132">
        <f t="shared" si="204"/>
        <v>2020</v>
      </c>
      <c r="E1132">
        <f t="shared" si="205"/>
        <v>7</v>
      </c>
      <c r="F1132" t="str">
        <f t="shared" si="207"/>
        <v>July</v>
      </c>
      <c r="G1132">
        <f t="shared" si="206"/>
        <v>14</v>
      </c>
      <c r="H1132" s="7">
        <f t="shared" si="208"/>
        <v>-0.21058812595576223</v>
      </c>
      <c r="I1132" s="9">
        <f t="shared" si="209"/>
        <v>-2.1081017454313298E-3</v>
      </c>
      <c r="J1132" s="9">
        <f t="shared" si="210"/>
        <v>70299.051428571431</v>
      </c>
      <c r="K1132" s="9">
        <f t="shared" si="213"/>
        <v>71626.411000000007</v>
      </c>
      <c r="L1132" s="9">
        <f t="shared" si="212"/>
        <v>73755.35166666664</v>
      </c>
      <c r="M1132" s="9">
        <f t="shared" si="211"/>
        <v>1.5125094581412124E-2</v>
      </c>
      <c r="N1132" s="9">
        <f t="shared" si="214"/>
        <v>1.0646358570716408E-2</v>
      </c>
    </row>
    <row r="1133" spans="1:14" x14ac:dyDescent="0.35">
      <c r="A1133" s="1">
        <v>44027</v>
      </c>
      <c r="B1133" s="2" t="s">
        <v>1133</v>
      </c>
      <c r="C1133">
        <f t="shared" si="203"/>
        <v>70376.42</v>
      </c>
      <c r="D1133">
        <f t="shared" si="204"/>
        <v>2020</v>
      </c>
      <c r="E1133">
        <f t="shared" si="205"/>
        <v>7</v>
      </c>
      <c r="F1133" t="str">
        <f t="shared" si="207"/>
        <v>July</v>
      </c>
      <c r="G1133">
        <f t="shared" si="206"/>
        <v>15</v>
      </c>
      <c r="H1133" s="7">
        <f t="shared" si="208"/>
        <v>-0.69064295425795008</v>
      </c>
      <c r="I1133" s="9">
        <f t="shared" si="209"/>
        <v>-6.9303893084426303E-3</v>
      </c>
      <c r="J1133" s="9">
        <f t="shared" si="210"/>
        <v>70284.965714285703</v>
      </c>
      <c r="K1133" s="9">
        <f t="shared" si="213"/>
        <v>71470.556333333327</v>
      </c>
      <c r="L1133" s="9">
        <f t="shared" si="212"/>
        <v>73699.252888888863</v>
      </c>
      <c r="M1133" s="9">
        <f t="shared" si="211"/>
        <v>1.482842243076501E-2</v>
      </c>
      <c r="N1133" s="9">
        <f t="shared" si="214"/>
        <v>1.0679264206059127E-2</v>
      </c>
    </row>
    <row r="1134" spans="1:14" x14ac:dyDescent="0.35">
      <c r="A1134" s="1">
        <v>44028</v>
      </c>
      <c r="B1134" s="2" t="s">
        <v>1134</v>
      </c>
      <c r="C1134">
        <f t="shared" si="203"/>
        <v>70866.570000000007</v>
      </c>
      <c r="D1134">
        <f t="shared" si="204"/>
        <v>2020</v>
      </c>
      <c r="E1134">
        <f t="shared" si="205"/>
        <v>7</v>
      </c>
      <c r="F1134" t="str">
        <f t="shared" si="207"/>
        <v>July</v>
      </c>
      <c r="G1134">
        <f t="shared" si="206"/>
        <v>16</v>
      </c>
      <c r="H1134" s="7">
        <f t="shared" si="208"/>
        <v>0.69646907302191374</v>
      </c>
      <c r="I1134" s="9">
        <f t="shared" si="209"/>
        <v>6.9405492986553807E-3</v>
      </c>
      <c r="J1134" s="9">
        <f t="shared" si="210"/>
        <v>70407.541428571421</v>
      </c>
      <c r="K1134" s="9">
        <f t="shared" si="213"/>
        <v>71375.355333333326</v>
      </c>
      <c r="L1134" s="9">
        <f t="shared" si="212"/>
        <v>73655.810444444418</v>
      </c>
      <c r="M1134" s="9">
        <f t="shared" si="211"/>
        <v>1.4733415527381895E-2</v>
      </c>
      <c r="N1134" s="9">
        <f t="shared" si="214"/>
        <v>1.0375662752217943E-2</v>
      </c>
    </row>
    <row r="1135" spans="1:14" x14ac:dyDescent="0.35">
      <c r="A1135" s="1">
        <v>44029</v>
      </c>
      <c r="B1135" s="2" t="s">
        <v>1135</v>
      </c>
      <c r="C1135">
        <f t="shared" si="203"/>
        <v>70942.34</v>
      </c>
      <c r="D1135">
        <f t="shared" si="204"/>
        <v>2020</v>
      </c>
      <c r="E1135">
        <f t="shared" si="205"/>
        <v>7</v>
      </c>
      <c r="F1135" t="str">
        <f t="shared" si="207"/>
        <v>July</v>
      </c>
      <c r="G1135">
        <f t="shared" si="206"/>
        <v>17</v>
      </c>
      <c r="H1135" s="7">
        <f t="shared" si="208"/>
        <v>0.10691924274025047</v>
      </c>
      <c r="I1135" s="9">
        <f t="shared" si="209"/>
        <v>1.0686212482763789E-3</v>
      </c>
      <c r="J1135" s="9">
        <f t="shared" si="210"/>
        <v>70740.021428571432</v>
      </c>
      <c r="K1135" s="9">
        <f t="shared" si="213"/>
        <v>71283.120333333325</v>
      </c>
      <c r="L1135" s="9">
        <f t="shared" si="212"/>
        <v>73619.676999999981</v>
      </c>
      <c r="M1135" s="9">
        <f t="shared" si="211"/>
        <v>1.1266209593250504E-2</v>
      </c>
      <c r="N1135" s="9">
        <f t="shared" si="214"/>
        <v>1.0382879971416722E-2</v>
      </c>
    </row>
    <row r="1136" spans="1:14" x14ac:dyDescent="0.35">
      <c r="A1136" s="1">
        <v>44032</v>
      </c>
      <c r="B1136" s="2" t="s">
        <v>1136</v>
      </c>
      <c r="C1136">
        <f t="shared" si="203"/>
        <v>70938.41</v>
      </c>
      <c r="D1136">
        <f t="shared" si="204"/>
        <v>2020</v>
      </c>
      <c r="E1136">
        <f t="shared" si="205"/>
        <v>7</v>
      </c>
      <c r="F1136" t="str">
        <f t="shared" si="207"/>
        <v>July</v>
      </c>
      <c r="G1136">
        <f t="shared" si="206"/>
        <v>20</v>
      </c>
      <c r="H1136" s="7">
        <f t="shared" si="208"/>
        <v>-5.5397101364192602E-3</v>
      </c>
      <c r="I1136" s="9">
        <f t="shared" si="209"/>
        <v>-5.5398635840242268E-5</v>
      </c>
      <c r="J1136" s="9">
        <f t="shared" si="210"/>
        <v>70794.84</v>
      </c>
      <c r="K1136" s="9">
        <f t="shared" si="213"/>
        <v>71188.185666666657</v>
      </c>
      <c r="L1136" s="9">
        <f t="shared" si="212"/>
        <v>73582.051888888862</v>
      </c>
      <c r="M1136" s="9">
        <f t="shared" si="211"/>
        <v>4.8163246021175714E-3</v>
      </c>
      <c r="N1136" s="9">
        <f t="shared" si="214"/>
        <v>1.0376342201380973E-2</v>
      </c>
    </row>
    <row r="1137" spans="1:14" x14ac:dyDescent="0.35">
      <c r="A1137" s="1">
        <v>44033</v>
      </c>
      <c r="B1137" s="2" t="s">
        <v>1137</v>
      </c>
      <c r="C1137">
        <f t="shared" si="203"/>
        <v>70090.539999999994</v>
      </c>
      <c r="D1137">
        <f t="shared" si="204"/>
        <v>2020</v>
      </c>
      <c r="E1137">
        <f t="shared" si="205"/>
        <v>7</v>
      </c>
      <c r="F1137" t="str">
        <f t="shared" si="207"/>
        <v>July</v>
      </c>
      <c r="G1137">
        <f t="shared" si="206"/>
        <v>21</v>
      </c>
      <c r="H1137" s="7">
        <f t="shared" si="208"/>
        <v>-1.1952199097780876</v>
      </c>
      <c r="I1137" s="9">
        <f t="shared" si="209"/>
        <v>-1.2024200924636436E-2</v>
      </c>
      <c r="J1137" s="9">
        <f t="shared" si="210"/>
        <v>70727.932857142849</v>
      </c>
      <c r="K1137" s="9">
        <f t="shared" si="213"/>
        <v>71083.27</v>
      </c>
      <c r="L1137" s="9">
        <f t="shared" si="212"/>
        <v>73534.725222222201</v>
      </c>
      <c r="M1137" s="9">
        <f t="shared" si="211"/>
        <v>6.8511116546595384E-3</v>
      </c>
      <c r="N1137" s="9">
        <f t="shared" si="214"/>
        <v>1.0502277453750077E-2</v>
      </c>
    </row>
    <row r="1138" spans="1:14" x14ac:dyDescent="0.35">
      <c r="A1138" s="1">
        <v>44034</v>
      </c>
      <c r="B1138" s="2" t="s">
        <v>1138</v>
      </c>
      <c r="C1138">
        <f t="shared" si="203"/>
        <v>69921.37</v>
      </c>
      <c r="D1138">
        <f t="shared" si="204"/>
        <v>2020</v>
      </c>
      <c r="E1138">
        <f t="shared" si="205"/>
        <v>7</v>
      </c>
      <c r="F1138" t="str">
        <f t="shared" si="207"/>
        <v>July</v>
      </c>
      <c r="G1138">
        <f t="shared" si="206"/>
        <v>22</v>
      </c>
      <c r="H1138" s="7">
        <f t="shared" si="208"/>
        <v>-0.24135924762456995</v>
      </c>
      <c r="I1138" s="9">
        <f t="shared" si="209"/>
        <v>-2.4165098858036568E-3</v>
      </c>
      <c r="J1138" s="9">
        <f t="shared" si="210"/>
        <v>70571.64285714287</v>
      </c>
      <c r="K1138" s="9">
        <f t="shared" si="213"/>
        <v>70999.164999999994</v>
      </c>
      <c r="L1138" s="9">
        <f t="shared" si="212"/>
        <v>73480.094999999987</v>
      </c>
      <c r="M1138" s="9">
        <f t="shared" si="211"/>
        <v>6.024635846106529E-3</v>
      </c>
      <c r="N1138" s="9">
        <f t="shared" si="214"/>
        <v>1.0352805715914959E-2</v>
      </c>
    </row>
    <row r="1139" spans="1:14" x14ac:dyDescent="0.35">
      <c r="A1139" s="1">
        <v>44035</v>
      </c>
      <c r="B1139" s="2" t="s">
        <v>1139</v>
      </c>
      <c r="C1139">
        <f t="shared" si="203"/>
        <v>69131.56</v>
      </c>
      <c r="D1139">
        <f t="shared" si="204"/>
        <v>2020</v>
      </c>
      <c r="E1139">
        <f t="shared" si="205"/>
        <v>7</v>
      </c>
      <c r="F1139" t="str">
        <f t="shared" si="207"/>
        <v>July</v>
      </c>
      <c r="G1139">
        <f t="shared" si="206"/>
        <v>23</v>
      </c>
      <c r="H1139" s="7">
        <f t="shared" si="208"/>
        <v>-1.1295688285283851</v>
      </c>
      <c r="I1139" s="9">
        <f t="shared" si="209"/>
        <v>-1.1359969094611101E-2</v>
      </c>
      <c r="J1139" s="9">
        <f t="shared" si="210"/>
        <v>70323.887142857144</v>
      </c>
      <c r="K1139" s="9">
        <f t="shared" si="213"/>
        <v>70917.862333333338</v>
      </c>
      <c r="L1139" s="9">
        <f t="shared" si="212"/>
        <v>73406.541111111088</v>
      </c>
      <c r="M1139" s="9">
        <f t="shared" si="211"/>
        <v>6.9415932453697456E-3</v>
      </c>
      <c r="N1139" s="9">
        <f t="shared" si="214"/>
        <v>1.0325421052789767E-2</v>
      </c>
    </row>
    <row r="1140" spans="1:14" x14ac:dyDescent="0.35">
      <c r="A1140" s="1">
        <v>44036</v>
      </c>
      <c r="B1140" s="2" t="s">
        <v>1140</v>
      </c>
      <c r="C1140">
        <f t="shared" si="203"/>
        <v>68279.399999999994</v>
      </c>
      <c r="D1140">
        <f t="shared" si="204"/>
        <v>2020</v>
      </c>
      <c r="E1140">
        <f t="shared" si="205"/>
        <v>7</v>
      </c>
      <c r="F1140" t="str">
        <f t="shared" si="207"/>
        <v>July</v>
      </c>
      <c r="G1140">
        <f t="shared" si="206"/>
        <v>24</v>
      </c>
      <c r="H1140" s="7">
        <f t="shared" si="208"/>
        <v>-1.232664212987532</v>
      </c>
      <c r="I1140" s="9">
        <f t="shared" si="209"/>
        <v>-1.2403245340813336E-2</v>
      </c>
      <c r="J1140" s="9">
        <f t="shared" si="210"/>
        <v>70024.312857142853</v>
      </c>
      <c r="K1140" s="9">
        <f t="shared" si="213"/>
        <v>70804.372333333333</v>
      </c>
      <c r="L1140" s="9">
        <f t="shared" si="212"/>
        <v>73333.560777777762</v>
      </c>
      <c r="M1140" s="9">
        <f t="shared" si="211"/>
        <v>7.6583508464912213E-3</v>
      </c>
      <c r="N1140" s="9">
        <f t="shared" si="214"/>
        <v>1.0511557770421556E-2</v>
      </c>
    </row>
    <row r="1141" spans="1:14" x14ac:dyDescent="0.35">
      <c r="A1141" s="1">
        <v>44039</v>
      </c>
      <c r="B1141" s="2" t="s">
        <v>1141</v>
      </c>
      <c r="C1141">
        <f t="shared" si="203"/>
        <v>67983.199999999997</v>
      </c>
      <c r="D1141">
        <f t="shared" si="204"/>
        <v>2020</v>
      </c>
      <c r="E1141">
        <f t="shared" si="205"/>
        <v>7</v>
      </c>
      <c r="F1141" t="str">
        <f t="shared" si="207"/>
        <v>July</v>
      </c>
      <c r="G1141">
        <f t="shared" si="206"/>
        <v>27</v>
      </c>
      <c r="H1141" s="7">
        <f t="shared" si="208"/>
        <v>-0.43380580380026346</v>
      </c>
      <c r="I1141" s="9">
        <f t="shared" si="209"/>
        <v>-4.3474947128909324E-3</v>
      </c>
      <c r="J1141" s="9">
        <f t="shared" si="210"/>
        <v>69612.402857142864</v>
      </c>
      <c r="K1141" s="9">
        <f t="shared" si="213"/>
        <v>70691.844333333342</v>
      </c>
      <c r="L1141" s="9">
        <f t="shared" si="212"/>
        <v>73265.326666666646</v>
      </c>
      <c r="M1141" s="9">
        <f t="shared" si="211"/>
        <v>5.8717858905560057E-3</v>
      </c>
      <c r="N1141" s="9">
        <f t="shared" si="214"/>
        <v>1.0509726311472961E-2</v>
      </c>
    </row>
    <row r="1142" spans="1:14" x14ac:dyDescent="0.35">
      <c r="A1142" s="1">
        <v>44040</v>
      </c>
      <c r="B1142" s="2" t="s">
        <v>1142</v>
      </c>
      <c r="C1142">
        <f t="shared" si="203"/>
        <v>68049.34</v>
      </c>
      <c r="D1142">
        <f t="shared" si="204"/>
        <v>2020</v>
      </c>
      <c r="E1142">
        <f t="shared" si="205"/>
        <v>7</v>
      </c>
      <c r="F1142" t="str">
        <f t="shared" si="207"/>
        <v>July</v>
      </c>
      <c r="G1142">
        <f t="shared" si="206"/>
        <v>28</v>
      </c>
      <c r="H1142" s="7">
        <f t="shared" si="208"/>
        <v>9.7288741924474606E-2</v>
      </c>
      <c r="I1142" s="9">
        <f t="shared" si="209"/>
        <v>9.7241447100487064E-4</v>
      </c>
      <c r="J1142" s="9">
        <f t="shared" si="210"/>
        <v>69199.117142857154</v>
      </c>
      <c r="K1142" s="9">
        <f t="shared" si="213"/>
        <v>70589.510333333325</v>
      </c>
      <c r="L1142" s="9">
        <f t="shared" si="212"/>
        <v>73204.938222222205</v>
      </c>
      <c r="M1142" s="9">
        <f t="shared" si="211"/>
        <v>5.8527450267938479E-3</v>
      </c>
      <c r="N1142" s="9">
        <f t="shared" si="214"/>
        <v>1.0514664907672996E-2</v>
      </c>
    </row>
    <row r="1143" spans="1:14" x14ac:dyDescent="0.35">
      <c r="A1143" s="1">
        <v>44041</v>
      </c>
      <c r="B1143" s="2" t="s">
        <v>1143</v>
      </c>
      <c r="C1143">
        <f t="shared" si="203"/>
        <v>67825.34</v>
      </c>
      <c r="D1143">
        <f t="shared" si="204"/>
        <v>2020</v>
      </c>
      <c r="E1143">
        <f t="shared" si="205"/>
        <v>7</v>
      </c>
      <c r="F1143" t="str">
        <f t="shared" si="207"/>
        <v>July</v>
      </c>
      <c r="G1143">
        <f t="shared" si="206"/>
        <v>29</v>
      </c>
      <c r="H1143" s="7">
        <f t="shared" si="208"/>
        <v>-0.3291729207072398</v>
      </c>
      <c r="I1143" s="9">
        <f t="shared" si="209"/>
        <v>-3.2971588662448195E-3</v>
      </c>
      <c r="J1143" s="9">
        <f t="shared" si="210"/>
        <v>68754.392857142855</v>
      </c>
      <c r="K1143" s="9">
        <f t="shared" si="213"/>
        <v>70514.100666666665</v>
      </c>
      <c r="L1143" s="9">
        <f t="shared" si="212"/>
        <v>73173.795333333328</v>
      </c>
      <c r="M1143" s="9">
        <f t="shared" si="211"/>
        <v>5.4211337228133654E-3</v>
      </c>
      <c r="N1143" s="9">
        <f t="shared" si="214"/>
        <v>1.0225949960996969E-2</v>
      </c>
    </row>
    <row r="1144" spans="1:14" x14ac:dyDescent="0.35">
      <c r="A1144" s="1">
        <v>44042</v>
      </c>
      <c r="B1144" s="2" t="s">
        <v>1144</v>
      </c>
      <c r="C1144">
        <f t="shared" si="203"/>
        <v>68156.210000000006</v>
      </c>
      <c r="D1144">
        <f t="shared" si="204"/>
        <v>2020</v>
      </c>
      <c r="E1144">
        <f t="shared" si="205"/>
        <v>7</v>
      </c>
      <c r="F1144" t="str">
        <f t="shared" si="207"/>
        <v>July</v>
      </c>
      <c r="G1144">
        <f t="shared" si="206"/>
        <v>30</v>
      </c>
      <c r="H1144" s="7">
        <f t="shared" si="208"/>
        <v>0.48782652619214278</v>
      </c>
      <c r="I1144" s="9">
        <f t="shared" si="209"/>
        <v>4.8664050817026228E-3</v>
      </c>
      <c r="J1144" s="9">
        <f t="shared" si="210"/>
        <v>68478.06</v>
      </c>
      <c r="K1144" s="9">
        <f t="shared" si="213"/>
        <v>70412.536666666667</v>
      </c>
      <c r="L1144" s="9">
        <f t="shared" si="212"/>
        <v>73132.156333333332</v>
      </c>
      <c r="M1144" s="9">
        <f t="shared" si="211"/>
        <v>6.2081112460218883E-3</v>
      </c>
      <c r="N1144" s="9">
        <f t="shared" si="214"/>
        <v>9.7891601327956858E-3</v>
      </c>
    </row>
    <row r="1145" spans="1:14" x14ac:dyDescent="0.35">
      <c r="A1145" s="1">
        <v>44043</v>
      </c>
      <c r="B1145" s="2" t="s">
        <v>1145</v>
      </c>
      <c r="C1145">
        <f t="shared" si="203"/>
        <v>68587.27</v>
      </c>
      <c r="D1145">
        <f t="shared" si="204"/>
        <v>2020</v>
      </c>
      <c r="E1145">
        <f t="shared" si="205"/>
        <v>7</v>
      </c>
      <c r="F1145" t="str">
        <f t="shared" si="207"/>
        <v>July</v>
      </c>
      <c r="G1145">
        <f t="shared" si="206"/>
        <v>31</v>
      </c>
      <c r="H1145" s="7">
        <f t="shared" si="208"/>
        <v>0.63245887645454113</v>
      </c>
      <c r="I1145" s="9">
        <f t="shared" si="209"/>
        <v>6.3046724837719165E-3</v>
      </c>
      <c r="J1145" s="9">
        <f t="shared" si="210"/>
        <v>68287.474285714285</v>
      </c>
      <c r="K1145" s="9">
        <f t="shared" si="213"/>
        <v>70316.539999999994</v>
      </c>
      <c r="L1145" s="9">
        <f t="shared" si="212"/>
        <v>73075.504999999976</v>
      </c>
      <c r="M1145" s="9">
        <f t="shared" si="211"/>
        <v>7.3487090218795036E-3</v>
      </c>
      <c r="N1145" s="9">
        <f t="shared" si="214"/>
        <v>9.8478332886779048E-3</v>
      </c>
    </row>
    <row r="1146" spans="1:14" x14ac:dyDescent="0.35">
      <c r="A1146" s="1">
        <v>44046</v>
      </c>
      <c r="B1146" s="2" t="s">
        <v>1146</v>
      </c>
      <c r="C1146">
        <f t="shared" si="203"/>
        <v>67782.2</v>
      </c>
      <c r="D1146">
        <f t="shared" si="204"/>
        <v>2020</v>
      </c>
      <c r="E1146">
        <f t="shared" si="205"/>
        <v>8</v>
      </c>
      <c r="F1146" t="str">
        <f t="shared" si="207"/>
        <v>August</v>
      </c>
      <c r="G1146">
        <f t="shared" si="206"/>
        <v>3</v>
      </c>
      <c r="H1146" s="7">
        <f t="shared" si="208"/>
        <v>-1.1737892468967011</v>
      </c>
      <c r="I1146" s="9">
        <f t="shared" si="209"/>
        <v>-1.180732539439764E-2</v>
      </c>
      <c r="J1146" s="9">
        <f t="shared" si="210"/>
        <v>68094.708571428579</v>
      </c>
      <c r="K1146" s="9">
        <f t="shared" si="213"/>
        <v>70191.119333333336</v>
      </c>
      <c r="L1146" s="9">
        <f t="shared" si="212"/>
        <v>73007.647111111088</v>
      </c>
      <c r="M1146" s="9">
        <f t="shared" si="211"/>
        <v>7.4374535748976834E-3</v>
      </c>
      <c r="N1146" s="9">
        <f t="shared" si="214"/>
        <v>1.0016801324828828E-2</v>
      </c>
    </row>
    <row r="1147" spans="1:14" x14ac:dyDescent="0.35">
      <c r="A1147" s="1">
        <v>44047</v>
      </c>
      <c r="B1147" s="2" t="s">
        <v>1147</v>
      </c>
      <c r="C1147">
        <f t="shared" si="203"/>
        <v>67464.69</v>
      </c>
      <c r="D1147">
        <f t="shared" si="204"/>
        <v>2020</v>
      </c>
      <c r="E1147">
        <f t="shared" si="205"/>
        <v>8</v>
      </c>
      <c r="F1147" t="str">
        <f t="shared" si="207"/>
        <v>August</v>
      </c>
      <c r="G1147">
        <f t="shared" si="206"/>
        <v>4</v>
      </c>
      <c r="H1147" s="7">
        <f t="shared" si="208"/>
        <v>-0.46842681411933329</v>
      </c>
      <c r="I1147" s="9">
        <f t="shared" si="209"/>
        <v>-4.6952737073342101E-3</v>
      </c>
      <c r="J1147" s="9">
        <f t="shared" si="210"/>
        <v>67978.321428571435</v>
      </c>
      <c r="K1147" s="9">
        <f t="shared" si="213"/>
        <v>70058.946333333341</v>
      </c>
      <c r="L1147" s="9">
        <f t="shared" si="212"/>
        <v>72949.645666666664</v>
      </c>
      <c r="M1147" s="9">
        <f t="shared" si="211"/>
        <v>6.2586281010622163E-3</v>
      </c>
      <c r="N1147" s="9">
        <f t="shared" si="214"/>
        <v>1.0030601206860956E-2</v>
      </c>
    </row>
    <row r="1148" spans="1:14" x14ac:dyDescent="0.35">
      <c r="A1148" s="1">
        <v>44048</v>
      </c>
      <c r="B1148" s="2" t="s">
        <v>1148</v>
      </c>
      <c r="C1148">
        <f t="shared" si="203"/>
        <v>67759.759999999995</v>
      </c>
      <c r="D1148">
        <f t="shared" si="204"/>
        <v>2020</v>
      </c>
      <c r="E1148">
        <f t="shared" si="205"/>
        <v>8</v>
      </c>
      <c r="F1148" t="str">
        <f t="shared" si="207"/>
        <v>August</v>
      </c>
      <c r="G1148">
        <f t="shared" si="206"/>
        <v>5</v>
      </c>
      <c r="H1148" s="7">
        <f t="shared" si="208"/>
        <v>0.43736953360341896</v>
      </c>
      <c r="I1148" s="9">
        <f t="shared" si="209"/>
        <v>4.364158527872114E-3</v>
      </c>
      <c r="J1148" s="9">
        <f t="shared" si="210"/>
        <v>67946.401428571437</v>
      </c>
      <c r="K1148" s="9">
        <f t="shared" si="213"/>
        <v>69928.060666666657</v>
      </c>
      <c r="L1148" s="9">
        <f t="shared" si="212"/>
        <v>72898.102777777764</v>
      </c>
      <c r="M1148" s="9">
        <f t="shared" si="211"/>
        <v>6.5090163908489403E-3</v>
      </c>
      <c r="N1148" s="9">
        <f t="shared" si="214"/>
        <v>1.0046321935387374E-2</v>
      </c>
    </row>
    <row r="1149" spans="1:14" x14ac:dyDescent="0.35">
      <c r="A1149" s="1">
        <v>44049</v>
      </c>
      <c r="B1149" s="2" t="s">
        <v>1149</v>
      </c>
      <c r="C1149">
        <f t="shared" si="203"/>
        <v>67475.09</v>
      </c>
      <c r="D1149">
        <f t="shared" si="204"/>
        <v>2020</v>
      </c>
      <c r="E1149">
        <f t="shared" si="205"/>
        <v>8</v>
      </c>
      <c r="F1149" t="str">
        <f t="shared" si="207"/>
        <v>August</v>
      </c>
      <c r="G1149">
        <f t="shared" si="206"/>
        <v>6</v>
      </c>
      <c r="H1149" s="7">
        <f t="shared" si="208"/>
        <v>-0.42011660017685759</v>
      </c>
      <c r="I1149" s="9">
        <f t="shared" si="209"/>
        <v>-4.2100156943712412E-3</v>
      </c>
      <c r="J1149" s="9">
        <f t="shared" si="210"/>
        <v>67864.365714285726</v>
      </c>
      <c r="K1149" s="9">
        <f t="shared" si="213"/>
        <v>69770.308999999994</v>
      </c>
      <c r="L1149" s="9">
        <f t="shared" si="212"/>
        <v>72833.427333333311</v>
      </c>
      <c r="M1149" s="9">
        <f t="shared" si="211"/>
        <v>6.6114925979563078E-3</v>
      </c>
      <c r="N1149" s="9">
        <f t="shared" si="214"/>
        <v>9.9042933039473358E-3</v>
      </c>
    </row>
    <row r="1150" spans="1:14" x14ac:dyDescent="0.35">
      <c r="A1150" s="1">
        <v>44050</v>
      </c>
      <c r="B1150" s="2" t="s">
        <v>1150</v>
      </c>
      <c r="C1150">
        <f t="shared" si="203"/>
        <v>67615.31</v>
      </c>
      <c r="D1150">
        <f t="shared" si="204"/>
        <v>2020</v>
      </c>
      <c r="E1150">
        <f t="shared" si="205"/>
        <v>8</v>
      </c>
      <c r="F1150" t="str">
        <f t="shared" si="207"/>
        <v>August</v>
      </c>
      <c r="G1150">
        <f t="shared" si="206"/>
        <v>7</v>
      </c>
      <c r="H1150" s="7">
        <f t="shared" si="208"/>
        <v>0.20781002292846318</v>
      </c>
      <c r="I1150" s="9">
        <f t="shared" si="209"/>
        <v>2.0759439657742434E-3</v>
      </c>
      <c r="J1150" s="9">
        <f t="shared" si="210"/>
        <v>67834.361428571428</v>
      </c>
      <c r="K1150" s="9">
        <f t="shared" si="213"/>
        <v>69610.69</v>
      </c>
      <c r="L1150" s="9">
        <f t="shared" si="212"/>
        <v>72754.326666666646</v>
      </c>
      <c r="M1150" s="9">
        <f t="shared" si="211"/>
        <v>6.6407184432000412E-3</v>
      </c>
      <c r="N1150" s="9">
        <f t="shared" si="214"/>
        <v>9.8939238313016636E-3</v>
      </c>
    </row>
    <row r="1151" spans="1:14" x14ac:dyDescent="0.35">
      <c r="A1151" s="1">
        <v>44054</v>
      </c>
      <c r="B1151" s="2" t="s">
        <v>1151</v>
      </c>
      <c r="C1151">
        <f t="shared" si="203"/>
        <v>66980.45</v>
      </c>
      <c r="D1151">
        <f t="shared" si="204"/>
        <v>2020</v>
      </c>
      <c r="E1151">
        <f t="shared" si="205"/>
        <v>8</v>
      </c>
      <c r="F1151" t="str">
        <f t="shared" si="207"/>
        <v>August</v>
      </c>
      <c r="G1151">
        <f t="shared" si="206"/>
        <v>11</v>
      </c>
      <c r="H1151" s="7">
        <f t="shared" si="208"/>
        <v>-0.93892936377870728</v>
      </c>
      <c r="I1151" s="9">
        <f t="shared" si="209"/>
        <v>-9.4336509293964557E-3</v>
      </c>
      <c r="J1151" s="9">
        <f t="shared" si="210"/>
        <v>67666.395714285711</v>
      </c>
      <c r="K1151" s="9">
        <f t="shared" si="213"/>
        <v>69412.063333333339</v>
      </c>
      <c r="L1151" s="9">
        <f t="shared" si="212"/>
        <v>72638.655555555539</v>
      </c>
      <c r="M1151" s="9">
        <f t="shared" si="211"/>
        <v>6.9284679434090616E-3</v>
      </c>
      <c r="N1151" s="9">
        <f t="shared" si="214"/>
        <v>9.8040715132481984E-3</v>
      </c>
    </row>
    <row r="1152" spans="1:14" x14ac:dyDescent="0.35">
      <c r="A1152" s="1">
        <v>44055</v>
      </c>
      <c r="B1152" s="2" t="s">
        <v>1152</v>
      </c>
      <c r="C1152">
        <f t="shared" si="203"/>
        <v>67050.52</v>
      </c>
      <c r="D1152">
        <f t="shared" si="204"/>
        <v>2020</v>
      </c>
      <c r="E1152">
        <f t="shared" si="205"/>
        <v>8</v>
      </c>
      <c r="F1152" t="str">
        <f t="shared" si="207"/>
        <v>August</v>
      </c>
      <c r="G1152">
        <f t="shared" si="206"/>
        <v>12</v>
      </c>
      <c r="H1152" s="7">
        <f t="shared" si="208"/>
        <v>0.10461261457635324</v>
      </c>
      <c r="I1152" s="9">
        <f t="shared" si="209"/>
        <v>1.0455793371277149E-3</v>
      </c>
      <c r="J1152" s="9">
        <f t="shared" si="210"/>
        <v>67446.86</v>
      </c>
      <c r="K1152" s="9">
        <f t="shared" si="213"/>
        <v>69279.859666666671</v>
      </c>
      <c r="L1152" s="9">
        <f t="shared" si="212"/>
        <v>72522.148888888856</v>
      </c>
      <c r="M1152" s="9">
        <f t="shared" si="211"/>
        <v>6.0452150750730975E-3</v>
      </c>
      <c r="N1152" s="9">
        <f t="shared" si="214"/>
        <v>8.723777589464788E-3</v>
      </c>
    </row>
    <row r="1153" spans="1:14" x14ac:dyDescent="0.35">
      <c r="A1153" s="1">
        <v>44056</v>
      </c>
      <c r="B1153" s="2" t="s">
        <v>1153</v>
      </c>
      <c r="C1153">
        <f t="shared" si="203"/>
        <v>66057.58</v>
      </c>
      <c r="D1153">
        <f t="shared" si="204"/>
        <v>2020</v>
      </c>
      <c r="E1153">
        <f t="shared" si="205"/>
        <v>8</v>
      </c>
      <c r="F1153" t="str">
        <f t="shared" si="207"/>
        <v>August</v>
      </c>
      <c r="G1153">
        <f t="shared" si="206"/>
        <v>13</v>
      </c>
      <c r="H1153" s="7">
        <f t="shared" si="208"/>
        <v>-1.4808833697337505</v>
      </c>
      <c r="I1153" s="9">
        <f t="shared" si="209"/>
        <v>-1.4919579176011017E-2</v>
      </c>
      <c r="J1153" s="9">
        <f t="shared" si="210"/>
        <v>67200.485714285722</v>
      </c>
      <c r="K1153" s="9">
        <f t="shared" si="213"/>
        <v>69121.525666666668</v>
      </c>
      <c r="L1153" s="9">
        <f t="shared" si="212"/>
        <v>72399.336555555536</v>
      </c>
      <c r="M1153" s="9">
        <f t="shared" si="211"/>
        <v>6.842450709781101E-3</v>
      </c>
      <c r="N1153" s="9">
        <f t="shared" si="214"/>
        <v>9.0406848011399428E-3</v>
      </c>
    </row>
    <row r="1154" spans="1:14" x14ac:dyDescent="0.35">
      <c r="A1154" s="1">
        <v>44057</v>
      </c>
      <c r="B1154" s="2" t="s">
        <v>1154</v>
      </c>
      <c r="C1154">
        <f t="shared" si="203"/>
        <v>66894.789999999994</v>
      </c>
      <c r="D1154">
        <f t="shared" si="204"/>
        <v>2020</v>
      </c>
      <c r="E1154">
        <f t="shared" si="205"/>
        <v>8</v>
      </c>
      <c r="F1154" t="str">
        <f t="shared" si="207"/>
        <v>August</v>
      </c>
      <c r="G1154">
        <f t="shared" si="206"/>
        <v>14</v>
      </c>
      <c r="H1154" s="7">
        <f t="shared" si="208"/>
        <v>1.2673942944927619</v>
      </c>
      <c r="I1154" s="9">
        <f t="shared" si="209"/>
        <v>1.2594300744563023E-2</v>
      </c>
      <c r="J1154" s="9">
        <f t="shared" si="210"/>
        <v>67119.071428571435</v>
      </c>
      <c r="K1154" s="9">
        <f t="shared" si="213"/>
        <v>68983.993333333332</v>
      </c>
      <c r="L1154" s="9">
        <f t="shared" si="212"/>
        <v>72297.161888888877</v>
      </c>
      <c r="M1154" s="9">
        <f t="shared" si="211"/>
        <v>9.1478239038981658E-3</v>
      </c>
      <c r="N1154" s="9">
        <f t="shared" si="214"/>
        <v>9.3977062331849857E-3</v>
      </c>
    </row>
    <row r="1155" spans="1:14" x14ac:dyDescent="0.35">
      <c r="A1155" s="1">
        <v>44060</v>
      </c>
      <c r="B1155" s="2" t="s">
        <v>1155</v>
      </c>
      <c r="C1155">
        <f t="shared" ref="C1155:C1218" si="215">_xlfn.NUMBERVALUE(B1155,".",",")</f>
        <v>66776.149999999994</v>
      </c>
      <c r="D1155">
        <f t="shared" ref="D1155:D1218" si="216">YEAR(A1155)</f>
        <v>2020</v>
      </c>
      <c r="E1155">
        <f t="shared" ref="E1155:E1218" si="217">MONTH(A1155)</f>
        <v>8</v>
      </c>
      <c r="F1155" t="str">
        <f t="shared" si="207"/>
        <v>August</v>
      </c>
      <c r="G1155">
        <f t="shared" ref="G1155:G1218" si="218">DAY(A1155)</f>
        <v>17</v>
      </c>
      <c r="H1155" s="7">
        <f t="shared" si="208"/>
        <v>-0.1773531242119146</v>
      </c>
      <c r="I1155" s="9">
        <f t="shared" si="209"/>
        <v>-1.7751058106255184E-3</v>
      </c>
      <c r="J1155" s="9">
        <f t="shared" si="210"/>
        <v>66978.555714285714</v>
      </c>
      <c r="K1155" s="9">
        <f t="shared" si="213"/>
        <v>68836.595666666675</v>
      </c>
      <c r="L1155" s="9">
        <f t="shared" si="212"/>
        <v>72214.611444444439</v>
      </c>
      <c r="M1155" s="9">
        <f t="shared" si="211"/>
        <v>8.812269505133653E-3</v>
      </c>
      <c r="N1155" s="9">
        <f t="shared" si="214"/>
        <v>9.3596391039882758E-3</v>
      </c>
    </row>
    <row r="1156" spans="1:14" x14ac:dyDescent="0.35">
      <c r="A1156" s="1">
        <v>44061</v>
      </c>
      <c r="B1156" s="2" t="s">
        <v>1156</v>
      </c>
      <c r="C1156">
        <f t="shared" si="215"/>
        <v>66792.100000000006</v>
      </c>
      <c r="D1156">
        <f t="shared" si="216"/>
        <v>2020</v>
      </c>
      <c r="E1156">
        <f t="shared" si="217"/>
        <v>8</v>
      </c>
      <c r="F1156" t="str">
        <f t="shared" ref="F1156:F1219" si="219">TEXT(A1156,"mmmm")</f>
        <v>August</v>
      </c>
      <c r="G1156">
        <f t="shared" si="218"/>
        <v>18</v>
      </c>
      <c r="H1156" s="7">
        <f t="shared" ref="H1156:H1219" si="220">((C1156-C1155)/C1155)*100</f>
        <v>2.388577358834201E-2</v>
      </c>
      <c r="I1156" s="9">
        <f t="shared" ref="I1156:I1219" si="221">LN(C1156/C1155)</f>
        <v>2.3882921391609995E-4</v>
      </c>
      <c r="J1156" s="9">
        <f t="shared" si="210"/>
        <v>66880.985714285722</v>
      </c>
      <c r="K1156" s="9">
        <f t="shared" si="213"/>
        <v>68713.83166666668</v>
      </c>
      <c r="L1156" s="9">
        <f t="shared" si="212"/>
        <v>72137.889111111101</v>
      </c>
      <c r="M1156" s="9">
        <f t="shared" si="211"/>
        <v>8.7942081659896556E-3</v>
      </c>
      <c r="N1156" s="9">
        <f t="shared" si="214"/>
        <v>9.24263528083797E-3</v>
      </c>
    </row>
    <row r="1157" spans="1:14" x14ac:dyDescent="0.35">
      <c r="A1157" s="1">
        <v>44062</v>
      </c>
      <c r="B1157" s="2" t="s">
        <v>1157</v>
      </c>
      <c r="C1157">
        <f t="shared" si="215"/>
        <v>67028.86</v>
      </c>
      <c r="D1157">
        <f t="shared" si="216"/>
        <v>2020</v>
      </c>
      <c r="E1157">
        <f t="shared" si="217"/>
        <v>8</v>
      </c>
      <c r="F1157" t="str">
        <f t="shared" si="219"/>
        <v>August</v>
      </c>
      <c r="G1157">
        <f t="shared" si="218"/>
        <v>19</v>
      </c>
      <c r="H1157" s="7">
        <f t="shared" si="220"/>
        <v>0.35447305893959724</v>
      </c>
      <c r="I1157" s="9">
        <f t="shared" si="221"/>
        <v>3.5384628392105644E-3</v>
      </c>
      <c r="J1157" s="9">
        <f t="shared" si="210"/>
        <v>66797.207142857136</v>
      </c>
      <c r="K1157" s="9">
        <f t="shared" si="213"/>
        <v>68614.509000000005</v>
      </c>
      <c r="L1157" s="9">
        <f t="shared" si="212"/>
        <v>72049.464777777772</v>
      </c>
      <c r="M1157" s="9">
        <f t="shared" si="211"/>
        <v>8.9086605280190596E-3</v>
      </c>
      <c r="N1157" s="9">
        <f t="shared" si="214"/>
        <v>9.2452229907724615E-3</v>
      </c>
    </row>
    <row r="1158" spans="1:14" x14ac:dyDescent="0.35">
      <c r="A1158" s="1">
        <v>44063</v>
      </c>
      <c r="B1158" s="2" t="s">
        <v>1158</v>
      </c>
      <c r="C1158">
        <f t="shared" si="215"/>
        <v>66846.17</v>
      </c>
      <c r="D1158">
        <f t="shared" si="216"/>
        <v>2020</v>
      </c>
      <c r="E1158">
        <f t="shared" si="217"/>
        <v>8</v>
      </c>
      <c r="F1158" t="str">
        <f t="shared" si="219"/>
        <v>August</v>
      </c>
      <c r="G1158">
        <f t="shared" si="218"/>
        <v>20</v>
      </c>
      <c r="H1158" s="7">
        <f t="shared" si="220"/>
        <v>-0.27255424006913193</v>
      </c>
      <c r="I1158" s="9">
        <f t="shared" si="221"/>
        <v>-2.7292634541776009E-3</v>
      </c>
      <c r="J1158" s="9">
        <f t="shared" si="210"/>
        <v>66778.024285714288</v>
      </c>
      <c r="K1158" s="9">
        <f t="shared" si="213"/>
        <v>68555.548666666669</v>
      </c>
      <c r="L1158" s="9">
        <f t="shared" si="212"/>
        <v>71951.601777777774</v>
      </c>
      <c r="M1158" s="9">
        <f t="shared" si="211"/>
        <v>8.2148830502637733E-3</v>
      </c>
      <c r="N1158" s="9">
        <f t="shared" si="214"/>
        <v>8.554600975999551E-3</v>
      </c>
    </row>
    <row r="1159" spans="1:14" x14ac:dyDescent="0.35">
      <c r="A1159" s="1">
        <v>44064</v>
      </c>
      <c r="B1159" s="2" t="s">
        <v>1159</v>
      </c>
      <c r="C1159">
        <f t="shared" si="215"/>
        <v>66012.78</v>
      </c>
      <c r="D1159">
        <f t="shared" si="216"/>
        <v>2020</v>
      </c>
      <c r="E1159">
        <f t="shared" si="217"/>
        <v>8</v>
      </c>
      <c r="F1159" t="str">
        <f t="shared" si="219"/>
        <v>August</v>
      </c>
      <c r="G1159">
        <f t="shared" si="218"/>
        <v>21</v>
      </c>
      <c r="H1159" s="7">
        <f t="shared" si="220"/>
        <v>-1.2467281221945843</v>
      </c>
      <c r="I1159" s="9">
        <f t="shared" si="221"/>
        <v>-1.254564981594217E-2</v>
      </c>
      <c r="J1159" s="9">
        <f t="shared" si="210"/>
        <v>66629.775714285701</v>
      </c>
      <c r="K1159" s="9">
        <f t="shared" si="213"/>
        <v>68404.152000000002</v>
      </c>
      <c r="L1159" s="9">
        <f t="shared" si="212"/>
        <v>71845.871999999988</v>
      </c>
      <c r="M1159" s="9">
        <f t="shared" si="211"/>
        <v>9.37216087442822E-3</v>
      </c>
      <c r="N1159" s="9">
        <f t="shared" si="214"/>
        <v>6.8924387906436841E-3</v>
      </c>
    </row>
    <row r="1160" spans="1:14" x14ac:dyDescent="0.35">
      <c r="A1160" s="1">
        <v>44067</v>
      </c>
      <c r="B1160" s="2" t="s">
        <v>1160</v>
      </c>
      <c r="C1160">
        <f t="shared" si="215"/>
        <v>65988.12</v>
      </c>
      <c r="D1160">
        <f t="shared" si="216"/>
        <v>2020</v>
      </c>
      <c r="E1160">
        <f t="shared" si="217"/>
        <v>8</v>
      </c>
      <c r="F1160" t="str">
        <f t="shared" si="219"/>
        <v>August</v>
      </c>
      <c r="G1160">
        <f t="shared" si="218"/>
        <v>24</v>
      </c>
      <c r="H1160" s="7">
        <f t="shared" si="220"/>
        <v>-3.7356402805643833E-2</v>
      </c>
      <c r="I1160" s="9">
        <f t="shared" si="221"/>
        <v>-3.7363382047980156E-4</v>
      </c>
      <c r="J1160" s="9">
        <f t="shared" si="210"/>
        <v>66619.852857142847</v>
      </c>
      <c r="K1160" s="9">
        <f t="shared" si="213"/>
        <v>68251.793000000005</v>
      </c>
      <c r="L1160" s="9">
        <f t="shared" si="212"/>
        <v>71730.536222222217</v>
      </c>
      <c r="M1160" s="9">
        <f t="shared" si="211"/>
        <v>7.5185200498760233E-3</v>
      </c>
      <c r="N1160" s="9">
        <f t="shared" si="214"/>
        <v>6.8879538216474806E-3</v>
      </c>
    </row>
    <row r="1161" spans="1:14" x14ac:dyDescent="0.35">
      <c r="A1161" s="1">
        <v>44068</v>
      </c>
      <c r="B1161" s="2" t="s">
        <v>1161</v>
      </c>
      <c r="C1161">
        <f t="shared" si="215"/>
        <v>66101.039999999994</v>
      </c>
      <c r="D1161">
        <f t="shared" si="216"/>
        <v>2020</v>
      </c>
      <c r="E1161">
        <f t="shared" si="217"/>
        <v>8</v>
      </c>
      <c r="F1161" t="str">
        <f t="shared" si="219"/>
        <v>August</v>
      </c>
      <c r="G1161">
        <f t="shared" si="218"/>
        <v>25</v>
      </c>
      <c r="H1161" s="7">
        <f t="shared" si="220"/>
        <v>0.17112171099888626</v>
      </c>
      <c r="I1161" s="9">
        <f t="shared" si="221"/>
        <v>1.7097546461478676E-3</v>
      </c>
      <c r="J1161" s="9">
        <f t="shared" ref="J1161:J1224" si="222">AVERAGE(C1155:C1161)</f>
        <v>66506.459999999992</v>
      </c>
      <c r="K1161" s="9">
        <f t="shared" si="213"/>
        <v>68087.981</v>
      </c>
      <c r="L1161" s="9">
        <f t="shared" si="212"/>
        <v>71618.828999999998</v>
      </c>
      <c r="M1161" s="9">
        <f t="shared" si="211"/>
        <v>5.2166269157376934E-3</v>
      </c>
      <c r="N1161" s="9">
        <f t="shared" si="214"/>
        <v>6.7346169594328775E-3</v>
      </c>
    </row>
    <row r="1162" spans="1:14" x14ac:dyDescent="0.35">
      <c r="A1162" s="1">
        <v>44069</v>
      </c>
      <c r="B1162" s="2" t="s">
        <v>1162</v>
      </c>
      <c r="C1162">
        <f t="shared" si="215"/>
        <v>65242.61</v>
      </c>
      <c r="D1162">
        <f t="shared" si="216"/>
        <v>2020</v>
      </c>
      <c r="E1162">
        <f t="shared" si="217"/>
        <v>8</v>
      </c>
      <c r="F1162" t="str">
        <f t="shared" si="219"/>
        <v>August</v>
      </c>
      <c r="G1162">
        <f t="shared" si="218"/>
        <v>26</v>
      </c>
      <c r="H1162" s="7">
        <f t="shared" si="220"/>
        <v>-1.2986633795776785</v>
      </c>
      <c r="I1162" s="9">
        <f t="shared" si="221"/>
        <v>-1.3071697386832013E-2</v>
      </c>
      <c r="J1162" s="9">
        <f t="shared" si="222"/>
        <v>66287.38285714286</v>
      </c>
      <c r="K1162" s="9">
        <f t="shared" si="213"/>
        <v>67900.539666666678</v>
      </c>
      <c r="L1162" s="9">
        <f t="shared" si="212"/>
        <v>71493.718111111113</v>
      </c>
      <c r="M1162" s="9">
        <f t="shared" ref="M1162:M1225" si="223">STDEV(I1156:I1162)</f>
        <v>6.7606762835064555E-3</v>
      </c>
      <c r="N1162" s="9">
        <f t="shared" si="214"/>
        <v>7.0105842200741033E-3</v>
      </c>
    </row>
    <row r="1163" spans="1:14" x14ac:dyDescent="0.35">
      <c r="A1163" s="1">
        <v>44070</v>
      </c>
      <c r="B1163" s="2" t="s">
        <v>1163</v>
      </c>
      <c r="C1163">
        <f t="shared" si="215"/>
        <v>65157.75</v>
      </c>
      <c r="D1163">
        <f t="shared" si="216"/>
        <v>2020</v>
      </c>
      <c r="E1163">
        <f t="shared" si="217"/>
        <v>8</v>
      </c>
      <c r="F1163" t="str">
        <f t="shared" si="219"/>
        <v>August</v>
      </c>
      <c r="G1163">
        <f t="shared" si="218"/>
        <v>27</v>
      </c>
      <c r="H1163" s="7">
        <f t="shared" si="220"/>
        <v>-0.13006837096186155</v>
      </c>
      <c r="I1163" s="9">
        <f t="shared" si="221"/>
        <v>-1.301530332880584E-3</v>
      </c>
      <c r="J1163" s="9">
        <f t="shared" si="222"/>
        <v>66053.904285714278</v>
      </c>
      <c r="K1163" s="9">
        <f t="shared" si="213"/>
        <v>67726.584000000003</v>
      </c>
      <c r="L1163" s="9">
        <f t="shared" si="212"/>
        <v>71374.880222222229</v>
      </c>
      <c r="M1163" s="9">
        <f t="shared" si="223"/>
        <v>6.6497299787633916E-3</v>
      </c>
      <c r="N1163" s="9">
        <f t="shared" si="214"/>
        <v>6.9702142477412665E-3</v>
      </c>
    </row>
    <row r="1164" spans="1:14" x14ac:dyDescent="0.35">
      <c r="A1164" s="1">
        <v>44071</v>
      </c>
      <c r="B1164" s="2" t="s">
        <v>1164</v>
      </c>
      <c r="C1164">
        <f t="shared" si="215"/>
        <v>63987.02</v>
      </c>
      <c r="D1164">
        <f t="shared" si="216"/>
        <v>2020</v>
      </c>
      <c r="E1164">
        <f t="shared" si="217"/>
        <v>8</v>
      </c>
      <c r="F1164" t="str">
        <f t="shared" si="219"/>
        <v>August</v>
      </c>
      <c r="G1164">
        <f t="shared" si="218"/>
        <v>28</v>
      </c>
      <c r="H1164" s="7">
        <f t="shared" si="220"/>
        <v>-1.7967624726145444</v>
      </c>
      <c r="I1164" s="9">
        <f t="shared" si="221"/>
        <v>-1.8131002460480966E-2</v>
      </c>
      <c r="J1164" s="9">
        <f t="shared" si="222"/>
        <v>65619.355714285717</v>
      </c>
      <c r="K1164" s="9">
        <f t="shared" si="213"/>
        <v>67497.265666666659</v>
      </c>
      <c r="L1164" s="9">
        <f t="shared" si="212"/>
        <v>71244.011999999988</v>
      </c>
      <c r="M1164" s="9">
        <f t="shared" si="223"/>
        <v>7.7574183818142723E-3</v>
      </c>
      <c r="N1164" s="9">
        <f t="shared" si="214"/>
        <v>7.2866499879739614E-3</v>
      </c>
    </row>
    <row r="1165" spans="1:14" x14ac:dyDescent="0.35">
      <c r="A1165" s="1">
        <v>44074</v>
      </c>
      <c r="B1165" s="2" t="s">
        <v>1165</v>
      </c>
      <c r="C1165">
        <f t="shared" si="215"/>
        <v>64542.87</v>
      </c>
      <c r="D1165">
        <f t="shared" si="216"/>
        <v>2020</v>
      </c>
      <c r="E1165">
        <f t="shared" si="217"/>
        <v>8</v>
      </c>
      <c r="F1165" t="str">
        <f t="shared" si="219"/>
        <v>August</v>
      </c>
      <c r="G1165">
        <f t="shared" si="218"/>
        <v>31</v>
      </c>
      <c r="H1165" s="7">
        <f t="shared" si="220"/>
        <v>0.86869180655702649</v>
      </c>
      <c r="I1165" s="9">
        <f t="shared" si="221"/>
        <v>8.6494038913214298E-3</v>
      </c>
      <c r="J1165" s="9">
        <f t="shared" si="222"/>
        <v>65290.312857142861</v>
      </c>
      <c r="K1165" s="9">
        <f t="shared" si="213"/>
        <v>67283.950000000012</v>
      </c>
      <c r="L1165" s="9">
        <f t="shared" si="212"/>
        <v>71112.455555555556</v>
      </c>
      <c r="M1165" s="9">
        <f t="shared" si="223"/>
        <v>9.6688567034809263E-3</v>
      </c>
      <c r="N1165" s="9">
        <f t="shared" si="214"/>
        <v>7.5729251005097961E-3</v>
      </c>
    </row>
    <row r="1166" spans="1:14" x14ac:dyDescent="0.35">
      <c r="A1166" s="1">
        <v>44075</v>
      </c>
      <c r="B1166" s="2" t="s">
        <v>1166</v>
      </c>
      <c r="C1166">
        <f t="shared" si="215"/>
        <v>64129</v>
      </c>
      <c r="D1166">
        <f t="shared" si="216"/>
        <v>2020</v>
      </c>
      <c r="E1166">
        <f t="shared" si="217"/>
        <v>9</v>
      </c>
      <c r="F1166" t="str">
        <f t="shared" si="219"/>
        <v>September</v>
      </c>
      <c r="G1166">
        <f t="shared" si="218"/>
        <v>1</v>
      </c>
      <c r="H1166" s="7">
        <f t="shared" si="220"/>
        <v>-0.64123271865661169</v>
      </c>
      <c r="I1166" s="9">
        <f t="shared" si="221"/>
        <v>-6.4329744686191367E-3</v>
      </c>
      <c r="J1166" s="9">
        <f t="shared" si="222"/>
        <v>65021.201428571425</v>
      </c>
      <c r="K1166" s="9">
        <f t="shared" si="213"/>
        <v>67056.969666666671</v>
      </c>
      <c r="L1166" s="9">
        <f t="shared" si="212"/>
        <v>70974.053444444435</v>
      </c>
      <c r="M1166" s="9">
        <f t="shared" si="223"/>
        <v>9.1361178020950805E-3</v>
      </c>
      <c r="N1166" s="9">
        <f t="shared" si="214"/>
        <v>7.5725369524221658E-3</v>
      </c>
    </row>
    <row r="1167" spans="1:14" x14ac:dyDescent="0.35">
      <c r="A1167" s="1">
        <v>44076</v>
      </c>
      <c r="B1167" s="2" t="s">
        <v>1167</v>
      </c>
      <c r="C1167">
        <f t="shared" si="215"/>
        <v>63661.02</v>
      </c>
      <c r="D1167">
        <f t="shared" si="216"/>
        <v>2020</v>
      </c>
      <c r="E1167">
        <f t="shared" si="217"/>
        <v>9</v>
      </c>
      <c r="F1167" t="str">
        <f t="shared" si="219"/>
        <v>September</v>
      </c>
      <c r="G1167">
        <f t="shared" si="218"/>
        <v>2</v>
      </c>
      <c r="H1167" s="7">
        <f t="shared" si="220"/>
        <v>-0.72974785198584602</v>
      </c>
      <c r="I1167" s="9">
        <f t="shared" si="221"/>
        <v>-7.3242353673824258E-3</v>
      </c>
      <c r="J1167" s="9">
        <f t="shared" si="222"/>
        <v>64688.758571428574</v>
      </c>
      <c r="K1167" s="9">
        <f t="shared" si="213"/>
        <v>66842.652333333332</v>
      </c>
      <c r="L1167" s="9">
        <f t="shared" si="212"/>
        <v>70829.276777777763</v>
      </c>
      <c r="M1167" s="9">
        <f t="shared" si="223"/>
        <v>9.0362272766875713E-3</v>
      </c>
      <c r="N1167" s="9">
        <f t="shared" si="214"/>
        <v>7.4345483536516505E-3</v>
      </c>
    </row>
    <row r="1168" spans="1:14" x14ac:dyDescent="0.35">
      <c r="A1168" s="1">
        <v>44077</v>
      </c>
      <c r="B1168" s="2" t="s">
        <v>1168</v>
      </c>
      <c r="C1168">
        <f t="shared" si="215"/>
        <v>64281.77</v>
      </c>
      <c r="D1168">
        <f t="shared" si="216"/>
        <v>2020</v>
      </c>
      <c r="E1168">
        <f t="shared" si="217"/>
        <v>9</v>
      </c>
      <c r="F1168" t="str">
        <f t="shared" si="219"/>
        <v>September</v>
      </c>
      <c r="G1168">
        <f t="shared" si="218"/>
        <v>3</v>
      </c>
      <c r="H1168" s="7">
        <f t="shared" si="220"/>
        <v>0.97508648149212807</v>
      </c>
      <c r="I1168" s="9">
        <f t="shared" si="221"/>
        <v>9.7036319254119718E-3</v>
      </c>
      <c r="J1168" s="9">
        <f t="shared" si="222"/>
        <v>64428.862857142864</v>
      </c>
      <c r="K1168" s="9">
        <f t="shared" si="213"/>
        <v>66654.665666666668</v>
      </c>
      <c r="L1168" s="9">
        <f t="shared" si="212"/>
        <v>70698.06844444442</v>
      </c>
      <c r="M1168" s="9">
        <f t="shared" si="223"/>
        <v>1.0440532524053142E-2</v>
      </c>
      <c r="N1168" s="9">
        <f t="shared" si="214"/>
        <v>7.7993591039928426E-3</v>
      </c>
    </row>
    <row r="1169" spans="1:14" x14ac:dyDescent="0.35">
      <c r="A1169" s="1">
        <v>44078</v>
      </c>
      <c r="B1169" s="2" t="s">
        <v>1169</v>
      </c>
      <c r="C1169">
        <f t="shared" si="215"/>
        <v>64363.66</v>
      </c>
      <c r="D1169">
        <f t="shared" si="216"/>
        <v>2020</v>
      </c>
      <c r="E1169">
        <f t="shared" si="217"/>
        <v>9</v>
      </c>
      <c r="F1169" t="str">
        <f t="shared" si="219"/>
        <v>September</v>
      </c>
      <c r="G1169">
        <f t="shared" si="218"/>
        <v>4</v>
      </c>
      <c r="H1169" s="7">
        <f t="shared" si="220"/>
        <v>0.12739226066738157</v>
      </c>
      <c r="I1169" s="9">
        <f t="shared" si="221"/>
        <v>1.2731118557528114E-3</v>
      </c>
      <c r="J1169" s="9">
        <f t="shared" si="222"/>
        <v>64303.298571428568</v>
      </c>
      <c r="K1169" s="9">
        <f t="shared" si="213"/>
        <v>66495.735666666675</v>
      </c>
      <c r="L1169" s="9">
        <f t="shared" si="212"/>
        <v>70572.336222222206</v>
      </c>
      <c r="M1169" s="9">
        <f t="shared" si="223"/>
        <v>9.7447994916712837E-3</v>
      </c>
      <c r="N1169" s="9">
        <f t="shared" si="214"/>
        <v>7.6612496377462553E-3</v>
      </c>
    </row>
    <row r="1170" spans="1:14" x14ac:dyDescent="0.35">
      <c r="A1170" s="1">
        <v>44081</v>
      </c>
      <c r="B1170" s="2" t="s">
        <v>1170</v>
      </c>
      <c r="C1170">
        <f t="shared" si="215"/>
        <v>63784.41</v>
      </c>
      <c r="D1170">
        <f t="shared" si="216"/>
        <v>2020</v>
      </c>
      <c r="E1170">
        <f t="shared" si="217"/>
        <v>9</v>
      </c>
      <c r="F1170" t="str">
        <f t="shared" si="219"/>
        <v>September</v>
      </c>
      <c r="G1170">
        <f t="shared" si="218"/>
        <v>7</v>
      </c>
      <c r="H1170" s="7">
        <f t="shared" si="220"/>
        <v>-0.89996435877015069</v>
      </c>
      <c r="I1170" s="9">
        <f t="shared" si="221"/>
        <v>-9.0403850030730259E-3</v>
      </c>
      <c r="J1170" s="9">
        <f t="shared" si="222"/>
        <v>64107.107142857145</v>
      </c>
      <c r="K1170" s="9">
        <f t="shared" si="213"/>
        <v>66345.902666666676</v>
      </c>
      <c r="L1170" s="9">
        <f t="shared" si="212"/>
        <v>70445.429666666649</v>
      </c>
      <c r="M1170" s="9">
        <f t="shared" si="223"/>
        <v>1.0093356756981859E-2</v>
      </c>
      <c r="N1170" s="9">
        <f t="shared" si="214"/>
        <v>7.5330991287295363E-3</v>
      </c>
    </row>
    <row r="1171" spans="1:14" x14ac:dyDescent="0.35">
      <c r="A1171" s="1">
        <v>44082</v>
      </c>
      <c r="B1171" s="2" t="s">
        <v>1171</v>
      </c>
      <c r="C1171">
        <f t="shared" si="215"/>
        <v>64197.36</v>
      </c>
      <c r="D1171">
        <f t="shared" si="216"/>
        <v>2020</v>
      </c>
      <c r="E1171">
        <f t="shared" si="217"/>
        <v>9</v>
      </c>
      <c r="F1171" t="str">
        <f t="shared" si="219"/>
        <v>September</v>
      </c>
      <c r="G1171">
        <f t="shared" si="218"/>
        <v>8</v>
      </c>
      <c r="H1171" s="7">
        <f t="shared" si="220"/>
        <v>0.64741525397820099</v>
      </c>
      <c r="I1171" s="9">
        <f t="shared" si="221"/>
        <v>6.4532852312292419E-3</v>
      </c>
      <c r="J1171" s="9">
        <f t="shared" si="222"/>
        <v>64137.155714285713</v>
      </c>
      <c r="K1171" s="9">
        <f t="shared" si="213"/>
        <v>66219.708000000013</v>
      </c>
      <c r="L1171" s="9">
        <f t="shared" si="212"/>
        <v>70325.15955555554</v>
      </c>
      <c r="M1171" s="9">
        <f t="shared" si="223"/>
        <v>8.0359180374630686E-3</v>
      </c>
      <c r="N1171" s="9">
        <f t="shared" si="214"/>
        <v>7.6869135384545224E-3</v>
      </c>
    </row>
    <row r="1172" spans="1:14" x14ac:dyDescent="0.35">
      <c r="A1172" s="1">
        <v>44083</v>
      </c>
      <c r="B1172" s="2" t="s">
        <v>1172</v>
      </c>
      <c r="C1172">
        <f t="shared" si="215"/>
        <v>64049.05</v>
      </c>
      <c r="D1172">
        <f t="shared" si="216"/>
        <v>2020</v>
      </c>
      <c r="E1172">
        <f t="shared" si="217"/>
        <v>9</v>
      </c>
      <c r="F1172" t="str">
        <f t="shared" si="219"/>
        <v>September</v>
      </c>
      <c r="G1172">
        <f t="shared" si="218"/>
        <v>9</v>
      </c>
      <c r="H1172" s="7">
        <f t="shared" si="220"/>
        <v>-0.23102196102767728</v>
      </c>
      <c r="I1172" s="9">
        <f t="shared" si="221"/>
        <v>-2.3128922847039882E-3</v>
      </c>
      <c r="J1172" s="9">
        <f t="shared" si="222"/>
        <v>64066.609999999993</v>
      </c>
      <c r="K1172" s="9">
        <f t="shared" si="213"/>
        <v>66086.36500000002</v>
      </c>
      <c r="L1172" s="9">
        <f t="shared" si="212"/>
        <v>70201.362999999983</v>
      </c>
      <c r="M1172" s="9">
        <f t="shared" si="223"/>
        <v>7.2007491528287256E-3</v>
      </c>
      <c r="N1172" s="9">
        <f t="shared" si="214"/>
        <v>7.6678125045066686E-3</v>
      </c>
    </row>
    <row r="1173" spans="1:14" x14ac:dyDescent="0.35">
      <c r="A1173" s="1">
        <v>44084</v>
      </c>
      <c r="B1173" s="2" t="s">
        <v>1173</v>
      </c>
      <c r="C1173">
        <f t="shared" si="215"/>
        <v>63353.05</v>
      </c>
      <c r="D1173">
        <f t="shared" si="216"/>
        <v>2020</v>
      </c>
      <c r="E1173">
        <f t="shared" si="217"/>
        <v>9</v>
      </c>
      <c r="F1173" t="str">
        <f t="shared" si="219"/>
        <v>September</v>
      </c>
      <c r="G1173">
        <f t="shared" si="218"/>
        <v>10</v>
      </c>
      <c r="H1173" s="7">
        <f t="shared" si="220"/>
        <v>-1.0866671714881018</v>
      </c>
      <c r="I1173" s="9">
        <f t="shared" si="221"/>
        <v>-1.0926145237227743E-2</v>
      </c>
      <c r="J1173" s="9">
        <f t="shared" si="222"/>
        <v>63955.76</v>
      </c>
      <c r="K1173" s="9">
        <f t="shared" si="213"/>
        <v>65937.288666666675</v>
      </c>
      <c r="L1173" s="9">
        <f t="shared" si="212"/>
        <v>70073.183888888874</v>
      </c>
      <c r="M1173" s="9">
        <f t="shared" si="223"/>
        <v>7.9199983954318705E-3</v>
      </c>
      <c r="N1173" s="9">
        <f t="shared" si="214"/>
        <v>7.8363027257291658E-3</v>
      </c>
    </row>
    <row r="1174" spans="1:14" x14ac:dyDescent="0.35">
      <c r="A1174" s="1">
        <v>44085</v>
      </c>
      <c r="B1174" s="2" t="s">
        <v>1174</v>
      </c>
      <c r="C1174">
        <f t="shared" si="215"/>
        <v>62362.18</v>
      </c>
      <c r="D1174">
        <f t="shared" si="216"/>
        <v>2020</v>
      </c>
      <c r="E1174">
        <f t="shared" si="217"/>
        <v>9</v>
      </c>
      <c r="F1174" t="str">
        <f t="shared" si="219"/>
        <v>September</v>
      </c>
      <c r="G1174">
        <f t="shared" si="218"/>
        <v>11</v>
      </c>
      <c r="H1174" s="7">
        <f t="shared" si="220"/>
        <v>-1.5640446671470476</v>
      </c>
      <c r="I1174" s="9">
        <f t="shared" si="221"/>
        <v>-1.576404894798954E-2</v>
      </c>
      <c r="J1174" s="9">
        <f t="shared" si="222"/>
        <v>63770.211428571427</v>
      </c>
      <c r="K1174" s="9">
        <f t="shared" si="213"/>
        <v>65744.154333333339</v>
      </c>
      <c r="L1174" s="9">
        <f t="shared" si="212"/>
        <v>69940.49077777777</v>
      </c>
      <c r="M1174" s="9">
        <f t="shared" si="223"/>
        <v>9.4135372016516099E-3</v>
      </c>
      <c r="N1174" s="9">
        <f t="shared" si="214"/>
        <v>8.0892442302025122E-3</v>
      </c>
    </row>
    <row r="1175" spans="1:14" x14ac:dyDescent="0.35">
      <c r="A1175" s="1">
        <v>44088</v>
      </c>
      <c r="B1175" s="2" t="s">
        <v>1175</v>
      </c>
      <c r="C1175">
        <f t="shared" si="215"/>
        <v>61453.42</v>
      </c>
      <c r="D1175">
        <f t="shared" si="216"/>
        <v>2020</v>
      </c>
      <c r="E1175">
        <f t="shared" si="217"/>
        <v>9</v>
      </c>
      <c r="F1175" t="str">
        <f t="shared" si="219"/>
        <v>September</v>
      </c>
      <c r="G1175">
        <f t="shared" si="218"/>
        <v>14</v>
      </c>
      <c r="H1175" s="7">
        <f t="shared" si="220"/>
        <v>-1.4572293656187163</v>
      </c>
      <c r="I1175" s="9">
        <f t="shared" si="221"/>
        <v>-1.4679512417725355E-2</v>
      </c>
      <c r="J1175" s="9">
        <f t="shared" si="222"/>
        <v>63366.161428571424</v>
      </c>
      <c r="K1175" s="9">
        <f t="shared" si="213"/>
        <v>65506.359333333341</v>
      </c>
      <c r="L1175" s="9">
        <f t="shared" si="212"/>
        <v>69807.140333333315</v>
      </c>
      <c r="M1175" s="9">
        <f t="shared" si="223"/>
        <v>8.4110629292716479E-3</v>
      </c>
      <c r="N1175" s="9">
        <f t="shared" si="214"/>
        <v>8.167248942306948E-3</v>
      </c>
    </row>
    <row r="1176" spans="1:14" x14ac:dyDescent="0.35">
      <c r="A1176" s="1">
        <v>44089</v>
      </c>
      <c r="B1176" s="2" t="s">
        <v>1176</v>
      </c>
      <c r="C1176">
        <f t="shared" si="215"/>
        <v>62863.64</v>
      </c>
      <c r="D1176">
        <f t="shared" si="216"/>
        <v>2020</v>
      </c>
      <c r="E1176">
        <f t="shared" si="217"/>
        <v>9</v>
      </c>
      <c r="F1176" t="str">
        <f t="shared" si="219"/>
        <v>September</v>
      </c>
      <c r="G1176">
        <f t="shared" si="218"/>
        <v>15</v>
      </c>
      <c r="H1176" s="7">
        <f t="shared" si="220"/>
        <v>2.2947787120716816</v>
      </c>
      <c r="I1176" s="9">
        <f t="shared" si="221"/>
        <v>2.2688446684274784E-2</v>
      </c>
      <c r="J1176" s="9">
        <f t="shared" si="222"/>
        <v>63151.872857142858</v>
      </c>
      <c r="K1176" s="9">
        <f t="shared" si="213"/>
        <v>65342.407333333344</v>
      </c>
      <c r="L1176" s="9">
        <f t="shared" si="212"/>
        <v>69688.913666666645</v>
      </c>
      <c r="M1176" s="9">
        <f t="shared" si="223"/>
        <v>1.3828853649172886E-2</v>
      </c>
      <c r="N1176" s="9">
        <f t="shared" si="214"/>
        <v>9.3267770012126893E-3</v>
      </c>
    </row>
    <row r="1177" spans="1:14" x14ac:dyDescent="0.35">
      <c r="A1177" s="1">
        <v>44090</v>
      </c>
      <c r="B1177" s="2" t="s">
        <v>1177</v>
      </c>
      <c r="C1177">
        <f t="shared" si="215"/>
        <v>63313.75</v>
      </c>
      <c r="D1177">
        <f t="shared" si="216"/>
        <v>2020</v>
      </c>
      <c r="E1177">
        <f t="shared" si="217"/>
        <v>9</v>
      </c>
      <c r="F1177" t="str">
        <f t="shared" si="219"/>
        <v>September</v>
      </c>
      <c r="G1177">
        <f t="shared" si="218"/>
        <v>16</v>
      </c>
      <c r="H1177" s="7">
        <f t="shared" si="220"/>
        <v>0.71601008150339462</v>
      </c>
      <c r="I1177" s="9">
        <f t="shared" si="221"/>
        <v>7.1345889989243199E-3</v>
      </c>
      <c r="J1177" s="9">
        <f t="shared" si="222"/>
        <v>63084.635714285716</v>
      </c>
      <c r="K1177" s="9">
        <f t="shared" si="213"/>
        <v>65204.042666666668</v>
      </c>
      <c r="L1177" s="9">
        <f t="shared" si="212"/>
        <v>69572.429444444424</v>
      </c>
      <c r="M1177" s="9">
        <f t="shared" si="223"/>
        <v>1.4072432694955915E-2</v>
      </c>
      <c r="N1177" s="9">
        <f t="shared" si="214"/>
        <v>9.4800645984904688E-3</v>
      </c>
    </row>
    <row r="1178" spans="1:14" x14ac:dyDescent="0.35">
      <c r="A1178" s="1">
        <v>44091</v>
      </c>
      <c r="B1178" s="2" t="s">
        <v>1178</v>
      </c>
      <c r="C1178">
        <f t="shared" si="215"/>
        <v>64385.13</v>
      </c>
      <c r="D1178">
        <f t="shared" si="216"/>
        <v>2020</v>
      </c>
      <c r="E1178">
        <f t="shared" si="217"/>
        <v>9</v>
      </c>
      <c r="F1178" t="str">
        <f t="shared" si="219"/>
        <v>September</v>
      </c>
      <c r="G1178">
        <f t="shared" si="218"/>
        <v>17</v>
      </c>
      <c r="H1178" s="7">
        <f t="shared" si="220"/>
        <v>1.6921758701703773</v>
      </c>
      <c r="I1178" s="9">
        <f t="shared" si="221"/>
        <v>1.678018067690842E-2</v>
      </c>
      <c r="J1178" s="9">
        <f t="shared" si="222"/>
        <v>63111.460000000006</v>
      </c>
      <c r="K1178" s="9">
        <f t="shared" si="213"/>
        <v>65091.555</v>
      </c>
      <c r="L1178" s="9">
        <f t="shared" si="212"/>
        <v>69484.32188888888</v>
      </c>
      <c r="M1178" s="9">
        <f t="shared" si="223"/>
        <v>1.5463652591669414E-2</v>
      </c>
      <c r="N1178" s="9">
        <f t="shared" si="214"/>
        <v>1.0027943349527224E-2</v>
      </c>
    </row>
    <row r="1179" spans="1:14" x14ac:dyDescent="0.35">
      <c r="A1179" s="1">
        <v>44092</v>
      </c>
      <c r="B1179" s="2" t="s">
        <v>1179</v>
      </c>
      <c r="C1179">
        <f t="shared" si="215"/>
        <v>64300.46</v>
      </c>
      <c r="D1179">
        <f t="shared" si="216"/>
        <v>2020</v>
      </c>
      <c r="E1179">
        <f t="shared" si="217"/>
        <v>9</v>
      </c>
      <c r="F1179" t="str">
        <f t="shared" si="219"/>
        <v>September</v>
      </c>
      <c r="G1179">
        <f t="shared" si="218"/>
        <v>18</v>
      </c>
      <c r="H1179" s="7">
        <f t="shared" si="220"/>
        <v>-0.13150551998574556</v>
      </c>
      <c r="I1179" s="9">
        <f t="shared" si="221"/>
        <v>-1.315920643767637E-3</v>
      </c>
      <c r="J1179" s="9">
        <f t="shared" si="222"/>
        <v>63147.375714285721</v>
      </c>
      <c r="K1179" s="9">
        <f t="shared" si="213"/>
        <v>64985.733999999989</v>
      </c>
      <c r="L1179" s="9">
        <f t="shared" si="212"/>
        <v>69396.948999999979</v>
      </c>
      <c r="M1179" s="9">
        <f t="shared" si="223"/>
        <v>1.543888789703644E-2</v>
      </c>
      <c r="N1179" s="9">
        <f t="shared" si="214"/>
        <v>1.0016907236297596E-2</v>
      </c>
    </row>
    <row r="1180" spans="1:14" x14ac:dyDescent="0.35">
      <c r="A1180" s="1">
        <v>44095</v>
      </c>
      <c r="B1180" s="2" t="s">
        <v>1180</v>
      </c>
      <c r="C1180">
        <f t="shared" si="215"/>
        <v>64652.32</v>
      </c>
      <c r="D1180">
        <f t="shared" si="216"/>
        <v>2020</v>
      </c>
      <c r="E1180">
        <f t="shared" si="217"/>
        <v>9</v>
      </c>
      <c r="F1180" t="str">
        <f t="shared" si="219"/>
        <v>September</v>
      </c>
      <c r="G1180">
        <f t="shared" si="218"/>
        <v>21</v>
      </c>
      <c r="H1180" s="7">
        <f t="shared" si="220"/>
        <v>0.54721225944573426</v>
      </c>
      <c r="I1180" s="9">
        <f t="shared" si="221"/>
        <v>5.4572049277361243E-3</v>
      </c>
      <c r="J1180" s="9">
        <f t="shared" si="222"/>
        <v>63332.985714285714</v>
      </c>
      <c r="K1180" s="9">
        <f t="shared" si="213"/>
        <v>64886.967666666656</v>
      </c>
      <c r="L1180" s="9">
        <f t="shared" ref="L1180:L1243" si="224">AVERAGE(C1091:C1180)</f>
        <v>69283.813444444429</v>
      </c>
      <c r="M1180" s="9">
        <f t="shared" si="223"/>
        <v>1.4628015618204891E-2</v>
      </c>
      <c r="N1180" s="9">
        <f t="shared" si="214"/>
        <v>1.0078601744978903E-2</v>
      </c>
    </row>
    <row r="1181" spans="1:14" x14ac:dyDescent="0.35">
      <c r="A1181" s="1">
        <v>44096</v>
      </c>
      <c r="B1181" s="2" t="s">
        <v>1181</v>
      </c>
      <c r="C1181">
        <f t="shared" si="215"/>
        <v>64296.06</v>
      </c>
      <c r="D1181">
        <f t="shared" si="216"/>
        <v>2020</v>
      </c>
      <c r="E1181">
        <f t="shared" si="217"/>
        <v>9</v>
      </c>
      <c r="F1181" t="str">
        <f t="shared" si="219"/>
        <v>September</v>
      </c>
      <c r="G1181">
        <f t="shared" si="218"/>
        <v>22</v>
      </c>
      <c r="H1181" s="7">
        <f t="shared" si="220"/>
        <v>-0.55103977707219487</v>
      </c>
      <c r="I1181" s="9">
        <f t="shared" si="221"/>
        <v>-5.5256360174998909E-3</v>
      </c>
      <c r="J1181" s="9">
        <f t="shared" si="222"/>
        <v>63609.254285714291</v>
      </c>
      <c r="K1181" s="9">
        <f t="shared" si="213"/>
        <v>64797.48799999999</v>
      </c>
      <c r="L1181" s="9">
        <f t="shared" si="224"/>
        <v>69151.17788888888</v>
      </c>
      <c r="M1181" s="9">
        <f t="shared" si="223"/>
        <v>1.285521880340282E-2</v>
      </c>
      <c r="N1181" s="9">
        <f t="shared" si="214"/>
        <v>9.9973662703610033E-3</v>
      </c>
    </row>
    <row r="1182" spans="1:14" x14ac:dyDescent="0.35">
      <c r="A1182" s="1">
        <v>44097</v>
      </c>
      <c r="B1182" s="2" t="s">
        <v>1182</v>
      </c>
      <c r="C1182">
        <f t="shared" si="215"/>
        <v>64176.53</v>
      </c>
      <c r="D1182">
        <f t="shared" si="216"/>
        <v>2020</v>
      </c>
      <c r="E1182">
        <f t="shared" si="217"/>
        <v>9</v>
      </c>
      <c r="F1182" t="str">
        <f t="shared" si="219"/>
        <v>September</v>
      </c>
      <c r="G1182">
        <f t="shared" si="218"/>
        <v>23</v>
      </c>
      <c r="H1182" s="7">
        <f t="shared" si="220"/>
        <v>-0.18590563714168309</v>
      </c>
      <c r="I1182" s="9">
        <f t="shared" si="221"/>
        <v>-1.8607865613925315E-3</v>
      </c>
      <c r="J1182" s="9">
        <f t="shared" si="222"/>
        <v>63998.270000000004</v>
      </c>
      <c r="K1182" s="9">
        <f t="shared" si="213"/>
        <v>64701.688333333324</v>
      </c>
      <c r="L1182" s="9">
        <f t="shared" si="224"/>
        <v>69017.848777777763</v>
      </c>
      <c r="M1182" s="9">
        <f t="shared" si="223"/>
        <v>1.0361707793562391E-2</v>
      </c>
      <c r="N1182" s="9">
        <f t="shared" si="214"/>
        <v>9.9872939983054517E-3</v>
      </c>
    </row>
    <row r="1183" spans="1:14" x14ac:dyDescent="0.35">
      <c r="A1183" s="1">
        <v>44099</v>
      </c>
      <c r="B1183" s="2" t="s">
        <v>1183</v>
      </c>
      <c r="C1183">
        <f t="shared" si="215"/>
        <v>65525.35</v>
      </c>
      <c r="D1183">
        <f t="shared" si="216"/>
        <v>2020</v>
      </c>
      <c r="E1183">
        <f t="shared" si="217"/>
        <v>9</v>
      </c>
      <c r="F1183" t="str">
        <f t="shared" si="219"/>
        <v>September</v>
      </c>
      <c r="G1183">
        <f t="shared" si="218"/>
        <v>25</v>
      </c>
      <c r="H1183" s="7">
        <f t="shared" si="220"/>
        <v>2.101734076304842</v>
      </c>
      <c r="I1183" s="9">
        <f t="shared" si="221"/>
        <v>2.0799523135311634E-2</v>
      </c>
      <c r="J1183" s="9">
        <f t="shared" si="222"/>
        <v>64378.514285714286</v>
      </c>
      <c r="K1183" s="9">
        <f t="shared" si="213"/>
        <v>64683.947333333337</v>
      </c>
      <c r="L1183" s="9">
        <f t="shared" si="224"/>
        <v>68913.06755555555</v>
      </c>
      <c r="M1183" s="9">
        <f t="shared" si="223"/>
        <v>9.8736584597603587E-3</v>
      </c>
      <c r="N1183" s="9">
        <f t="shared" si="214"/>
        <v>1.044600859794941E-2</v>
      </c>
    </row>
    <row r="1184" spans="1:14" x14ac:dyDescent="0.35">
      <c r="A1184" s="1">
        <v>44102</v>
      </c>
      <c r="B1184" s="2" t="s">
        <v>1184</v>
      </c>
      <c r="C1184">
        <f t="shared" si="215"/>
        <v>66514.91</v>
      </c>
      <c r="D1184">
        <f t="shared" si="216"/>
        <v>2020</v>
      </c>
      <c r="E1184">
        <f t="shared" si="217"/>
        <v>9</v>
      </c>
      <c r="F1184" t="str">
        <f t="shared" si="219"/>
        <v>September</v>
      </c>
      <c r="G1184">
        <f t="shared" si="218"/>
        <v>28</v>
      </c>
      <c r="H1184" s="7">
        <f t="shared" si="220"/>
        <v>1.5101941462350144</v>
      </c>
      <c r="I1184" s="9">
        <f t="shared" si="221"/>
        <v>1.4989042388775889E-2</v>
      </c>
      <c r="J1184" s="9">
        <f t="shared" si="222"/>
        <v>64835.822857142855</v>
      </c>
      <c r="K1184" s="9">
        <f t="shared" ref="K1184:K1247" si="225">AVERAGE(C1155:C1184)</f>
        <v>64671.284666666666</v>
      </c>
      <c r="L1184" s="9">
        <f t="shared" si="224"/>
        <v>68812.194666666663</v>
      </c>
      <c r="M1184" s="9">
        <f t="shared" si="223"/>
        <v>1.0462858593980768E-2</v>
      </c>
      <c r="N1184" s="9">
        <f t="shared" si="214"/>
        <v>1.0556268132169911E-2</v>
      </c>
    </row>
    <row r="1185" spans="1:14" x14ac:dyDescent="0.35">
      <c r="A1185" s="1">
        <v>44103</v>
      </c>
      <c r="B1185" s="2" t="s">
        <v>1185</v>
      </c>
      <c r="C1185">
        <f t="shared" si="215"/>
        <v>66253.8</v>
      </c>
      <c r="D1185">
        <f t="shared" si="216"/>
        <v>2020</v>
      </c>
      <c r="E1185">
        <f t="shared" si="217"/>
        <v>9</v>
      </c>
      <c r="F1185" t="str">
        <f t="shared" si="219"/>
        <v>September</v>
      </c>
      <c r="G1185">
        <f t="shared" si="218"/>
        <v>29</v>
      </c>
      <c r="H1185" s="7">
        <f t="shared" si="220"/>
        <v>-0.39255860077086557</v>
      </c>
      <c r="I1185" s="9">
        <f t="shared" si="221"/>
        <v>-3.9333113447382988E-3</v>
      </c>
      <c r="J1185" s="9">
        <f t="shared" si="222"/>
        <v>65102.775714285715</v>
      </c>
      <c r="K1185" s="9">
        <f t="shared" si="225"/>
        <v>64653.873</v>
      </c>
      <c r="L1185" s="9">
        <f t="shared" si="224"/>
        <v>68713.234555555537</v>
      </c>
      <c r="M1185" s="9">
        <f t="shared" si="223"/>
        <v>1.017624931638458E-2</v>
      </c>
      <c r="N1185" s="9">
        <f t="shared" ref="N1185:N1248" si="226">STDEV(I1156:I1185)</f>
        <v>1.0574781962754016E-2</v>
      </c>
    </row>
    <row r="1186" spans="1:14" x14ac:dyDescent="0.35">
      <c r="A1186" s="1">
        <v>44104</v>
      </c>
      <c r="B1186" s="2" t="s">
        <v>1186</v>
      </c>
      <c r="C1186">
        <f t="shared" si="215"/>
        <v>66371.850000000006</v>
      </c>
      <c r="D1186">
        <f t="shared" si="216"/>
        <v>2020</v>
      </c>
      <c r="E1186">
        <f t="shared" si="217"/>
        <v>9</v>
      </c>
      <c r="F1186" t="str">
        <f t="shared" si="219"/>
        <v>September</v>
      </c>
      <c r="G1186">
        <f t="shared" si="218"/>
        <v>30</v>
      </c>
      <c r="H1186" s="7">
        <f t="shared" si="220"/>
        <v>0.17817845919781644</v>
      </c>
      <c r="I1186" s="9">
        <f t="shared" si="221"/>
        <v>1.7801990968731032E-3</v>
      </c>
      <c r="J1186" s="9">
        <f t="shared" si="222"/>
        <v>65398.688571428582</v>
      </c>
      <c r="K1186" s="9">
        <f t="shared" si="225"/>
        <v>64639.864666666668</v>
      </c>
      <c r="L1186" s="9">
        <f t="shared" si="224"/>
        <v>68607.08233333331</v>
      </c>
      <c r="M1186" s="9">
        <f t="shared" si="223"/>
        <v>9.9674108156602003E-3</v>
      </c>
      <c r="N1186" s="9">
        <f t="shared" si="226"/>
        <v>1.0581040695010183E-2</v>
      </c>
    </row>
    <row r="1187" spans="1:14" x14ac:dyDescent="0.35">
      <c r="A1187" s="1">
        <v>44105</v>
      </c>
      <c r="B1187" s="2" t="s">
        <v>1187</v>
      </c>
      <c r="C1187">
        <f t="shared" si="215"/>
        <v>66654.240000000005</v>
      </c>
      <c r="D1187">
        <f t="shared" si="216"/>
        <v>2020</v>
      </c>
      <c r="E1187">
        <f t="shared" si="217"/>
        <v>10</v>
      </c>
      <c r="F1187" t="str">
        <f t="shared" si="219"/>
        <v>October</v>
      </c>
      <c r="G1187">
        <f t="shared" si="218"/>
        <v>1</v>
      </c>
      <c r="H1187" s="7">
        <f t="shared" si="220"/>
        <v>0.42546651931504004</v>
      </c>
      <c r="I1187" s="9">
        <f t="shared" si="221"/>
        <v>4.2456396964523297E-3</v>
      </c>
      <c r="J1187" s="9">
        <f t="shared" si="222"/>
        <v>65684.677142857137</v>
      </c>
      <c r="K1187" s="9">
        <f t="shared" si="225"/>
        <v>64627.377333333337</v>
      </c>
      <c r="L1187" s="9">
        <f t="shared" si="224"/>
        <v>68504.521111111098</v>
      </c>
      <c r="M1187" s="9">
        <f t="shared" si="223"/>
        <v>9.9591316582298521E-3</v>
      </c>
      <c r="N1187" s="9">
        <f t="shared" si="226"/>
        <v>1.0590463961667969E-2</v>
      </c>
    </row>
    <row r="1188" spans="1:14" x14ac:dyDescent="0.35">
      <c r="A1188" s="1">
        <v>44106</v>
      </c>
      <c r="B1188" s="2" t="s">
        <v>1188</v>
      </c>
      <c r="C1188">
        <f t="shared" si="215"/>
        <v>66976.05</v>
      </c>
      <c r="D1188">
        <f t="shared" si="216"/>
        <v>2020</v>
      </c>
      <c r="E1188">
        <f t="shared" si="217"/>
        <v>10</v>
      </c>
      <c r="F1188" t="str">
        <f t="shared" si="219"/>
        <v>October</v>
      </c>
      <c r="G1188">
        <f t="shared" si="218"/>
        <v>2</v>
      </c>
      <c r="H1188" s="7">
        <f t="shared" si="220"/>
        <v>0.48280499485103667</v>
      </c>
      <c r="I1188" s="9">
        <f t="shared" si="221"/>
        <v>4.8164322940951977E-3</v>
      </c>
      <c r="J1188" s="9">
        <f t="shared" si="222"/>
        <v>66067.532857142869</v>
      </c>
      <c r="K1188" s="9">
        <f t="shared" si="225"/>
        <v>64631.706666666672</v>
      </c>
      <c r="L1188" s="9">
        <f t="shared" si="224"/>
        <v>68426.794666666654</v>
      </c>
      <c r="M1188" s="9">
        <f t="shared" si="223"/>
        <v>8.9664507007063479E-3</v>
      </c>
      <c r="N1188" s="9">
        <f t="shared" si="226"/>
        <v>1.0617569181418639E-2</v>
      </c>
    </row>
    <row r="1189" spans="1:14" x14ac:dyDescent="0.35">
      <c r="A1189" s="1">
        <v>44109</v>
      </c>
      <c r="B1189" s="2" t="s">
        <v>1189</v>
      </c>
      <c r="C1189">
        <f t="shared" si="215"/>
        <v>67427.929999999993</v>
      </c>
      <c r="D1189">
        <f t="shared" si="216"/>
        <v>2020</v>
      </c>
      <c r="E1189">
        <f t="shared" si="217"/>
        <v>10</v>
      </c>
      <c r="F1189" t="str">
        <f t="shared" si="219"/>
        <v>October</v>
      </c>
      <c r="G1189">
        <f t="shared" si="218"/>
        <v>5</v>
      </c>
      <c r="H1189" s="7">
        <f t="shared" si="220"/>
        <v>0.67468893731414459</v>
      </c>
      <c r="I1189" s="9">
        <f t="shared" si="221"/>
        <v>6.7242309737482481E-3</v>
      </c>
      <c r="J1189" s="9">
        <f t="shared" si="222"/>
        <v>66532.018571428576</v>
      </c>
      <c r="K1189" s="9">
        <f t="shared" si="225"/>
        <v>64678.878333333341</v>
      </c>
      <c r="L1189" s="9">
        <f t="shared" si="224"/>
        <v>68355.655333333314</v>
      </c>
      <c r="M1189" s="9">
        <f t="shared" si="223"/>
        <v>8.3010075839754539E-3</v>
      </c>
      <c r="N1189" s="9">
        <f t="shared" si="226"/>
        <v>1.040921540884474E-2</v>
      </c>
    </row>
    <row r="1190" spans="1:14" x14ac:dyDescent="0.35">
      <c r="A1190" s="1">
        <v>44110</v>
      </c>
      <c r="B1190" s="2" t="s">
        <v>1190</v>
      </c>
      <c r="C1190">
        <f t="shared" si="215"/>
        <v>67064.69</v>
      </c>
      <c r="D1190">
        <f t="shared" si="216"/>
        <v>2020</v>
      </c>
      <c r="E1190">
        <f t="shared" si="217"/>
        <v>10</v>
      </c>
      <c r="F1190" t="str">
        <f t="shared" si="219"/>
        <v>October</v>
      </c>
      <c r="G1190">
        <f t="shared" si="218"/>
        <v>6</v>
      </c>
      <c r="H1190" s="7">
        <f t="shared" si="220"/>
        <v>-0.53870851440937118</v>
      </c>
      <c r="I1190" s="9">
        <f t="shared" si="221"/>
        <v>-5.4016478110328735E-3</v>
      </c>
      <c r="J1190" s="9">
        <f t="shared" si="222"/>
        <v>66751.924285714296</v>
      </c>
      <c r="K1190" s="9">
        <f t="shared" si="225"/>
        <v>64714.764000000003</v>
      </c>
      <c r="L1190" s="9">
        <f t="shared" si="224"/>
        <v>68279.266222222199</v>
      </c>
      <c r="M1190" s="9">
        <f t="shared" si="223"/>
        <v>6.8544396346401117E-3</v>
      </c>
      <c r="N1190" s="9">
        <f t="shared" si="226"/>
        <v>1.0467530472710372E-2</v>
      </c>
    </row>
    <row r="1191" spans="1:14" x14ac:dyDescent="0.35">
      <c r="A1191" s="1">
        <v>44111</v>
      </c>
      <c r="B1191" s="2" t="s">
        <v>1191</v>
      </c>
      <c r="C1191">
        <f t="shared" si="215"/>
        <v>67646.080000000002</v>
      </c>
      <c r="D1191">
        <f t="shared" si="216"/>
        <v>2020</v>
      </c>
      <c r="E1191">
        <f t="shared" si="217"/>
        <v>10</v>
      </c>
      <c r="F1191" t="str">
        <f t="shared" si="219"/>
        <v>October</v>
      </c>
      <c r="G1191">
        <f t="shared" si="218"/>
        <v>7</v>
      </c>
      <c r="H1191" s="7">
        <f t="shared" si="220"/>
        <v>0.86690924836899919</v>
      </c>
      <c r="I1191" s="9">
        <f t="shared" si="221"/>
        <v>8.6317316690786763E-3</v>
      </c>
      <c r="J1191" s="9">
        <f t="shared" si="222"/>
        <v>66913.52</v>
      </c>
      <c r="K1191" s="9">
        <f t="shared" si="225"/>
        <v>64766.265333333351</v>
      </c>
      <c r="L1191" s="9">
        <f t="shared" si="224"/>
        <v>68206.830999999976</v>
      </c>
      <c r="M1191" s="9">
        <f t="shared" si="223"/>
        <v>5.2936928886172284E-3</v>
      </c>
      <c r="N1191" s="9">
        <f t="shared" si="226"/>
        <v>1.0570005006972876E-2</v>
      </c>
    </row>
    <row r="1192" spans="1:14" x14ac:dyDescent="0.35">
      <c r="A1192" s="1">
        <v>44112</v>
      </c>
      <c r="B1192" s="2" t="s">
        <v>1192</v>
      </c>
      <c r="C1192">
        <f t="shared" si="215"/>
        <v>67068.740000000005</v>
      </c>
      <c r="D1192">
        <f t="shared" si="216"/>
        <v>2020</v>
      </c>
      <c r="E1192">
        <f t="shared" si="217"/>
        <v>10</v>
      </c>
      <c r="F1192" t="str">
        <f t="shared" si="219"/>
        <v>October</v>
      </c>
      <c r="G1192">
        <f t="shared" si="218"/>
        <v>8</v>
      </c>
      <c r="H1192" s="7">
        <f t="shared" si="220"/>
        <v>-0.85347147979601545</v>
      </c>
      <c r="I1192" s="9">
        <f t="shared" si="221"/>
        <v>-8.5713440386238904E-3</v>
      </c>
      <c r="J1192" s="9">
        <f t="shared" si="222"/>
        <v>67029.94</v>
      </c>
      <c r="K1192" s="9">
        <f t="shared" si="225"/>
        <v>64827.13633333335</v>
      </c>
      <c r="L1192" s="9">
        <f t="shared" si="224"/>
        <v>68118.028999999966</v>
      </c>
      <c r="M1192" s="9">
        <f t="shared" si="223"/>
        <v>6.3954340828693531E-3</v>
      </c>
      <c r="N1192" s="9">
        <f t="shared" si="226"/>
        <v>1.0397308516451487E-2</v>
      </c>
    </row>
    <row r="1193" spans="1:14" x14ac:dyDescent="0.35">
      <c r="A1193" s="1">
        <v>44113</v>
      </c>
      <c r="B1193" s="2" t="s">
        <v>1193</v>
      </c>
      <c r="C1193">
        <f t="shared" si="215"/>
        <v>67452.86</v>
      </c>
      <c r="D1193">
        <f t="shared" si="216"/>
        <v>2020</v>
      </c>
      <c r="E1193">
        <f t="shared" si="217"/>
        <v>10</v>
      </c>
      <c r="F1193" t="str">
        <f t="shared" si="219"/>
        <v>October</v>
      </c>
      <c r="G1193">
        <f t="shared" si="218"/>
        <v>9</v>
      </c>
      <c r="H1193" s="7">
        <f t="shared" si="220"/>
        <v>0.57272583322721626</v>
      </c>
      <c r="I1193" s="9">
        <f t="shared" si="221"/>
        <v>5.7109199413771057E-3</v>
      </c>
      <c r="J1193" s="9">
        <f t="shared" si="222"/>
        <v>67184.37000000001</v>
      </c>
      <c r="K1193" s="9">
        <f t="shared" si="225"/>
        <v>64903.640000000014</v>
      </c>
      <c r="L1193" s="9">
        <f t="shared" si="224"/>
        <v>68033.593444444428</v>
      </c>
      <c r="M1193" s="9">
        <f t="shared" si="223"/>
        <v>6.569094542013358E-3</v>
      </c>
      <c r="N1193" s="9">
        <f t="shared" si="226"/>
        <v>1.0424428880110715E-2</v>
      </c>
    </row>
    <row r="1194" spans="1:14" x14ac:dyDescent="0.35">
      <c r="A1194" s="1">
        <v>44116</v>
      </c>
      <c r="B1194" s="2" t="s">
        <v>1194</v>
      </c>
      <c r="C1194">
        <f t="shared" si="215"/>
        <v>67451.539999999994</v>
      </c>
      <c r="D1194">
        <f t="shared" si="216"/>
        <v>2020</v>
      </c>
      <c r="E1194">
        <f t="shared" si="217"/>
        <v>10</v>
      </c>
      <c r="F1194" t="str">
        <f t="shared" si="219"/>
        <v>October</v>
      </c>
      <c r="G1194">
        <f t="shared" si="218"/>
        <v>12</v>
      </c>
      <c r="H1194" s="7">
        <f t="shared" si="220"/>
        <v>-1.956922212055923E-3</v>
      </c>
      <c r="I1194" s="9">
        <f t="shared" si="221"/>
        <v>-1.9569413600266518E-5</v>
      </c>
      <c r="J1194" s="9">
        <f t="shared" si="222"/>
        <v>67298.26999999999</v>
      </c>
      <c r="K1194" s="9">
        <f t="shared" si="225"/>
        <v>65019.124000000003</v>
      </c>
      <c r="L1194" s="9">
        <f t="shared" si="224"/>
        <v>67963.914999999979</v>
      </c>
      <c r="M1194" s="9">
        <f t="shared" si="223"/>
        <v>6.5572129061025296E-3</v>
      </c>
      <c r="N1194" s="9">
        <f t="shared" si="226"/>
        <v>9.7731640985826689E-3</v>
      </c>
    </row>
    <row r="1195" spans="1:14" x14ac:dyDescent="0.35">
      <c r="A1195" s="1">
        <v>44117</v>
      </c>
      <c r="B1195" s="2" t="s">
        <v>1195</v>
      </c>
      <c r="C1195">
        <f t="shared" si="215"/>
        <v>66829.210000000006</v>
      </c>
      <c r="D1195">
        <f t="shared" si="216"/>
        <v>2020</v>
      </c>
      <c r="E1195">
        <f t="shared" si="217"/>
        <v>10</v>
      </c>
      <c r="F1195" t="str">
        <f t="shared" si="219"/>
        <v>October</v>
      </c>
      <c r="G1195">
        <f t="shared" si="218"/>
        <v>13</v>
      </c>
      <c r="H1195" s="7">
        <f t="shared" si="220"/>
        <v>-0.92263275234336728</v>
      </c>
      <c r="I1195" s="9">
        <f t="shared" si="221"/>
        <v>-9.2691537056761499E-3</v>
      </c>
      <c r="J1195" s="9">
        <f t="shared" si="222"/>
        <v>67277.292857142849</v>
      </c>
      <c r="K1195" s="9">
        <f t="shared" si="225"/>
        <v>65095.335333333343</v>
      </c>
      <c r="L1195" s="9">
        <f t="shared" si="224"/>
        <v>67887.468555555533</v>
      </c>
      <c r="M1195" s="9">
        <f t="shared" si="223"/>
        <v>7.5300711294271081E-3</v>
      </c>
      <c r="N1195" s="9">
        <f t="shared" si="226"/>
        <v>9.8843634698361528E-3</v>
      </c>
    </row>
    <row r="1196" spans="1:14" x14ac:dyDescent="0.35">
      <c r="A1196" s="1">
        <v>44118</v>
      </c>
      <c r="B1196" s="2" t="s">
        <v>1196</v>
      </c>
      <c r="C1196">
        <f t="shared" si="215"/>
        <v>66011.06</v>
      </c>
      <c r="D1196">
        <f t="shared" si="216"/>
        <v>2020</v>
      </c>
      <c r="E1196">
        <f t="shared" si="217"/>
        <v>10</v>
      </c>
      <c r="F1196" t="str">
        <f t="shared" si="219"/>
        <v>October</v>
      </c>
      <c r="G1196">
        <f t="shared" si="218"/>
        <v>14</v>
      </c>
      <c r="H1196" s="7">
        <f t="shared" si="220"/>
        <v>-1.2242401189539853</v>
      </c>
      <c r="I1196" s="9">
        <f t="shared" si="221"/>
        <v>-1.2317956669901695E-2</v>
      </c>
      <c r="J1196" s="9">
        <f t="shared" si="222"/>
        <v>67074.88285714286</v>
      </c>
      <c r="K1196" s="9">
        <f t="shared" si="225"/>
        <v>65158.070666666681</v>
      </c>
      <c r="L1196" s="9">
        <f t="shared" si="224"/>
        <v>67801.075333333312</v>
      </c>
      <c r="M1196" s="9">
        <f t="shared" si="223"/>
        <v>7.9894371946157942E-3</v>
      </c>
      <c r="N1196" s="9">
        <f t="shared" si="226"/>
        <v>1.0096381012506862E-2</v>
      </c>
    </row>
    <row r="1197" spans="1:14" x14ac:dyDescent="0.35">
      <c r="A1197" s="1">
        <v>44119</v>
      </c>
      <c r="B1197" s="2" t="s">
        <v>1197</v>
      </c>
      <c r="C1197">
        <f t="shared" si="215"/>
        <v>66113.48</v>
      </c>
      <c r="D1197">
        <f t="shared" si="216"/>
        <v>2020</v>
      </c>
      <c r="E1197">
        <f t="shared" si="217"/>
        <v>10</v>
      </c>
      <c r="F1197" t="str">
        <f t="shared" si="219"/>
        <v>October</v>
      </c>
      <c r="G1197">
        <f t="shared" si="218"/>
        <v>15</v>
      </c>
      <c r="H1197" s="7">
        <f t="shared" si="220"/>
        <v>0.1551558178281007</v>
      </c>
      <c r="I1197" s="9">
        <f t="shared" si="221"/>
        <v>1.5503557554826519E-3</v>
      </c>
      <c r="J1197" s="9">
        <f t="shared" si="222"/>
        <v>66938.995714285717</v>
      </c>
      <c r="K1197" s="9">
        <f t="shared" si="225"/>
        <v>65239.819333333333</v>
      </c>
      <c r="L1197" s="9">
        <f t="shared" si="224"/>
        <v>67721.913888888885</v>
      </c>
      <c r="M1197" s="9">
        <f t="shared" si="223"/>
        <v>8.0776535260803778E-3</v>
      </c>
      <c r="N1197" s="9">
        <f t="shared" si="226"/>
        <v>9.9744341092438231E-3</v>
      </c>
    </row>
    <row r="1198" spans="1:14" x14ac:dyDescent="0.35">
      <c r="A1198" s="1">
        <v>44120</v>
      </c>
      <c r="B1198" s="2" t="s">
        <v>1198</v>
      </c>
      <c r="C1198">
        <f t="shared" si="215"/>
        <v>67905.679999999993</v>
      </c>
      <c r="D1198">
        <f t="shared" si="216"/>
        <v>2020</v>
      </c>
      <c r="E1198">
        <f t="shared" si="217"/>
        <v>10</v>
      </c>
      <c r="F1198" t="str">
        <f t="shared" si="219"/>
        <v>October</v>
      </c>
      <c r="G1198">
        <f t="shared" si="218"/>
        <v>16</v>
      </c>
      <c r="H1198" s="7">
        <f t="shared" si="220"/>
        <v>2.710793623327644</v>
      </c>
      <c r="I1198" s="9">
        <f t="shared" si="221"/>
        <v>2.6747023995790067E-2</v>
      </c>
      <c r="J1198" s="9">
        <f t="shared" si="222"/>
        <v>66976.08142857143</v>
      </c>
      <c r="K1198" s="9">
        <f t="shared" si="225"/>
        <v>65360.616333333339</v>
      </c>
      <c r="L1198" s="9">
        <f t="shared" si="224"/>
        <v>67671.482333333319</v>
      </c>
      <c r="M1198" s="9">
        <f t="shared" si="223"/>
        <v>1.3288110172126831E-2</v>
      </c>
      <c r="N1198" s="9">
        <f t="shared" si="226"/>
        <v>1.0913138857580646E-2</v>
      </c>
    </row>
    <row r="1199" spans="1:14" x14ac:dyDescent="0.35">
      <c r="A1199" s="1">
        <v>44123</v>
      </c>
      <c r="B1199" s="2" t="s">
        <v>1199</v>
      </c>
      <c r="C1199">
        <f t="shared" si="215"/>
        <v>68939.839999999997</v>
      </c>
      <c r="D1199">
        <f t="shared" si="216"/>
        <v>2020</v>
      </c>
      <c r="E1199">
        <f t="shared" si="217"/>
        <v>10</v>
      </c>
      <c r="F1199" t="str">
        <f t="shared" si="219"/>
        <v>October</v>
      </c>
      <c r="G1199">
        <f t="shared" si="218"/>
        <v>19</v>
      </c>
      <c r="H1199" s="7">
        <f t="shared" si="220"/>
        <v>1.5229359311327175</v>
      </c>
      <c r="I1199" s="9">
        <f t="shared" si="221"/>
        <v>1.5114556731283129E-2</v>
      </c>
      <c r="J1199" s="9">
        <f t="shared" si="222"/>
        <v>67243.381428571418</v>
      </c>
      <c r="K1199" s="9">
        <f t="shared" si="225"/>
        <v>65513.155666666673</v>
      </c>
      <c r="L1199" s="9">
        <f t="shared" si="224"/>
        <v>67642.251222222199</v>
      </c>
      <c r="M1199" s="9">
        <f t="shared" si="223"/>
        <v>1.35914073557745E-2</v>
      </c>
      <c r="N1199" s="9">
        <f t="shared" si="226"/>
        <v>1.11782371162501E-2</v>
      </c>
    </row>
    <row r="1200" spans="1:14" x14ac:dyDescent="0.35">
      <c r="A1200" s="1">
        <v>44124</v>
      </c>
      <c r="B1200" s="2" t="s">
        <v>1200</v>
      </c>
      <c r="C1200">
        <f t="shared" si="215"/>
        <v>68824.7</v>
      </c>
      <c r="D1200">
        <f t="shared" si="216"/>
        <v>2020</v>
      </c>
      <c r="E1200">
        <f t="shared" si="217"/>
        <v>10</v>
      </c>
      <c r="F1200" t="str">
        <f t="shared" si="219"/>
        <v>October</v>
      </c>
      <c r="G1200">
        <f t="shared" si="218"/>
        <v>20</v>
      </c>
      <c r="H1200" s="7">
        <f t="shared" si="220"/>
        <v>-0.16701518309296834</v>
      </c>
      <c r="I1200" s="9">
        <f t="shared" si="221"/>
        <v>-1.671548089357793E-3</v>
      </c>
      <c r="J1200" s="9">
        <f t="shared" si="222"/>
        <v>67439.358571428558</v>
      </c>
      <c r="K1200" s="9">
        <f t="shared" si="225"/>
        <v>65681.165333333338</v>
      </c>
      <c r="L1200" s="9">
        <f t="shared" si="224"/>
        <v>67610.480111111101</v>
      </c>
      <c r="M1200" s="9">
        <f t="shared" si="223"/>
        <v>1.3716115724417902E-2</v>
      </c>
      <c r="N1200" s="9">
        <f t="shared" si="226"/>
        <v>1.1000235351807632E-2</v>
      </c>
    </row>
    <row r="1201" spans="1:14" x14ac:dyDescent="0.35">
      <c r="A1201" s="1">
        <v>44125</v>
      </c>
      <c r="B1201" s="2" t="s">
        <v>1201</v>
      </c>
      <c r="C1201">
        <f t="shared" si="215"/>
        <v>69384.759999999995</v>
      </c>
      <c r="D1201">
        <f t="shared" si="216"/>
        <v>2020</v>
      </c>
      <c r="E1201">
        <f t="shared" si="217"/>
        <v>10</v>
      </c>
      <c r="F1201" t="str">
        <f t="shared" si="219"/>
        <v>October</v>
      </c>
      <c r="G1201">
        <f t="shared" si="218"/>
        <v>21</v>
      </c>
      <c r="H1201" s="7">
        <f t="shared" si="220"/>
        <v>0.81374855248188183</v>
      </c>
      <c r="I1201" s="9">
        <f t="shared" si="221"/>
        <v>8.1045547181704987E-3</v>
      </c>
      <c r="J1201" s="9">
        <f t="shared" si="222"/>
        <v>67715.532857142869</v>
      </c>
      <c r="K1201" s="9">
        <f t="shared" si="225"/>
        <v>65854.078666666668</v>
      </c>
      <c r="L1201" s="9">
        <f t="shared" si="224"/>
        <v>67588.54366666665</v>
      </c>
      <c r="M1201" s="9">
        <f t="shared" si="223"/>
        <v>1.3773838179773804E-2</v>
      </c>
      <c r="N1201" s="9">
        <f t="shared" si="226"/>
        <v>1.1024621064481783E-2</v>
      </c>
    </row>
    <row r="1202" spans="1:14" x14ac:dyDescent="0.35">
      <c r="A1202" s="1">
        <v>44126</v>
      </c>
      <c r="B1202" s="2" t="s">
        <v>1202</v>
      </c>
      <c r="C1202">
        <f t="shared" si="215"/>
        <v>69401.95</v>
      </c>
      <c r="D1202">
        <f t="shared" si="216"/>
        <v>2020</v>
      </c>
      <c r="E1202">
        <f t="shared" si="217"/>
        <v>10</v>
      </c>
      <c r="F1202" t="str">
        <f t="shared" si="219"/>
        <v>October</v>
      </c>
      <c r="G1202">
        <f t="shared" si="218"/>
        <v>22</v>
      </c>
      <c r="H1202" s="7">
        <f t="shared" si="220"/>
        <v>2.4774892930381726E-2</v>
      </c>
      <c r="I1202" s="9">
        <f t="shared" si="221"/>
        <v>2.4771824460576985E-4</v>
      </c>
      <c r="J1202" s="9">
        <f t="shared" si="222"/>
        <v>68083.067142857137</v>
      </c>
      <c r="K1202" s="9">
        <f t="shared" si="225"/>
        <v>66032.508666666676</v>
      </c>
      <c r="L1202" s="9">
        <f t="shared" si="224"/>
        <v>67569.461333333311</v>
      </c>
      <c r="M1202" s="9">
        <f t="shared" si="223"/>
        <v>1.2666761752786325E-2</v>
      </c>
      <c r="N1202" s="9">
        <f t="shared" si="226"/>
        <v>1.0995225157683282E-2</v>
      </c>
    </row>
    <row r="1203" spans="1:14" x14ac:dyDescent="0.35">
      <c r="A1203" s="1">
        <v>44127</v>
      </c>
      <c r="B1203" s="2" t="s">
        <v>1203</v>
      </c>
      <c r="C1203">
        <f t="shared" si="215"/>
        <v>69617.16</v>
      </c>
      <c r="D1203">
        <f t="shared" si="216"/>
        <v>2020</v>
      </c>
      <c r="E1203">
        <f t="shared" si="217"/>
        <v>10</v>
      </c>
      <c r="F1203" t="str">
        <f t="shared" si="219"/>
        <v>October</v>
      </c>
      <c r="G1203">
        <f t="shared" si="218"/>
        <v>23</v>
      </c>
      <c r="H1203" s="7">
        <f t="shared" si="220"/>
        <v>0.31009215158940984</v>
      </c>
      <c r="I1203" s="9">
        <f t="shared" si="221"/>
        <v>3.0961235749037111E-3</v>
      </c>
      <c r="J1203" s="9">
        <f t="shared" si="222"/>
        <v>68598.224285714285</v>
      </c>
      <c r="K1203" s="9">
        <f t="shared" si="225"/>
        <v>66241.312333333335</v>
      </c>
      <c r="L1203" s="9">
        <f t="shared" si="224"/>
        <v>67564.233888888892</v>
      </c>
      <c r="M1203" s="9">
        <f t="shared" si="223"/>
        <v>1.0167205430370602E-2</v>
      </c>
      <c r="N1203" s="9">
        <f t="shared" si="226"/>
        <v>1.069091078636332E-2</v>
      </c>
    </row>
    <row r="1204" spans="1:14" x14ac:dyDescent="0.35">
      <c r="A1204" s="1">
        <v>44130</v>
      </c>
      <c r="B1204" s="2" t="s">
        <v>1204</v>
      </c>
      <c r="C1204">
        <f t="shared" si="215"/>
        <v>69602.039999999994</v>
      </c>
      <c r="D1204">
        <f t="shared" si="216"/>
        <v>2020</v>
      </c>
      <c r="E1204">
        <f t="shared" si="217"/>
        <v>10</v>
      </c>
      <c r="F1204" t="str">
        <f t="shared" si="219"/>
        <v>October</v>
      </c>
      <c r="G1204">
        <f t="shared" si="218"/>
        <v>26</v>
      </c>
      <c r="H1204" s="7">
        <f t="shared" si="220"/>
        <v>-2.1718783127622404E-2</v>
      </c>
      <c r="I1204" s="9">
        <f t="shared" si="221"/>
        <v>-2.1721141996876246E-4</v>
      </c>
      <c r="J1204" s="9">
        <f t="shared" si="222"/>
        <v>69096.59</v>
      </c>
      <c r="K1204" s="9">
        <f t="shared" si="225"/>
        <v>66482.641000000003</v>
      </c>
      <c r="L1204" s="9">
        <f t="shared" si="224"/>
        <v>67546.444000000003</v>
      </c>
      <c r="M1204" s="9">
        <f t="shared" si="223"/>
        <v>1.0362520647184962E-2</v>
      </c>
      <c r="N1204" s="9">
        <f t="shared" si="226"/>
        <v>1.0103484170520528E-2</v>
      </c>
    </row>
    <row r="1205" spans="1:14" x14ac:dyDescent="0.35">
      <c r="A1205" s="1">
        <v>44131</v>
      </c>
      <c r="B1205" s="2" t="s">
        <v>1205</v>
      </c>
      <c r="C1205">
        <f t="shared" si="215"/>
        <v>68673.95</v>
      </c>
      <c r="D1205">
        <f t="shared" si="216"/>
        <v>2020</v>
      </c>
      <c r="E1205">
        <f t="shared" si="217"/>
        <v>10</v>
      </c>
      <c r="F1205" t="str">
        <f t="shared" si="219"/>
        <v>October</v>
      </c>
      <c r="G1205">
        <f t="shared" si="218"/>
        <v>27</v>
      </c>
      <c r="H1205" s="7">
        <f t="shared" si="220"/>
        <v>-1.3334235605737943</v>
      </c>
      <c r="I1205" s="9">
        <f t="shared" si="221"/>
        <v>-1.3423934797833798E-2</v>
      </c>
      <c r="J1205" s="9">
        <f t="shared" si="222"/>
        <v>69206.342857142867</v>
      </c>
      <c r="K1205" s="9">
        <f t="shared" si="225"/>
        <v>66723.325333333327</v>
      </c>
      <c r="L1205" s="9">
        <f t="shared" si="224"/>
        <v>67515.408222222221</v>
      </c>
      <c r="M1205" s="9">
        <f t="shared" si="223"/>
        <v>8.8387694055376866E-3</v>
      </c>
      <c r="N1205" s="9">
        <f t="shared" si="226"/>
        <v>1.0027202695788775E-2</v>
      </c>
    </row>
    <row r="1206" spans="1:14" x14ac:dyDescent="0.35">
      <c r="A1206" s="1">
        <v>44132</v>
      </c>
      <c r="B1206" s="2" t="s">
        <v>1206</v>
      </c>
      <c r="C1206">
        <f t="shared" si="215"/>
        <v>68371.23</v>
      </c>
      <c r="D1206">
        <f t="shared" si="216"/>
        <v>2020</v>
      </c>
      <c r="E1206">
        <f t="shared" si="217"/>
        <v>10</v>
      </c>
      <c r="F1206" t="str">
        <f t="shared" si="219"/>
        <v>October</v>
      </c>
      <c r="G1206">
        <f t="shared" si="218"/>
        <v>28</v>
      </c>
      <c r="H1206" s="7">
        <f t="shared" si="220"/>
        <v>-0.44080761336722463</v>
      </c>
      <c r="I1206" s="9">
        <f t="shared" si="221"/>
        <v>-4.4178203473064755E-3</v>
      </c>
      <c r="J1206" s="9">
        <f t="shared" si="222"/>
        <v>69125.112857142842</v>
      </c>
      <c r="K1206" s="9">
        <f t="shared" si="225"/>
        <v>66906.911666666667</v>
      </c>
      <c r="L1206" s="9">
        <f t="shared" si="224"/>
        <v>67480.146111111113</v>
      </c>
      <c r="M1206" s="9">
        <f t="shared" si="223"/>
        <v>6.6844658219668528E-3</v>
      </c>
      <c r="N1206" s="9">
        <f t="shared" si="226"/>
        <v>9.462828770755851E-3</v>
      </c>
    </row>
    <row r="1207" spans="1:14" x14ac:dyDescent="0.35">
      <c r="A1207" s="1">
        <v>44133</v>
      </c>
      <c r="B1207" s="2" t="s">
        <v>1207</v>
      </c>
      <c r="C1207">
        <f t="shared" si="215"/>
        <v>68898.039999999994</v>
      </c>
      <c r="D1207">
        <f t="shared" si="216"/>
        <v>2020</v>
      </c>
      <c r="E1207">
        <f t="shared" si="217"/>
        <v>10</v>
      </c>
      <c r="F1207" t="str">
        <f t="shared" si="219"/>
        <v>October</v>
      </c>
      <c r="G1207">
        <f t="shared" si="218"/>
        <v>29</v>
      </c>
      <c r="H1207" s="7">
        <f t="shared" si="220"/>
        <v>0.77051414754421954</v>
      </c>
      <c r="I1207" s="9">
        <f t="shared" si="221"/>
        <v>7.6756084797935387E-3</v>
      </c>
      <c r="J1207" s="9">
        <f t="shared" si="222"/>
        <v>69135.59</v>
      </c>
      <c r="K1207" s="9">
        <f t="shared" si="225"/>
        <v>67093.054666666663</v>
      </c>
      <c r="L1207" s="9">
        <f t="shared" si="224"/>
        <v>67452.014555555565</v>
      </c>
      <c r="M1207" s="9">
        <f t="shared" si="223"/>
        <v>7.4593388588806665E-3</v>
      </c>
      <c r="N1207" s="9">
        <f t="shared" si="226"/>
        <v>9.4718865904675105E-3</v>
      </c>
    </row>
    <row r="1208" spans="1:14" x14ac:dyDescent="0.35">
      <c r="A1208" s="1">
        <v>44134</v>
      </c>
      <c r="B1208" s="2" t="s">
        <v>1208</v>
      </c>
      <c r="C1208">
        <f t="shared" si="215"/>
        <v>68705.73</v>
      </c>
      <c r="D1208">
        <f t="shared" si="216"/>
        <v>2020</v>
      </c>
      <c r="E1208">
        <f t="shared" si="217"/>
        <v>10</v>
      </c>
      <c r="F1208" t="str">
        <f t="shared" si="219"/>
        <v>October</v>
      </c>
      <c r="G1208">
        <f t="shared" si="218"/>
        <v>30</v>
      </c>
      <c r="H1208" s="7">
        <f t="shared" si="220"/>
        <v>-0.27912259913344079</v>
      </c>
      <c r="I1208" s="9">
        <f t="shared" si="221"/>
        <v>-2.7951287265708556E-3</v>
      </c>
      <c r="J1208" s="9">
        <f t="shared" si="222"/>
        <v>69038.585714285698</v>
      </c>
      <c r="K1208" s="9">
        <f t="shared" si="225"/>
        <v>67237.074666666653</v>
      </c>
      <c r="L1208" s="9">
        <f t="shared" si="224"/>
        <v>67418.896777777787</v>
      </c>
      <c r="M1208" s="9">
        <f t="shared" si="223"/>
        <v>6.6121633006265418E-3</v>
      </c>
      <c r="N1208" s="9">
        <f t="shared" si="226"/>
        <v>9.1454808102388822E-3</v>
      </c>
    </row>
    <row r="1209" spans="1:14" x14ac:dyDescent="0.35">
      <c r="A1209" s="1">
        <v>44137</v>
      </c>
      <c r="B1209" s="2" t="s">
        <v>1209</v>
      </c>
      <c r="C1209">
        <f t="shared" si="215"/>
        <v>68822.75</v>
      </c>
      <c r="D1209">
        <f t="shared" si="216"/>
        <v>2020</v>
      </c>
      <c r="E1209">
        <f t="shared" si="217"/>
        <v>11</v>
      </c>
      <c r="F1209" t="str">
        <f t="shared" si="219"/>
        <v>November</v>
      </c>
      <c r="G1209">
        <f t="shared" si="218"/>
        <v>2</v>
      </c>
      <c r="H1209" s="7">
        <f t="shared" si="220"/>
        <v>0.17032058315951826</v>
      </c>
      <c r="I1209" s="9">
        <f t="shared" si="221"/>
        <v>1.7017570213907669E-3</v>
      </c>
      <c r="J1209" s="9">
        <f t="shared" si="222"/>
        <v>68955.842857142852</v>
      </c>
      <c r="K1209" s="9">
        <f t="shared" si="225"/>
        <v>67387.817666666655</v>
      </c>
      <c r="L1209" s="9">
        <f t="shared" si="224"/>
        <v>67381.286888888906</v>
      </c>
      <c r="M1209" s="9">
        <f t="shared" si="223"/>
        <v>6.695054175956461E-3</v>
      </c>
      <c r="N1209" s="9">
        <f t="shared" si="226"/>
        <v>9.1224411031969009E-3</v>
      </c>
    </row>
    <row r="1210" spans="1:14" x14ac:dyDescent="0.35">
      <c r="A1210" s="1">
        <v>44138</v>
      </c>
      <c r="B1210" s="2" t="s">
        <v>1210</v>
      </c>
      <c r="C1210">
        <f t="shared" si="215"/>
        <v>68970.78</v>
      </c>
      <c r="D1210">
        <f t="shared" si="216"/>
        <v>2020</v>
      </c>
      <c r="E1210">
        <f t="shared" si="217"/>
        <v>11</v>
      </c>
      <c r="F1210" t="str">
        <f t="shared" si="219"/>
        <v>November</v>
      </c>
      <c r="G1210">
        <f t="shared" si="218"/>
        <v>3</v>
      </c>
      <c r="H1210" s="7">
        <f t="shared" si="220"/>
        <v>0.21508876062057797</v>
      </c>
      <c r="I1210" s="9">
        <f t="shared" si="221"/>
        <v>2.1485777590132854E-3</v>
      </c>
      <c r="J1210" s="9">
        <f t="shared" si="222"/>
        <v>68863.502857142841</v>
      </c>
      <c r="K1210" s="9">
        <f t="shared" si="225"/>
        <v>67531.766333333318</v>
      </c>
      <c r="L1210" s="9">
        <f t="shared" si="224"/>
        <v>67343.141333333348</v>
      </c>
      <c r="M1210" s="9">
        <f t="shared" si="223"/>
        <v>6.6027239944770411E-3</v>
      </c>
      <c r="N1210" s="9">
        <f t="shared" si="226"/>
        <v>9.1025032109566199E-3</v>
      </c>
    </row>
    <row r="1211" spans="1:14" x14ac:dyDescent="0.35">
      <c r="A1211" s="1">
        <v>44139</v>
      </c>
      <c r="B1211" s="2" t="s">
        <v>1211</v>
      </c>
      <c r="C1211">
        <f t="shared" si="215"/>
        <v>69565.23</v>
      </c>
      <c r="D1211">
        <f t="shared" si="216"/>
        <v>2020</v>
      </c>
      <c r="E1211">
        <f t="shared" si="217"/>
        <v>11</v>
      </c>
      <c r="F1211" t="str">
        <f t="shared" si="219"/>
        <v>November</v>
      </c>
      <c r="G1211">
        <f t="shared" si="218"/>
        <v>4</v>
      </c>
      <c r="H1211" s="7">
        <f t="shared" si="220"/>
        <v>0.86188672942367339</v>
      </c>
      <c r="I1211" s="9">
        <f t="shared" si="221"/>
        <v>8.5819369045579789E-3</v>
      </c>
      <c r="J1211" s="9">
        <f t="shared" si="222"/>
        <v>68858.244285714274</v>
      </c>
      <c r="K1211" s="9">
        <f t="shared" si="225"/>
        <v>67707.405333333329</v>
      </c>
      <c r="L1211" s="9">
        <f t="shared" si="224"/>
        <v>67305.652222222241</v>
      </c>
      <c r="M1211" s="9">
        <f t="shared" si="223"/>
        <v>7.6110544467126425E-3</v>
      </c>
      <c r="N1211" s="9">
        <f t="shared" si="226"/>
        <v>9.0563031775832484E-3</v>
      </c>
    </row>
    <row r="1212" spans="1:14" x14ac:dyDescent="0.35">
      <c r="A1212" s="1">
        <v>44140</v>
      </c>
      <c r="B1212" s="2" t="s">
        <v>1212</v>
      </c>
      <c r="C1212">
        <f t="shared" si="215"/>
        <v>68525.539999999994</v>
      </c>
      <c r="D1212">
        <f t="shared" si="216"/>
        <v>2020</v>
      </c>
      <c r="E1212">
        <f t="shared" si="217"/>
        <v>11</v>
      </c>
      <c r="F1212" t="str">
        <f t="shared" si="219"/>
        <v>November</v>
      </c>
      <c r="G1212">
        <f t="shared" si="218"/>
        <v>5</v>
      </c>
      <c r="H1212" s="7">
        <f t="shared" si="220"/>
        <v>-1.494554104112072</v>
      </c>
      <c r="I1212" s="9">
        <f t="shared" si="221"/>
        <v>-1.505835105526274E-2</v>
      </c>
      <c r="J1212" s="9">
        <f t="shared" si="222"/>
        <v>68837.042857142849</v>
      </c>
      <c r="K1212" s="9">
        <f t="shared" si="225"/>
        <v>67852.372333333333</v>
      </c>
      <c r="L1212" s="9">
        <f t="shared" si="224"/>
        <v>67277.973444444462</v>
      </c>
      <c r="M1212" s="9">
        <f t="shared" si="223"/>
        <v>8.0982730779962774E-3</v>
      </c>
      <c r="N1212" s="9">
        <f t="shared" si="226"/>
        <v>9.5867535964272478E-3</v>
      </c>
    </row>
    <row r="1213" spans="1:14" x14ac:dyDescent="0.35">
      <c r="A1213" s="1">
        <v>44141</v>
      </c>
      <c r="B1213" s="2" t="s">
        <v>1213</v>
      </c>
      <c r="C1213">
        <f t="shared" si="215"/>
        <v>67340.72</v>
      </c>
      <c r="D1213">
        <f t="shared" si="216"/>
        <v>2020</v>
      </c>
      <c r="E1213">
        <f t="shared" si="217"/>
        <v>11</v>
      </c>
      <c r="F1213" t="str">
        <f t="shared" si="219"/>
        <v>November</v>
      </c>
      <c r="G1213">
        <f t="shared" si="218"/>
        <v>6</v>
      </c>
      <c r="H1213" s="7">
        <f t="shared" si="220"/>
        <v>-1.7290195743076122</v>
      </c>
      <c r="I1213" s="9">
        <f t="shared" si="221"/>
        <v>-1.7441416806982309E-2</v>
      </c>
      <c r="J1213" s="9">
        <f t="shared" si="222"/>
        <v>68689.827142857132</v>
      </c>
      <c r="K1213" s="9">
        <f t="shared" si="225"/>
        <v>67912.884666666665</v>
      </c>
      <c r="L1213" s="9">
        <f t="shared" si="224"/>
        <v>67239.452555555574</v>
      </c>
      <c r="M1213" s="9">
        <f t="shared" si="223"/>
        <v>1.0375430261758578E-2</v>
      </c>
      <c r="N1213" s="9">
        <f t="shared" si="226"/>
        <v>9.5687492972198231E-3</v>
      </c>
    </row>
    <row r="1214" spans="1:14" x14ac:dyDescent="0.35">
      <c r="A1214" s="1">
        <v>44144</v>
      </c>
      <c r="B1214" s="2" t="s">
        <v>1214</v>
      </c>
      <c r="C1214">
        <f t="shared" si="215"/>
        <v>68051.05</v>
      </c>
      <c r="D1214">
        <f t="shared" si="216"/>
        <v>2020</v>
      </c>
      <c r="E1214">
        <f t="shared" si="217"/>
        <v>11</v>
      </c>
      <c r="F1214" t="str">
        <f t="shared" si="219"/>
        <v>November</v>
      </c>
      <c r="G1214">
        <f t="shared" si="218"/>
        <v>9</v>
      </c>
      <c r="H1214" s="7">
        <f t="shared" si="220"/>
        <v>1.0548298265893232</v>
      </c>
      <c r="I1214" s="9">
        <f t="shared" si="221"/>
        <v>1.0493053122981886E-2</v>
      </c>
      <c r="J1214" s="9">
        <f t="shared" si="222"/>
        <v>68568.828571428574</v>
      </c>
      <c r="K1214" s="9">
        <f t="shared" si="225"/>
        <v>67964.089333333337</v>
      </c>
      <c r="L1214" s="9">
        <f t="shared" si="224"/>
        <v>67206.455777777795</v>
      </c>
      <c r="M1214" s="9">
        <f t="shared" si="223"/>
        <v>1.0864144588493272E-2</v>
      </c>
      <c r="N1214" s="9">
        <f t="shared" si="226"/>
        <v>9.3738778685682009E-3</v>
      </c>
    </row>
    <row r="1215" spans="1:14" x14ac:dyDescent="0.35">
      <c r="A1215" s="1">
        <v>44145</v>
      </c>
      <c r="B1215" s="2" t="s">
        <v>1215</v>
      </c>
      <c r="C1215">
        <f t="shared" si="215"/>
        <v>68063.7</v>
      </c>
      <c r="D1215">
        <f t="shared" si="216"/>
        <v>2020</v>
      </c>
      <c r="E1215">
        <f t="shared" si="217"/>
        <v>11</v>
      </c>
      <c r="F1215" t="str">
        <f t="shared" si="219"/>
        <v>November</v>
      </c>
      <c r="G1215">
        <f t="shared" si="218"/>
        <v>10</v>
      </c>
      <c r="H1215" s="7">
        <f t="shared" si="220"/>
        <v>1.8588985768763566E-2</v>
      </c>
      <c r="I1215" s="9">
        <f t="shared" si="221"/>
        <v>1.8587258230888751E-4</v>
      </c>
      <c r="J1215" s="9">
        <f t="shared" si="222"/>
        <v>68477.11</v>
      </c>
      <c r="K1215" s="9">
        <f t="shared" si="225"/>
        <v>68024.419333333324</v>
      </c>
      <c r="L1215" s="9">
        <f t="shared" si="224"/>
        <v>67171.62933333336</v>
      </c>
      <c r="M1215" s="9">
        <f t="shared" si="223"/>
        <v>1.0875549750234557E-2</v>
      </c>
      <c r="N1215" s="9">
        <f t="shared" si="226"/>
        <v>9.3328231852209849E-3</v>
      </c>
    </row>
    <row r="1216" spans="1:14" x14ac:dyDescent="0.35">
      <c r="A1216" s="1">
        <v>44146</v>
      </c>
      <c r="B1216" s="2" t="s">
        <v>1216</v>
      </c>
      <c r="C1216">
        <f t="shared" si="215"/>
        <v>67404.27</v>
      </c>
      <c r="D1216">
        <f t="shared" si="216"/>
        <v>2020</v>
      </c>
      <c r="E1216">
        <f t="shared" si="217"/>
        <v>11</v>
      </c>
      <c r="F1216" t="str">
        <f t="shared" si="219"/>
        <v>November</v>
      </c>
      <c r="G1216">
        <f t="shared" si="218"/>
        <v>11</v>
      </c>
      <c r="H1216" s="7">
        <f t="shared" si="220"/>
        <v>-0.96884242261292453</v>
      </c>
      <c r="I1216" s="9">
        <f t="shared" si="221"/>
        <v>-9.735662364487481E-3</v>
      </c>
      <c r="J1216" s="9">
        <f t="shared" si="222"/>
        <v>68274.47</v>
      </c>
      <c r="K1216" s="9">
        <f t="shared" si="225"/>
        <v>68058.833333333328</v>
      </c>
      <c r="L1216" s="9">
        <f t="shared" si="224"/>
        <v>67137.509888888919</v>
      </c>
      <c r="M1216" s="9">
        <f t="shared" si="223"/>
        <v>1.1196610748334565E-2</v>
      </c>
      <c r="N1216" s="9">
        <f t="shared" si="226"/>
        <v>9.5300444573171595E-3</v>
      </c>
    </row>
    <row r="1217" spans="1:14" x14ac:dyDescent="0.35">
      <c r="A1217" s="1">
        <v>44147</v>
      </c>
      <c r="B1217" s="2" t="s">
        <v>1217</v>
      </c>
      <c r="C1217">
        <f t="shared" si="215"/>
        <v>66558.460000000006</v>
      </c>
      <c r="D1217">
        <f t="shared" si="216"/>
        <v>2020</v>
      </c>
      <c r="E1217">
        <f t="shared" si="217"/>
        <v>11</v>
      </c>
      <c r="F1217" t="str">
        <f t="shared" si="219"/>
        <v>November</v>
      </c>
      <c r="G1217">
        <f t="shared" si="218"/>
        <v>12</v>
      </c>
      <c r="H1217" s="7">
        <f t="shared" si="220"/>
        <v>-1.2548314817444024</v>
      </c>
      <c r="I1217" s="9">
        <f t="shared" si="221"/>
        <v>-1.2627709801206994E-2</v>
      </c>
      <c r="J1217" s="9">
        <f t="shared" si="222"/>
        <v>67929.852857142861</v>
      </c>
      <c r="K1217" s="9">
        <f t="shared" si="225"/>
        <v>68055.640666666659</v>
      </c>
      <c r="L1217" s="9">
        <f t="shared" si="224"/>
        <v>67099.175666666692</v>
      </c>
      <c r="M1217" s="9">
        <f t="shared" si="223"/>
        <v>1.1459442197170776E-2</v>
      </c>
      <c r="N1217" s="9">
        <f t="shared" si="226"/>
        <v>9.7964402566320108E-3</v>
      </c>
    </row>
    <row r="1218" spans="1:14" x14ac:dyDescent="0.35">
      <c r="A1218" s="1">
        <v>44148</v>
      </c>
      <c r="B1218" s="2" t="s">
        <v>1218</v>
      </c>
      <c r="C1218">
        <f t="shared" si="215"/>
        <v>65724.679999999993</v>
      </c>
      <c r="D1218">
        <f t="shared" si="216"/>
        <v>2020</v>
      </c>
      <c r="E1218">
        <f t="shared" si="217"/>
        <v>11</v>
      </c>
      <c r="F1218" t="str">
        <f t="shared" si="219"/>
        <v>November</v>
      </c>
      <c r="G1218">
        <f t="shared" si="218"/>
        <v>13</v>
      </c>
      <c r="H1218" s="7">
        <f t="shared" si="220"/>
        <v>-1.2527032626656527</v>
      </c>
      <c r="I1218" s="9">
        <f t="shared" si="221"/>
        <v>-1.2606157393361222E-2</v>
      </c>
      <c r="J1218" s="9">
        <f t="shared" si="222"/>
        <v>67381.202857142867</v>
      </c>
      <c r="K1218" s="9">
        <f t="shared" si="225"/>
        <v>68013.92833333333</v>
      </c>
      <c r="L1218" s="9">
        <f t="shared" si="224"/>
        <v>67067.061222222241</v>
      </c>
      <c r="M1218" s="9">
        <f t="shared" si="223"/>
        <v>9.945835488632206E-3</v>
      </c>
      <c r="N1218" s="9">
        <f t="shared" si="226"/>
        <v>1.0012174873799157E-2</v>
      </c>
    </row>
    <row r="1219" spans="1:14" x14ac:dyDescent="0.35">
      <c r="A1219" s="1">
        <v>44151</v>
      </c>
      <c r="B1219" s="2" t="s">
        <v>1219</v>
      </c>
      <c r="C1219">
        <f t="shared" ref="C1219:C1282" si="227">_xlfn.NUMBERVALUE(B1219,".",",")</f>
        <v>64804.74</v>
      </c>
      <c r="D1219">
        <f t="shared" ref="D1219:D1282" si="228">YEAR(A1219)</f>
        <v>2020</v>
      </c>
      <c r="E1219">
        <f t="shared" ref="E1219:E1282" si="229">MONTH(A1219)</f>
        <v>11</v>
      </c>
      <c r="F1219" t="str">
        <f t="shared" si="219"/>
        <v>November</v>
      </c>
      <c r="G1219">
        <f t="shared" ref="G1219:G1282" si="230">DAY(A1219)</f>
        <v>16</v>
      </c>
      <c r="H1219" s="7">
        <f t="shared" si="220"/>
        <v>-1.3996873016346298</v>
      </c>
      <c r="I1219" s="9">
        <f t="shared" si="221"/>
        <v>-1.4095753001514571E-2</v>
      </c>
      <c r="J1219" s="9">
        <f t="shared" si="222"/>
        <v>66849.66</v>
      </c>
      <c r="K1219" s="9">
        <f t="shared" si="225"/>
        <v>67926.488666666657</v>
      </c>
      <c r="L1219" s="9">
        <f t="shared" si="224"/>
        <v>67003.17300000001</v>
      </c>
      <c r="M1219" s="9">
        <f t="shared" si="223"/>
        <v>9.8398911756012696E-3</v>
      </c>
      <c r="N1219" s="9">
        <f t="shared" si="226"/>
        <v>1.0204652688042375E-2</v>
      </c>
    </row>
    <row r="1220" spans="1:14" x14ac:dyDescent="0.35">
      <c r="A1220" s="1">
        <v>44152</v>
      </c>
      <c r="B1220" s="2" t="s">
        <v>1220</v>
      </c>
      <c r="C1220">
        <f t="shared" si="227"/>
        <v>66529.53</v>
      </c>
      <c r="D1220">
        <f t="shared" si="228"/>
        <v>2020</v>
      </c>
      <c r="E1220">
        <f t="shared" si="229"/>
        <v>11</v>
      </c>
      <c r="F1220" t="str">
        <f t="shared" ref="F1220:F1283" si="231">TEXT(A1220,"mmmm")</f>
        <v>November</v>
      </c>
      <c r="G1220">
        <f t="shared" si="230"/>
        <v>17</v>
      </c>
      <c r="H1220" s="7">
        <f t="shared" ref="H1220:H1283" si="232">((C1220-C1219)/C1219)*100</f>
        <v>2.6615182778296784</v>
      </c>
      <c r="I1220" s="9">
        <f t="shared" ref="I1220:I1283" si="233">LN(C1220/C1219)</f>
        <v>2.6267160415472265E-2</v>
      </c>
      <c r="J1220" s="9">
        <f t="shared" si="222"/>
        <v>66733.775714285715</v>
      </c>
      <c r="K1220" s="9">
        <f t="shared" si="225"/>
        <v>67908.649999999994</v>
      </c>
      <c r="L1220" s="9">
        <f t="shared" si="224"/>
        <v>66958.402333333346</v>
      </c>
      <c r="M1220" s="9">
        <f t="shared" si="223"/>
        <v>1.5225898607261366E-2</v>
      </c>
      <c r="N1220" s="9">
        <f t="shared" si="226"/>
        <v>1.1342693829477326E-2</v>
      </c>
    </row>
    <row r="1221" spans="1:14" x14ac:dyDescent="0.35">
      <c r="A1221" s="1">
        <v>44153</v>
      </c>
      <c r="B1221" s="2" t="s">
        <v>1221</v>
      </c>
      <c r="C1221">
        <f t="shared" si="227"/>
        <v>67538.61</v>
      </c>
      <c r="D1221">
        <f t="shared" si="228"/>
        <v>2020</v>
      </c>
      <c r="E1221">
        <f t="shared" si="229"/>
        <v>11</v>
      </c>
      <c r="F1221" t="str">
        <f t="shared" si="231"/>
        <v>November</v>
      </c>
      <c r="G1221">
        <f t="shared" si="230"/>
        <v>18</v>
      </c>
      <c r="H1221" s="7">
        <f t="shared" si="232"/>
        <v>1.5167400100376507</v>
      </c>
      <c r="I1221" s="9">
        <f t="shared" si="233"/>
        <v>1.505352510218644E-2</v>
      </c>
      <c r="J1221" s="9">
        <f t="shared" si="222"/>
        <v>66660.569999999992</v>
      </c>
      <c r="K1221" s="9">
        <f t="shared" si="225"/>
        <v>67905.06766666667</v>
      </c>
      <c r="L1221" s="9">
        <f t="shared" si="224"/>
        <v>66919.771333333352</v>
      </c>
      <c r="M1221" s="9">
        <f t="shared" si="223"/>
        <v>1.5917979725499791E-2</v>
      </c>
      <c r="N1221" s="9">
        <f t="shared" si="226"/>
        <v>1.1574647635548205E-2</v>
      </c>
    </row>
    <row r="1222" spans="1:14" x14ac:dyDescent="0.35">
      <c r="A1222" s="1">
        <v>44154</v>
      </c>
      <c r="B1222" s="2" t="s">
        <v>1222</v>
      </c>
      <c r="C1222">
        <f t="shared" si="227"/>
        <v>67897.600000000006</v>
      </c>
      <c r="D1222">
        <f t="shared" si="228"/>
        <v>2020</v>
      </c>
      <c r="E1222">
        <f t="shared" si="229"/>
        <v>11</v>
      </c>
      <c r="F1222" t="str">
        <f t="shared" si="231"/>
        <v>November</v>
      </c>
      <c r="G1222">
        <f t="shared" si="230"/>
        <v>19</v>
      </c>
      <c r="H1222" s="7">
        <f t="shared" si="232"/>
        <v>0.53153300016095273</v>
      </c>
      <c r="I1222" s="9">
        <f t="shared" si="233"/>
        <v>5.3012534939202924E-3</v>
      </c>
      <c r="J1222" s="9">
        <f t="shared" si="222"/>
        <v>66636.841428571424</v>
      </c>
      <c r="K1222" s="9">
        <f t="shared" si="225"/>
        <v>67932.696333333341</v>
      </c>
      <c r="L1222" s="9">
        <f t="shared" si="224"/>
        <v>66886.790777777802</v>
      </c>
      <c r="M1222" s="9">
        <f t="shared" si="223"/>
        <v>1.6102124132609315E-2</v>
      </c>
      <c r="N1222" s="9">
        <f t="shared" si="226"/>
        <v>1.1499463891436626E-2</v>
      </c>
    </row>
    <row r="1223" spans="1:14" x14ac:dyDescent="0.35">
      <c r="A1223" s="1">
        <v>44155</v>
      </c>
      <c r="B1223" s="2" t="s">
        <v>1223</v>
      </c>
      <c r="C1223">
        <f t="shared" si="227"/>
        <v>67088.27</v>
      </c>
      <c r="D1223">
        <f t="shared" si="228"/>
        <v>2020</v>
      </c>
      <c r="E1223">
        <f t="shared" si="229"/>
        <v>11</v>
      </c>
      <c r="F1223" t="str">
        <f t="shared" si="231"/>
        <v>November</v>
      </c>
      <c r="G1223">
        <f t="shared" si="230"/>
        <v>20</v>
      </c>
      <c r="H1223" s="7">
        <f t="shared" si="232"/>
        <v>-1.1919861674050358</v>
      </c>
      <c r="I1223" s="9">
        <f t="shared" si="233"/>
        <v>-1.1991472857701599E-2</v>
      </c>
      <c r="J1223" s="9">
        <f t="shared" si="222"/>
        <v>66591.698571428569</v>
      </c>
      <c r="K1223" s="9">
        <f t="shared" si="225"/>
        <v>67920.543333333335</v>
      </c>
      <c r="L1223" s="9">
        <f t="shared" si="224"/>
        <v>66850.255777777798</v>
      </c>
      <c r="M1223" s="9">
        <f t="shared" si="223"/>
        <v>1.6342077476767483E-2</v>
      </c>
      <c r="N1223" s="9">
        <f t="shared" si="226"/>
        <v>1.1670952552337249E-2</v>
      </c>
    </row>
    <row r="1224" spans="1:14" x14ac:dyDescent="0.35">
      <c r="A1224" s="1">
        <v>44158</v>
      </c>
      <c r="B1224" s="2" t="s">
        <v>1224</v>
      </c>
      <c r="C1224">
        <f t="shared" si="227"/>
        <v>67293.33</v>
      </c>
      <c r="D1224">
        <f t="shared" si="228"/>
        <v>2020</v>
      </c>
      <c r="E1224">
        <f t="shared" si="229"/>
        <v>11</v>
      </c>
      <c r="F1224" t="str">
        <f t="shared" si="231"/>
        <v>November</v>
      </c>
      <c r="G1224">
        <f t="shared" si="230"/>
        <v>23</v>
      </c>
      <c r="H1224" s="7">
        <f t="shared" si="232"/>
        <v>0.30565700978725141</v>
      </c>
      <c r="I1224" s="9">
        <f t="shared" si="233"/>
        <v>3.0519082845146448E-3</v>
      </c>
      <c r="J1224" s="9">
        <f t="shared" si="222"/>
        <v>66696.680000000008</v>
      </c>
      <c r="K1224" s="9">
        <f t="shared" si="225"/>
        <v>67915.269666666674</v>
      </c>
      <c r="L1224" s="9">
        <f t="shared" si="224"/>
        <v>66810.55311111112</v>
      </c>
      <c r="M1224" s="9">
        <f t="shared" si="223"/>
        <v>1.5482066373677964E-2</v>
      </c>
      <c r="N1224" s="9">
        <f t="shared" si="226"/>
        <v>1.1685877043714472E-2</v>
      </c>
    </row>
    <row r="1225" spans="1:14" x14ac:dyDescent="0.35">
      <c r="A1225" s="1">
        <v>44159</v>
      </c>
      <c r="B1225" s="2" t="s">
        <v>1225</v>
      </c>
      <c r="C1225">
        <f t="shared" si="227"/>
        <v>66385.570000000007</v>
      </c>
      <c r="D1225">
        <f t="shared" si="228"/>
        <v>2020</v>
      </c>
      <c r="E1225">
        <f t="shared" si="229"/>
        <v>11</v>
      </c>
      <c r="F1225" t="str">
        <f t="shared" si="231"/>
        <v>November</v>
      </c>
      <c r="G1225">
        <f t="shared" si="230"/>
        <v>24</v>
      </c>
      <c r="H1225" s="7">
        <f t="shared" si="232"/>
        <v>-1.3489598449058691</v>
      </c>
      <c r="I1225" s="9">
        <f t="shared" si="233"/>
        <v>-1.3581409681549897E-2</v>
      </c>
      <c r="J1225" s="9">
        <f t="shared" ref="J1225:J1288" si="234">AVERAGE(C1219:C1225)</f>
        <v>66791.092857142867</v>
      </c>
      <c r="K1225" s="9">
        <f t="shared" si="225"/>
        <v>67900.481666666674</v>
      </c>
      <c r="L1225" s="9">
        <f t="shared" si="224"/>
        <v>66759.92233333335</v>
      </c>
      <c r="M1225" s="9">
        <f t="shared" si="223"/>
        <v>1.5634521211608604E-2</v>
      </c>
      <c r="N1225" s="9">
        <f t="shared" si="226"/>
        <v>1.1828478897056504E-2</v>
      </c>
    </row>
    <row r="1226" spans="1:14" x14ac:dyDescent="0.35">
      <c r="A1226" s="1">
        <v>44160</v>
      </c>
      <c r="B1226" s="2" t="s">
        <v>1226</v>
      </c>
      <c r="C1226">
        <f t="shared" si="227"/>
        <v>65243.5</v>
      </c>
      <c r="D1226">
        <f t="shared" si="228"/>
        <v>2020</v>
      </c>
      <c r="E1226">
        <f t="shared" si="229"/>
        <v>11</v>
      </c>
      <c r="F1226" t="str">
        <f t="shared" si="231"/>
        <v>November</v>
      </c>
      <c r="G1226">
        <f t="shared" si="230"/>
        <v>25</v>
      </c>
      <c r="H1226" s="7">
        <f t="shared" si="232"/>
        <v>-1.7203588068913274</v>
      </c>
      <c r="I1226" s="9">
        <f t="shared" si="233"/>
        <v>-1.735328920554758E-2</v>
      </c>
      <c r="J1226" s="9">
        <f t="shared" si="234"/>
        <v>66853.77285714286</v>
      </c>
      <c r="K1226" s="9">
        <f t="shared" si="225"/>
        <v>67874.896333333338</v>
      </c>
      <c r="L1226" s="9">
        <f t="shared" si="224"/>
        <v>66696.645555555573</v>
      </c>
      <c r="M1226" s="9">
        <f t="shared" ref="M1226:M1289" si="235">STDEV(I1220:I1226)</f>
        <v>1.6211477811963623E-2</v>
      </c>
      <c r="N1226" s="9">
        <f t="shared" si="226"/>
        <v>1.203987347222359E-2</v>
      </c>
    </row>
    <row r="1227" spans="1:14" x14ac:dyDescent="0.35">
      <c r="A1227" s="1">
        <v>44161</v>
      </c>
      <c r="B1227" s="2" t="s">
        <v>1227</v>
      </c>
      <c r="C1227">
        <f t="shared" si="227"/>
        <v>66806.36</v>
      </c>
      <c r="D1227">
        <f t="shared" si="228"/>
        <v>2020</v>
      </c>
      <c r="E1227">
        <f t="shared" si="229"/>
        <v>11</v>
      </c>
      <c r="F1227" t="str">
        <f t="shared" si="231"/>
        <v>November</v>
      </c>
      <c r="G1227">
        <f t="shared" si="230"/>
        <v>26</v>
      </c>
      <c r="H1227" s="7">
        <f t="shared" si="232"/>
        <v>2.3954263643121547</v>
      </c>
      <c r="I1227" s="9">
        <f t="shared" si="233"/>
        <v>2.3671861208817459E-2</v>
      </c>
      <c r="J1227" s="9">
        <f t="shared" si="234"/>
        <v>66893.320000000007</v>
      </c>
      <c r="K1227" s="9">
        <f t="shared" si="225"/>
        <v>67897.992333333343</v>
      </c>
      <c r="L1227" s="9">
        <f t="shared" si="224"/>
        <v>66660.154666666684</v>
      </c>
      <c r="M1227" s="9">
        <f t="shared" si="235"/>
        <v>1.5552634528950768E-2</v>
      </c>
      <c r="N1227" s="9">
        <f t="shared" si="226"/>
        <v>1.2815249694892216E-2</v>
      </c>
    </row>
    <row r="1228" spans="1:14" x14ac:dyDescent="0.35">
      <c r="A1228" s="1">
        <v>44162</v>
      </c>
      <c r="B1228" s="2" t="s">
        <v>1228</v>
      </c>
      <c r="C1228">
        <f t="shared" si="227"/>
        <v>65849.75</v>
      </c>
      <c r="D1228">
        <f t="shared" si="228"/>
        <v>2020</v>
      </c>
      <c r="E1228">
        <f t="shared" si="229"/>
        <v>11</v>
      </c>
      <c r="F1228" t="str">
        <f t="shared" si="231"/>
        <v>November</v>
      </c>
      <c r="G1228">
        <f t="shared" si="230"/>
        <v>27</v>
      </c>
      <c r="H1228" s="7">
        <f t="shared" si="232"/>
        <v>-1.4319145662179478</v>
      </c>
      <c r="I1228" s="9">
        <f t="shared" si="233"/>
        <v>-1.4422653916424E-2</v>
      </c>
      <c r="J1228" s="9">
        <f t="shared" si="234"/>
        <v>66652.054285714286</v>
      </c>
      <c r="K1228" s="9">
        <f t="shared" si="225"/>
        <v>67829.46133333334</v>
      </c>
      <c r="L1228" s="9">
        <f t="shared" si="224"/>
        <v>66614.914444444468</v>
      </c>
      <c r="M1228" s="9">
        <f t="shared" si="235"/>
        <v>1.4964182679062993E-2</v>
      </c>
      <c r="N1228" s="9">
        <f t="shared" si="226"/>
        <v>1.2073645188685532E-2</v>
      </c>
    </row>
    <row r="1229" spans="1:14" x14ac:dyDescent="0.35">
      <c r="A1229" s="1">
        <v>44165</v>
      </c>
      <c r="B1229" s="2" t="s">
        <v>1229</v>
      </c>
      <c r="C1229">
        <f t="shared" si="227"/>
        <v>66166.86</v>
      </c>
      <c r="D1229">
        <f t="shared" si="228"/>
        <v>2020</v>
      </c>
      <c r="E1229">
        <f t="shared" si="229"/>
        <v>11</v>
      </c>
      <c r="F1229" t="str">
        <f t="shared" si="231"/>
        <v>November</v>
      </c>
      <c r="G1229">
        <f t="shared" si="230"/>
        <v>30</v>
      </c>
      <c r="H1229" s="7">
        <f t="shared" si="232"/>
        <v>0.48156598924065863</v>
      </c>
      <c r="I1229" s="9">
        <f t="shared" si="233"/>
        <v>4.8041016943543118E-3</v>
      </c>
      <c r="J1229" s="9">
        <f t="shared" si="234"/>
        <v>66404.805714285714</v>
      </c>
      <c r="K1229" s="9">
        <f t="shared" si="225"/>
        <v>67737.02866666668</v>
      </c>
      <c r="L1229" s="9">
        <f t="shared" si="224"/>
        <v>66581.973333333357</v>
      </c>
      <c r="M1229" s="9">
        <f t="shared" si="235"/>
        <v>1.4915899219357716E-2</v>
      </c>
      <c r="N1229" s="9">
        <f t="shared" si="226"/>
        <v>1.1740539909552972E-2</v>
      </c>
    </row>
    <row r="1230" spans="1:14" x14ac:dyDescent="0.35">
      <c r="A1230" s="1">
        <v>44166</v>
      </c>
      <c r="B1230" s="2" t="s">
        <v>1230</v>
      </c>
      <c r="C1230">
        <f t="shared" si="227"/>
        <v>66323.759999999995</v>
      </c>
      <c r="D1230">
        <f t="shared" si="228"/>
        <v>2020</v>
      </c>
      <c r="E1230">
        <f t="shared" si="229"/>
        <v>12</v>
      </c>
      <c r="F1230" t="str">
        <f t="shared" si="231"/>
        <v>December</v>
      </c>
      <c r="G1230">
        <f t="shared" si="230"/>
        <v>1</v>
      </c>
      <c r="H1230" s="7">
        <f t="shared" si="232"/>
        <v>0.23712777060902421</v>
      </c>
      <c r="I1230" s="9">
        <f t="shared" si="233"/>
        <v>2.3684706637527148E-3</v>
      </c>
      <c r="J1230" s="9">
        <f t="shared" si="234"/>
        <v>66295.59</v>
      </c>
      <c r="K1230" s="9">
        <f t="shared" si="225"/>
        <v>67653.664000000019</v>
      </c>
      <c r="L1230" s="9">
        <f t="shared" si="224"/>
        <v>66560.244000000021</v>
      </c>
      <c r="M1230" s="9">
        <f t="shared" si="235"/>
        <v>1.4567083426850595E-2</v>
      </c>
      <c r="N1230" s="9">
        <f t="shared" si="226"/>
        <v>1.1760097589407577E-2</v>
      </c>
    </row>
    <row r="1231" spans="1:14" x14ac:dyDescent="0.35">
      <c r="A1231" s="1">
        <v>44167</v>
      </c>
      <c r="B1231" s="2" t="s">
        <v>1231</v>
      </c>
      <c r="C1231">
        <f t="shared" si="227"/>
        <v>66555.78</v>
      </c>
      <c r="D1231">
        <f t="shared" si="228"/>
        <v>2020</v>
      </c>
      <c r="E1231">
        <f t="shared" si="229"/>
        <v>12</v>
      </c>
      <c r="F1231" t="str">
        <f t="shared" si="231"/>
        <v>December</v>
      </c>
      <c r="G1231">
        <f t="shared" si="230"/>
        <v>2</v>
      </c>
      <c r="H1231" s="7">
        <f t="shared" si="232"/>
        <v>0.34982938241137729</v>
      </c>
      <c r="I1231" s="9">
        <f t="shared" si="233"/>
        <v>3.4921890277119475E-3</v>
      </c>
      <c r="J1231" s="9">
        <f t="shared" si="234"/>
        <v>66190.225714285712</v>
      </c>
      <c r="K1231" s="9">
        <f t="shared" si="225"/>
        <v>67559.364666666675</v>
      </c>
      <c r="L1231" s="9">
        <f t="shared" si="224"/>
        <v>66544.38377777781</v>
      </c>
      <c r="M1231" s="9">
        <f t="shared" si="235"/>
        <v>1.4591634573101139E-2</v>
      </c>
      <c r="N1231" s="9">
        <f t="shared" si="226"/>
        <v>1.1663556249014244E-2</v>
      </c>
    </row>
    <row r="1232" spans="1:14" x14ac:dyDescent="0.35">
      <c r="A1232" s="1">
        <v>44168</v>
      </c>
      <c r="B1232" s="2" t="s">
        <v>1232</v>
      </c>
      <c r="C1232">
        <f t="shared" si="227"/>
        <v>66248.740000000005</v>
      </c>
      <c r="D1232">
        <f t="shared" si="228"/>
        <v>2020</v>
      </c>
      <c r="E1232">
        <f t="shared" si="229"/>
        <v>12</v>
      </c>
      <c r="F1232" t="str">
        <f t="shared" si="231"/>
        <v>December</v>
      </c>
      <c r="G1232">
        <f t="shared" si="230"/>
        <v>3</v>
      </c>
      <c r="H1232" s="7">
        <f t="shared" si="232"/>
        <v>-0.46132732574089519</v>
      </c>
      <c r="I1232" s="9">
        <f t="shared" si="233"/>
        <v>-4.6239472431428121E-3</v>
      </c>
      <c r="J1232" s="9">
        <f t="shared" si="234"/>
        <v>66170.678571428565</v>
      </c>
      <c r="K1232" s="9">
        <f t="shared" si="225"/>
        <v>67454.257666666686</v>
      </c>
      <c r="L1232" s="9">
        <f t="shared" si="224"/>
        <v>66524.377111111142</v>
      </c>
      <c r="M1232" s="9">
        <f t="shared" si="235"/>
        <v>1.3730524210725925E-2</v>
      </c>
      <c r="N1232" s="9">
        <f t="shared" si="226"/>
        <v>1.1673912461594613E-2</v>
      </c>
    </row>
    <row r="1233" spans="1:14" x14ac:dyDescent="0.35">
      <c r="A1233" s="1">
        <v>44169</v>
      </c>
      <c r="B1233" s="2" t="s">
        <v>1233</v>
      </c>
      <c r="C1233">
        <f t="shared" si="227"/>
        <v>66548.710000000006</v>
      </c>
      <c r="D1233">
        <f t="shared" si="228"/>
        <v>2020</v>
      </c>
      <c r="E1233">
        <f t="shared" si="229"/>
        <v>12</v>
      </c>
      <c r="F1233" t="str">
        <f t="shared" si="231"/>
        <v>December</v>
      </c>
      <c r="G1233">
        <f t="shared" si="230"/>
        <v>4</v>
      </c>
      <c r="H1233" s="7">
        <f t="shared" si="232"/>
        <v>0.45279351728048134</v>
      </c>
      <c r="I1233" s="9">
        <f t="shared" si="233"/>
        <v>4.5177149138407608E-3</v>
      </c>
      <c r="J1233" s="9">
        <f t="shared" si="234"/>
        <v>66357.137142857144</v>
      </c>
      <c r="K1233" s="9">
        <f t="shared" si="225"/>
        <v>67351.97600000001</v>
      </c>
      <c r="L1233" s="9">
        <f t="shared" si="224"/>
        <v>66510.192333333354</v>
      </c>
      <c r="M1233" s="9">
        <f t="shared" si="235"/>
        <v>1.1510832125623689E-2</v>
      </c>
      <c r="N1233" s="9">
        <f t="shared" si="226"/>
        <v>1.1696285776902978E-2</v>
      </c>
    </row>
    <row r="1234" spans="1:14" x14ac:dyDescent="0.35">
      <c r="A1234" s="1">
        <v>44172</v>
      </c>
      <c r="B1234" s="2" t="s">
        <v>1234</v>
      </c>
      <c r="C1234">
        <f t="shared" si="227"/>
        <v>65809.350000000006</v>
      </c>
      <c r="D1234">
        <f t="shared" si="228"/>
        <v>2020</v>
      </c>
      <c r="E1234">
        <f t="shared" si="229"/>
        <v>12</v>
      </c>
      <c r="F1234" t="str">
        <f t="shared" si="231"/>
        <v>December</v>
      </c>
      <c r="G1234">
        <f t="shared" si="230"/>
        <v>7</v>
      </c>
      <c r="H1234" s="7">
        <f t="shared" si="232"/>
        <v>-1.1110057580379853</v>
      </c>
      <c r="I1234" s="9">
        <f t="shared" si="233"/>
        <v>-1.1172235230537536E-2</v>
      </c>
      <c r="J1234" s="9">
        <f t="shared" si="234"/>
        <v>66214.707142857151</v>
      </c>
      <c r="K1234" s="9">
        <f t="shared" si="225"/>
        <v>67225.553000000014</v>
      </c>
      <c r="L1234" s="9">
        <f t="shared" si="224"/>
        <v>66484.116111111129</v>
      </c>
      <c r="M1234" s="9">
        <f t="shared" si="235"/>
        <v>7.9917455102381033E-3</v>
      </c>
      <c r="N1234" s="9">
        <f t="shared" si="226"/>
        <v>1.1825075511461509E-2</v>
      </c>
    </row>
    <row r="1235" spans="1:14" x14ac:dyDescent="0.35">
      <c r="A1235" s="1">
        <v>44173</v>
      </c>
      <c r="B1235" s="2" t="s">
        <v>1235</v>
      </c>
      <c r="C1235">
        <f t="shared" si="227"/>
        <v>66215.47</v>
      </c>
      <c r="D1235">
        <f t="shared" si="228"/>
        <v>2020</v>
      </c>
      <c r="E1235">
        <f t="shared" si="229"/>
        <v>12</v>
      </c>
      <c r="F1235" t="str">
        <f t="shared" si="231"/>
        <v>December</v>
      </c>
      <c r="G1235">
        <f t="shared" si="230"/>
        <v>8</v>
      </c>
      <c r="H1235" s="7">
        <f t="shared" si="232"/>
        <v>0.61711595692708598</v>
      </c>
      <c r="I1235" s="9">
        <f t="shared" si="233"/>
        <v>6.1521959424437811E-3</v>
      </c>
      <c r="J1235" s="9">
        <f t="shared" si="234"/>
        <v>66266.952857142867</v>
      </c>
      <c r="K1235" s="9">
        <f t="shared" si="225"/>
        <v>67143.603666666691</v>
      </c>
      <c r="L1235" s="9">
        <f t="shared" si="224"/>
        <v>66457.762777777796</v>
      </c>
      <c r="M1235" s="9">
        <f t="shared" si="235"/>
        <v>6.3372088698431996E-3</v>
      </c>
      <c r="N1235" s="9">
        <f t="shared" si="226"/>
        <v>1.1704904898609505E-2</v>
      </c>
    </row>
    <row r="1236" spans="1:14" x14ac:dyDescent="0.35">
      <c r="A1236" s="1">
        <v>44174</v>
      </c>
      <c r="B1236" s="2" t="s">
        <v>1236</v>
      </c>
      <c r="C1236">
        <f t="shared" si="227"/>
        <v>66263.490000000005</v>
      </c>
      <c r="D1236">
        <f t="shared" si="228"/>
        <v>2020</v>
      </c>
      <c r="E1236">
        <f t="shared" si="229"/>
        <v>12</v>
      </c>
      <c r="F1236" t="str">
        <f t="shared" si="231"/>
        <v>December</v>
      </c>
      <c r="G1236">
        <f t="shared" si="230"/>
        <v>9</v>
      </c>
      <c r="H1236" s="7">
        <f t="shared" si="232"/>
        <v>7.2520817265216225E-2</v>
      </c>
      <c r="I1236" s="9">
        <f t="shared" si="233"/>
        <v>7.2494533627163549E-4</v>
      </c>
      <c r="J1236" s="9">
        <f t="shared" si="234"/>
        <v>66280.757142857139</v>
      </c>
      <c r="K1236" s="9">
        <f t="shared" si="225"/>
        <v>67073.345666666675</v>
      </c>
      <c r="L1236" s="9">
        <f t="shared" si="224"/>
        <v>66440.888222222231</v>
      </c>
      <c r="M1236" s="9">
        <f t="shared" si="235"/>
        <v>6.0894079905962862E-3</v>
      </c>
      <c r="N1236" s="9">
        <f t="shared" si="226"/>
        <v>1.1694037511152396E-2</v>
      </c>
    </row>
    <row r="1237" spans="1:14" x14ac:dyDescent="0.35">
      <c r="A1237" s="1">
        <v>44175</v>
      </c>
      <c r="B1237" s="2" t="s">
        <v>1237</v>
      </c>
      <c r="C1237">
        <f t="shared" si="227"/>
        <v>65819.63</v>
      </c>
      <c r="D1237">
        <f t="shared" si="228"/>
        <v>2020</v>
      </c>
      <c r="E1237">
        <f t="shared" si="229"/>
        <v>12</v>
      </c>
      <c r="F1237" t="str">
        <f t="shared" si="231"/>
        <v>December</v>
      </c>
      <c r="G1237">
        <f t="shared" si="230"/>
        <v>10</v>
      </c>
      <c r="H1237" s="7">
        <f t="shared" si="232"/>
        <v>-0.66984096370414614</v>
      </c>
      <c r="I1237" s="9">
        <f t="shared" si="233"/>
        <v>-6.720944671845243E-3</v>
      </c>
      <c r="J1237" s="9">
        <f t="shared" si="234"/>
        <v>66208.738571428577</v>
      </c>
      <c r="K1237" s="9">
        <f t="shared" si="225"/>
        <v>66970.732000000018</v>
      </c>
      <c r="L1237" s="9">
        <f t="shared" si="224"/>
        <v>66422.60977777779</v>
      </c>
      <c r="M1237" s="9">
        <f t="shared" si="235"/>
        <v>6.5068443419299092E-3</v>
      </c>
      <c r="N1237" s="9">
        <f t="shared" si="226"/>
        <v>1.161903757170208E-2</v>
      </c>
    </row>
    <row r="1238" spans="1:14" x14ac:dyDescent="0.35">
      <c r="A1238" s="1">
        <v>44176</v>
      </c>
      <c r="B1238" s="2" t="s">
        <v>1238</v>
      </c>
      <c r="C1238">
        <f t="shared" si="227"/>
        <v>65551.73</v>
      </c>
      <c r="D1238">
        <f t="shared" si="228"/>
        <v>2020</v>
      </c>
      <c r="E1238">
        <f t="shared" si="229"/>
        <v>12</v>
      </c>
      <c r="F1238" t="str">
        <f t="shared" si="231"/>
        <v>December</v>
      </c>
      <c r="G1238">
        <f t="shared" si="230"/>
        <v>11</v>
      </c>
      <c r="H1238" s="7">
        <f t="shared" si="232"/>
        <v>-0.40702143114449096</v>
      </c>
      <c r="I1238" s="9">
        <f t="shared" si="233"/>
        <v>-4.0785201791509939E-3</v>
      </c>
      <c r="J1238" s="9">
        <f t="shared" si="234"/>
        <v>66065.302857142859</v>
      </c>
      <c r="K1238" s="9">
        <f t="shared" si="225"/>
        <v>66865.598666666687</v>
      </c>
      <c r="L1238" s="9">
        <f t="shared" si="224"/>
        <v>66398.076111111121</v>
      </c>
      <c r="M1238" s="9">
        <f t="shared" si="235"/>
        <v>6.2420724501324439E-3</v>
      </c>
      <c r="N1238" s="9">
        <f t="shared" si="226"/>
        <v>1.1626240801061742E-2</v>
      </c>
    </row>
    <row r="1239" spans="1:14" x14ac:dyDescent="0.35">
      <c r="A1239" s="1">
        <v>44179</v>
      </c>
      <c r="B1239" s="2" t="s">
        <v>1239</v>
      </c>
      <c r="C1239">
        <f t="shared" si="227"/>
        <v>65563.48</v>
      </c>
      <c r="D1239">
        <f t="shared" si="228"/>
        <v>2020</v>
      </c>
      <c r="E1239">
        <f t="shared" si="229"/>
        <v>12</v>
      </c>
      <c r="F1239" t="str">
        <f t="shared" si="231"/>
        <v>December</v>
      </c>
      <c r="G1239">
        <f t="shared" si="230"/>
        <v>14</v>
      </c>
      <c r="H1239" s="7">
        <f t="shared" si="232"/>
        <v>1.7924774830504094E-2</v>
      </c>
      <c r="I1239" s="9">
        <f t="shared" si="233"/>
        <v>1.7923168534696805E-4</v>
      </c>
      <c r="J1239" s="9">
        <f t="shared" si="234"/>
        <v>65967.408571428576</v>
      </c>
      <c r="K1239" s="9">
        <f t="shared" si="225"/>
        <v>66756.956333333335</v>
      </c>
      <c r="L1239" s="9">
        <f t="shared" si="224"/>
        <v>66376.83600000001</v>
      </c>
      <c r="M1239" s="9">
        <f t="shared" si="235"/>
        <v>6.1913496462834092E-3</v>
      </c>
      <c r="N1239" s="9">
        <f t="shared" si="226"/>
        <v>1.1614799994547075E-2</v>
      </c>
    </row>
    <row r="1240" spans="1:14" x14ac:dyDescent="0.35">
      <c r="A1240" s="1">
        <v>44180</v>
      </c>
      <c r="B1240" s="2" t="s">
        <v>1240</v>
      </c>
      <c r="C1240">
        <f t="shared" si="227"/>
        <v>65635.23</v>
      </c>
      <c r="D1240">
        <f t="shared" si="228"/>
        <v>2020</v>
      </c>
      <c r="E1240">
        <f t="shared" si="229"/>
        <v>12</v>
      </c>
      <c r="F1240" t="str">
        <f t="shared" si="231"/>
        <v>December</v>
      </c>
      <c r="G1240">
        <f t="shared" si="230"/>
        <v>15</v>
      </c>
      <c r="H1240" s="7">
        <f t="shared" si="232"/>
        <v>0.10943592377951872</v>
      </c>
      <c r="I1240" s="9">
        <f t="shared" si="233"/>
        <v>1.0937608632425669E-3</v>
      </c>
      <c r="J1240" s="9">
        <f t="shared" si="234"/>
        <v>65836.911428571417</v>
      </c>
      <c r="K1240" s="9">
        <f t="shared" si="225"/>
        <v>66645.771333333338</v>
      </c>
      <c r="L1240" s="9">
        <f t="shared" si="224"/>
        <v>66354.835111111141</v>
      </c>
      <c r="M1240" s="9">
        <f t="shared" si="235"/>
        <v>5.7581384183523435E-3</v>
      </c>
      <c r="N1240" s="9">
        <f t="shared" si="226"/>
        <v>1.1604599208021657E-2</v>
      </c>
    </row>
    <row r="1241" spans="1:14" x14ac:dyDescent="0.35">
      <c r="A1241" s="1">
        <v>44182</v>
      </c>
      <c r="B1241" s="2" t="s">
        <v>1241</v>
      </c>
      <c r="C1241">
        <f t="shared" si="227"/>
        <v>66585.48</v>
      </c>
      <c r="D1241">
        <f t="shared" si="228"/>
        <v>2020</v>
      </c>
      <c r="E1241">
        <f t="shared" si="229"/>
        <v>12</v>
      </c>
      <c r="F1241" t="str">
        <f t="shared" si="231"/>
        <v>December</v>
      </c>
      <c r="G1241">
        <f t="shared" si="230"/>
        <v>17</v>
      </c>
      <c r="H1241" s="7">
        <f t="shared" si="232"/>
        <v>1.4477743126671454</v>
      </c>
      <c r="I1241" s="9">
        <f t="shared" si="233"/>
        <v>1.4373941281784324E-2</v>
      </c>
      <c r="J1241" s="9">
        <f t="shared" si="234"/>
        <v>65947.787142857138</v>
      </c>
      <c r="K1241" s="9">
        <f t="shared" si="225"/>
        <v>66546.446333333341</v>
      </c>
      <c r="L1241" s="9">
        <f t="shared" si="224"/>
        <v>66350.44655555558</v>
      </c>
      <c r="M1241" s="9">
        <f t="shared" si="235"/>
        <v>6.932784916580734E-3</v>
      </c>
      <c r="N1241" s="9">
        <f t="shared" si="226"/>
        <v>1.1826793134616459E-2</v>
      </c>
    </row>
    <row r="1242" spans="1:14" x14ac:dyDescent="0.35">
      <c r="A1242" s="1">
        <v>44183</v>
      </c>
      <c r="B1242" s="2" t="s">
        <v>1242</v>
      </c>
      <c r="C1242">
        <f t="shared" si="227"/>
        <v>67310.570000000007</v>
      </c>
      <c r="D1242">
        <f t="shared" si="228"/>
        <v>2020</v>
      </c>
      <c r="E1242">
        <f t="shared" si="229"/>
        <v>12</v>
      </c>
      <c r="F1242" t="str">
        <f t="shared" si="231"/>
        <v>December</v>
      </c>
      <c r="G1242">
        <f t="shared" si="230"/>
        <v>18</v>
      </c>
      <c r="H1242" s="7">
        <f t="shared" si="232"/>
        <v>1.0889611368725001</v>
      </c>
      <c r="I1242" s="9">
        <f t="shared" si="233"/>
        <v>1.0830746508911113E-2</v>
      </c>
      <c r="J1242" s="9">
        <f t="shared" si="234"/>
        <v>66104.23</v>
      </c>
      <c r="K1242" s="9">
        <f t="shared" si="225"/>
        <v>66505.947333333344</v>
      </c>
      <c r="L1242" s="9">
        <f t="shared" si="224"/>
        <v>66353.336000000039</v>
      </c>
      <c r="M1242" s="9">
        <f t="shared" si="235"/>
        <v>7.6271116782925868E-3</v>
      </c>
      <c r="N1242" s="9">
        <f t="shared" si="226"/>
        <v>1.1744531284743048E-2</v>
      </c>
    </row>
    <row r="1243" spans="1:14" x14ac:dyDescent="0.35">
      <c r="A1243" s="1">
        <v>44186</v>
      </c>
      <c r="B1243" s="2" t="s">
        <v>1243</v>
      </c>
      <c r="C1243">
        <f t="shared" si="227"/>
        <v>67941.48</v>
      </c>
      <c r="D1243">
        <f t="shared" si="228"/>
        <v>2020</v>
      </c>
      <c r="E1243">
        <f t="shared" si="229"/>
        <v>12</v>
      </c>
      <c r="F1243" t="str">
        <f t="shared" si="231"/>
        <v>December</v>
      </c>
      <c r="G1243">
        <f t="shared" si="230"/>
        <v>21</v>
      </c>
      <c r="H1243" s="7">
        <f t="shared" si="232"/>
        <v>0.9373119258981002</v>
      </c>
      <c r="I1243" s="9">
        <f t="shared" si="233"/>
        <v>9.3294641543122427E-3</v>
      </c>
      <c r="J1243" s="9">
        <f t="shared" si="234"/>
        <v>66343.942857142843</v>
      </c>
      <c r="K1243" s="9">
        <f t="shared" si="225"/>
        <v>66525.972666666668</v>
      </c>
      <c r="L1243" s="9">
        <f t="shared" si="224"/>
        <v>66374.268222222265</v>
      </c>
      <c r="M1243" s="9">
        <f t="shared" si="235"/>
        <v>8.0067413572857144E-3</v>
      </c>
      <c r="N1243" s="9">
        <f t="shared" si="226"/>
        <v>1.143340593176091E-2</v>
      </c>
    </row>
    <row r="1244" spans="1:14" x14ac:dyDescent="0.35">
      <c r="A1244" s="1">
        <v>44187</v>
      </c>
      <c r="B1244" s="2" t="s">
        <v>1244</v>
      </c>
      <c r="C1244">
        <f t="shared" si="227"/>
        <v>67723.91</v>
      </c>
      <c r="D1244">
        <f t="shared" si="228"/>
        <v>2020</v>
      </c>
      <c r="E1244">
        <f t="shared" si="229"/>
        <v>12</v>
      </c>
      <c r="F1244" t="str">
        <f t="shared" si="231"/>
        <v>December</v>
      </c>
      <c r="G1244">
        <f t="shared" si="230"/>
        <v>22</v>
      </c>
      <c r="H1244" s="7">
        <f t="shared" si="232"/>
        <v>-0.32023146978840095</v>
      </c>
      <c r="I1244" s="9">
        <f t="shared" si="233"/>
        <v>-3.2074530803403388E-3</v>
      </c>
      <c r="J1244" s="9">
        <f t="shared" si="234"/>
        <v>66615.982857142852</v>
      </c>
      <c r="K1244" s="9">
        <f t="shared" si="225"/>
        <v>66515.067999999999</v>
      </c>
      <c r="L1244" s="9">
        <f t="shared" ref="L1244:L1307" si="236">AVERAGE(C1155:C1244)</f>
        <v>66383.480666666714</v>
      </c>
      <c r="M1244" s="9">
        <f t="shared" si="235"/>
        <v>7.3359446745030858E-3</v>
      </c>
      <c r="N1244" s="9">
        <f t="shared" si="226"/>
        <v>1.1284715569155248E-2</v>
      </c>
    </row>
    <row r="1245" spans="1:14" x14ac:dyDescent="0.35">
      <c r="A1245" s="1">
        <v>44188</v>
      </c>
      <c r="B1245" s="2" t="s">
        <v>1245</v>
      </c>
      <c r="C1245">
        <f t="shared" si="227"/>
        <v>67542.84</v>
      </c>
      <c r="D1245">
        <f t="shared" si="228"/>
        <v>2020</v>
      </c>
      <c r="E1245">
        <f t="shared" si="229"/>
        <v>12</v>
      </c>
      <c r="F1245" t="str">
        <f t="shared" si="231"/>
        <v>December</v>
      </c>
      <c r="G1245">
        <f t="shared" si="230"/>
        <v>23</v>
      </c>
      <c r="H1245" s="7">
        <f t="shared" si="232"/>
        <v>-0.26736495279142469</v>
      </c>
      <c r="I1245" s="9">
        <f t="shared" si="233"/>
        <v>-2.6772301123893214E-3</v>
      </c>
      <c r="J1245" s="9">
        <f t="shared" si="234"/>
        <v>66900.427142857137</v>
      </c>
      <c r="K1245" s="9">
        <f t="shared" si="225"/>
        <v>66497.705999999991</v>
      </c>
      <c r="L1245" s="9">
        <f t="shared" si="236"/>
        <v>66391.999444444489</v>
      </c>
      <c r="M1245" s="9">
        <f t="shared" si="235"/>
        <v>7.0914295977163198E-3</v>
      </c>
      <c r="N1245" s="9">
        <f t="shared" si="226"/>
        <v>1.1293787325214476E-2</v>
      </c>
    </row>
    <row r="1246" spans="1:14" x14ac:dyDescent="0.35">
      <c r="A1246" s="1">
        <v>44189</v>
      </c>
      <c r="B1246" s="2" t="s">
        <v>1246</v>
      </c>
      <c r="C1246">
        <f t="shared" si="227"/>
        <v>67681.47</v>
      </c>
      <c r="D1246">
        <f t="shared" si="228"/>
        <v>2020</v>
      </c>
      <c r="E1246">
        <f t="shared" si="229"/>
        <v>12</v>
      </c>
      <c r="F1246" t="str">
        <f t="shared" si="231"/>
        <v>December</v>
      </c>
      <c r="G1246">
        <f t="shared" si="230"/>
        <v>24</v>
      </c>
      <c r="H1246" s="7">
        <f t="shared" si="232"/>
        <v>0.20524751402221855</v>
      </c>
      <c r="I1246" s="9">
        <f t="shared" si="233"/>
        <v>2.0503716908149383E-3</v>
      </c>
      <c r="J1246" s="9">
        <f t="shared" si="234"/>
        <v>67202.997142857144</v>
      </c>
      <c r="K1246" s="9">
        <f t="shared" si="225"/>
        <v>66506.945999999996</v>
      </c>
      <c r="L1246" s="9">
        <f t="shared" si="236"/>
        <v>66401.881333333382</v>
      </c>
      <c r="M1246" s="9">
        <f t="shared" si="235"/>
        <v>6.9450832280030586E-3</v>
      </c>
      <c r="N1246" s="9">
        <f t="shared" si="226"/>
        <v>1.1156822371215893E-2</v>
      </c>
    </row>
    <row r="1247" spans="1:14" x14ac:dyDescent="0.35">
      <c r="A1247" s="1">
        <v>44193</v>
      </c>
      <c r="B1247" s="2" t="s">
        <v>1247</v>
      </c>
      <c r="C1247">
        <f t="shared" si="227"/>
        <v>67644.84</v>
      </c>
      <c r="D1247">
        <f t="shared" si="228"/>
        <v>2020</v>
      </c>
      <c r="E1247">
        <f t="shared" si="229"/>
        <v>12</v>
      </c>
      <c r="F1247" t="str">
        <f t="shared" si="231"/>
        <v>December</v>
      </c>
      <c r="G1247">
        <f t="shared" si="230"/>
        <v>28</v>
      </c>
      <c r="H1247" s="7">
        <f t="shared" si="232"/>
        <v>-5.4121164921513455E-2</v>
      </c>
      <c r="I1247" s="9">
        <f t="shared" si="233"/>
        <v>-5.4135815710335921E-4</v>
      </c>
      <c r="J1247" s="9">
        <f t="shared" si="234"/>
        <v>67490.084285714271</v>
      </c>
      <c r="K1247" s="9">
        <f t="shared" si="225"/>
        <v>66543.15866666667</v>
      </c>
      <c r="L1247" s="9">
        <f t="shared" si="236"/>
        <v>66408.725555555589</v>
      </c>
      <c r="M1247" s="9">
        <f t="shared" si="235"/>
        <v>7.1060201252736164E-3</v>
      </c>
      <c r="N1247" s="9">
        <f t="shared" si="226"/>
        <v>1.0895148686807139E-2</v>
      </c>
    </row>
    <row r="1248" spans="1:14" x14ac:dyDescent="0.35">
      <c r="A1248" s="1">
        <v>44194</v>
      </c>
      <c r="B1248" s="2" t="s">
        <v>1248</v>
      </c>
      <c r="C1248">
        <f t="shared" si="227"/>
        <v>67575.42</v>
      </c>
      <c r="D1248">
        <f t="shared" si="228"/>
        <v>2020</v>
      </c>
      <c r="E1248">
        <f t="shared" si="229"/>
        <v>12</v>
      </c>
      <c r="F1248" t="str">
        <f t="shared" si="231"/>
        <v>December</v>
      </c>
      <c r="G1248">
        <f t="shared" si="230"/>
        <v>29</v>
      </c>
      <c r="H1248" s="7">
        <f t="shared" si="232"/>
        <v>-0.10262423564014382</v>
      </c>
      <c r="I1248" s="9">
        <f t="shared" si="233"/>
        <v>-1.0267693036364071E-3</v>
      </c>
      <c r="J1248" s="9">
        <f t="shared" si="234"/>
        <v>67631.504285714283</v>
      </c>
      <c r="K1248" s="9">
        <f t="shared" ref="K1248:K1311" si="237">AVERAGE(C1219:C1248)</f>
        <v>66604.849999999991</v>
      </c>
      <c r="L1248" s="9">
        <f t="shared" si="236"/>
        <v>66416.828333333367</v>
      </c>
      <c r="M1248" s="9">
        <f t="shared" si="235"/>
        <v>5.7189380959782495E-3</v>
      </c>
      <c r="N1248" s="9">
        <f t="shared" si="226"/>
        <v>1.0614880550295041E-2</v>
      </c>
    </row>
    <row r="1249" spans="1:14" x14ac:dyDescent="0.35">
      <c r="A1249" s="1">
        <v>44195</v>
      </c>
      <c r="B1249" s="2" t="s">
        <v>1249</v>
      </c>
      <c r="C1249">
        <f t="shared" si="227"/>
        <v>67825.02</v>
      </c>
      <c r="D1249">
        <f t="shared" si="228"/>
        <v>2020</v>
      </c>
      <c r="E1249">
        <f t="shared" si="229"/>
        <v>12</v>
      </c>
      <c r="F1249" t="str">
        <f t="shared" si="231"/>
        <v>December</v>
      </c>
      <c r="G1249">
        <f t="shared" si="230"/>
        <v>30</v>
      </c>
      <c r="H1249" s="7">
        <f t="shared" si="232"/>
        <v>0.36936507386858392</v>
      </c>
      <c r="I1249" s="9">
        <f t="shared" si="233"/>
        <v>3.6868459619609317E-3</v>
      </c>
      <c r="J1249" s="9">
        <f t="shared" si="234"/>
        <v>67704.997142857144</v>
      </c>
      <c r="K1249" s="9">
        <f t="shared" si="237"/>
        <v>66705.525999999998</v>
      </c>
      <c r="L1249" s="9">
        <f t="shared" si="236"/>
        <v>66436.964333333366</v>
      </c>
      <c r="M1249" s="9">
        <f t="shared" si="235"/>
        <v>4.3847619194402531E-3</v>
      </c>
      <c r="N1249" s="9">
        <f t="shared" ref="N1249:N1312" si="238">STDEV(I1220:I1249)</f>
        <v>1.0236910199087439E-2</v>
      </c>
    </row>
    <row r="1250" spans="1:14" x14ac:dyDescent="0.35">
      <c r="A1250" s="1">
        <v>44196</v>
      </c>
      <c r="B1250" s="2" t="s">
        <v>1250</v>
      </c>
      <c r="C1250">
        <f t="shared" si="227"/>
        <v>67791.38</v>
      </c>
      <c r="D1250">
        <f t="shared" si="228"/>
        <v>2020</v>
      </c>
      <c r="E1250">
        <f t="shared" si="229"/>
        <v>12</v>
      </c>
      <c r="F1250" t="str">
        <f t="shared" si="231"/>
        <v>December</v>
      </c>
      <c r="G1250">
        <f t="shared" si="230"/>
        <v>31</v>
      </c>
      <c r="H1250" s="7">
        <f t="shared" si="232"/>
        <v>-4.9598216115527005E-2</v>
      </c>
      <c r="I1250" s="9">
        <f t="shared" si="233"/>
        <v>-4.9610520099280101E-4</v>
      </c>
      <c r="J1250" s="9">
        <f t="shared" si="234"/>
        <v>67683.554285714286</v>
      </c>
      <c r="K1250" s="9">
        <f t="shared" si="237"/>
        <v>66747.587666666659</v>
      </c>
      <c r="L1250" s="9">
        <f t="shared" si="236"/>
        <v>66457.000555555584</v>
      </c>
      <c r="M1250" s="9">
        <f t="shared" si="235"/>
        <v>2.4544794596179564E-3</v>
      </c>
      <c r="N1250" s="9">
        <f t="shared" si="238"/>
        <v>9.1098992141469166E-3</v>
      </c>
    </row>
    <row r="1251" spans="1:14" x14ac:dyDescent="0.35">
      <c r="A1251" s="1">
        <v>44200</v>
      </c>
      <c r="B1251" s="2" t="s">
        <v>1251</v>
      </c>
      <c r="C1251">
        <f t="shared" si="227"/>
        <v>69049.039999999994</v>
      </c>
      <c r="D1251">
        <f t="shared" si="228"/>
        <v>2021</v>
      </c>
      <c r="E1251">
        <f t="shared" si="229"/>
        <v>1</v>
      </c>
      <c r="F1251" t="str">
        <f t="shared" si="231"/>
        <v>January</v>
      </c>
      <c r="G1251">
        <f t="shared" si="230"/>
        <v>4</v>
      </c>
      <c r="H1251" s="7">
        <f t="shared" si="232"/>
        <v>1.8551916187574125</v>
      </c>
      <c r="I1251" s="9">
        <f t="shared" si="233"/>
        <v>1.8381928569311101E-2</v>
      </c>
      <c r="J1251" s="9">
        <f t="shared" si="234"/>
        <v>67872.858571428573</v>
      </c>
      <c r="K1251" s="9">
        <f t="shared" si="237"/>
        <v>66797.935333333342</v>
      </c>
      <c r="L1251" s="9">
        <f t="shared" si="236"/>
        <v>66489.756111111157</v>
      </c>
      <c r="M1251" s="9">
        <f t="shared" si="235"/>
        <v>7.1973498881472081E-3</v>
      </c>
      <c r="N1251" s="9">
        <f t="shared" si="238"/>
        <v>9.309738805765376E-3</v>
      </c>
    </row>
    <row r="1252" spans="1:14" x14ac:dyDescent="0.35">
      <c r="A1252" s="1">
        <v>44201</v>
      </c>
      <c r="B1252" s="2" t="s">
        <v>1252</v>
      </c>
      <c r="C1252">
        <f t="shared" si="227"/>
        <v>68922.86</v>
      </c>
      <c r="D1252">
        <f t="shared" si="228"/>
        <v>2021</v>
      </c>
      <c r="E1252">
        <f t="shared" si="229"/>
        <v>1</v>
      </c>
      <c r="F1252" t="str">
        <f t="shared" si="231"/>
        <v>January</v>
      </c>
      <c r="G1252">
        <f t="shared" si="230"/>
        <v>5</v>
      </c>
      <c r="H1252" s="7">
        <f t="shared" si="232"/>
        <v>-0.18273968761910814</v>
      </c>
      <c r="I1252" s="9">
        <f t="shared" si="233"/>
        <v>-1.8290686027783406E-3</v>
      </c>
      <c r="J1252" s="9">
        <f t="shared" si="234"/>
        <v>68070.004285714283</v>
      </c>
      <c r="K1252" s="9">
        <f t="shared" si="237"/>
        <v>66832.110666666675</v>
      </c>
      <c r="L1252" s="9">
        <f t="shared" si="236"/>
        <v>66530.64777777782</v>
      </c>
      <c r="M1252" s="9">
        <f t="shared" si="235"/>
        <v>7.0968350340735601E-3</v>
      </c>
      <c r="N1252" s="9">
        <f t="shared" si="238"/>
        <v>9.2801735814036935E-3</v>
      </c>
    </row>
    <row r="1253" spans="1:14" x14ac:dyDescent="0.35">
      <c r="A1253" s="1">
        <v>44202</v>
      </c>
      <c r="B1253" s="2" t="s">
        <v>1253</v>
      </c>
      <c r="C1253">
        <f t="shared" si="227"/>
        <v>67964.039999999994</v>
      </c>
      <c r="D1253">
        <f t="shared" si="228"/>
        <v>2021</v>
      </c>
      <c r="E1253">
        <f t="shared" si="229"/>
        <v>1</v>
      </c>
      <c r="F1253" t="str">
        <f t="shared" si="231"/>
        <v>January</v>
      </c>
      <c r="G1253">
        <f t="shared" si="230"/>
        <v>6</v>
      </c>
      <c r="H1253" s="7">
        <f t="shared" si="232"/>
        <v>-1.3911494676802545</v>
      </c>
      <c r="I1253" s="9">
        <f t="shared" si="233"/>
        <v>-1.4009166416795607E-2</v>
      </c>
      <c r="J1253" s="9">
        <f t="shared" si="234"/>
        <v>68110.371428571423</v>
      </c>
      <c r="K1253" s="9">
        <f t="shared" si="237"/>
        <v>66861.303</v>
      </c>
      <c r="L1253" s="9">
        <f t="shared" si="236"/>
        <v>66561.828777777802</v>
      </c>
      <c r="M1253" s="9">
        <f t="shared" si="235"/>
        <v>9.5760472060395976E-3</v>
      </c>
      <c r="N1253" s="9">
        <f t="shared" si="238"/>
        <v>9.3805900544973973E-3</v>
      </c>
    </row>
    <row r="1254" spans="1:14" x14ac:dyDescent="0.35">
      <c r="A1254" s="1">
        <v>44203</v>
      </c>
      <c r="B1254" s="2" t="s">
        <v>1254</v>
      </c>
      <c r="C1254">
        <f t="shared" si="227"/>
        <v>67554.86</v>
      </c>
      <c r="D1254">
        <f t="shared" si="228"/>
        <v>2021</v>
      </c>
      <c r="E1254">
        <f t="shared" si="229"/>
        <v>1</v>
      </c>
      <c r="F1254" t="str">
        <f t="shared" si="231"/>
        <v>January</v>
      </c>
      <c r="G1254">
        <f t="shared" si="230"/>
        <v>7</v>
      </c>
      <c r="H1254" s="7">
        <f t="shared" si="232"/>
        <v>-0.60205367426655787</v>
      </c>
      <c r="I1254" s="9">
        <f t="shared" si="233"/>
        <v>-6.0387332459053639E-3</v>
      </c>
      <c r="J1254" s="9">
        <f t="shared" si="234"/>
        <v>68097.517142857134</v>
      </c>
      <c r="K1254" s="9">
        <f t="shared" si="237"/>
        <v>66870.020666666664</v>
      </c>
      <c r="L1254" s="9">
        <f t="shared" si="236"/>
        <v>66601.471444444469</v>
      </c>
      <c r="M1254" s="9">
        <f t="shared" si="235"/>
        <v>9.9045775226777027E-3</v>
      </c>
      <c r="N1254" s="9">
        <f t="shared" si="238"/>
        <v>9.4396928053538456E-3</v>
      </c>
    </row>
    <row r="1255" spans="1:14" x14ac:dyDescent="0.35">
      <c r="A1255" s="1">
        <v>44204</v>
      </c>
      <c r="B1255" s="2" t="s">
        <v>1255</v>
      </c>
      <c r="C1255">
        <f t="shared" si="227"/>
        <v>66940.25</v>
      </c>
      <c r="D1255">
        <f t="shared" si="228"/>
        <v>2021</v>
      </c>
      <c r="E1255">
        <f t="shared" si="229"/>
        <v>1</v>
      </c>
      <c r="F1255" t="str">
        <f t="shared" si="231"/>
        <v>January</v>
      </c>
      <c r="G1255">
        <f t="shared" si="230"/>
        <v>8</v>
      </c>
      <c r="H1255" s="7">
        <f t="shared" si="232"/>
        <v>-0.9097939067596329</v>
      </c>
      <c r="I1255" s="9">
        <f t="shared" si="233"/>
        <v>-9.1395780603246591E-3</v>
      </c>
      <c r="J1255" s="9">
        <f t="shared" si="234"/>
        <v>68006.778571428571</v>
      </c>
      <c r="K1255" s="9">
        <f t="shared" si="237"/>
        <v>66888.510000000009</v>
      </c>
      <c r="L1255" s="9">
        <f t="shared" si="236"/>
        <v>66628.109000000026</v>
      </c>
      <c r="M1255" s="9">
        <f t="shared" si="235"/>
        <v>1.0476908737665651E-2</v>
      </c>
      <c r="N1255" s="9">
        <f t="shared" si="238"/>
        <v>9.2501577242030102E-3</v>
      </c>
    </row>
    <row r="1256" spans="1:14" x14ac:dyDescent="0.35">
      <c r="A1256" s="1">
        <v>44207</v>
      </c>
      <c r="B1256" s="2" t="s">
        <v>1256</v>
      </c>
      <c r="C1256">
        <f t="shared" si="227"/>
        <v>66108.23</v>
      </c>
      <c r="D1256">
        <f t="shared" si="228"/>
        <v>2021</v>
      </c>
      <c r="E1256">
        <f t="shared" si="229"/>
        <v>1</v>
      </c>
      <c r="F1256" t="str">
        <f t="shared" si="231"/>
        <v>January</v>
      </c>
      <c r="G1256">
        <f t="shared" si="230"/>
        <v>11</v>
      </c>
      <c r="H1256" s="7">
        <f t="shared" si="232"/>
        <v>-1.2429293287670782</v>
      </c>
      <c r="I1256" s="9">
        <f t="shared" si="233"/>
        <v>-1.2507183036137593E-2</v>
      </c>
      <c r="J1256" s="9">
        <f t="shared" si="234"/>
        <v>67761.522857142845</v>
      </c>
      <c r="K1256" s="9">
        <f t="shared" si="237"/>
        <v>66917.334333333347</v>
      </c>
      <c r="L1256" s="9">
        <f t="shared" si="236"/>
        <v>66650.10044444447</v>
      </c>
      <c r="M1256" s="9">
        <f t="shared" si="235"/>
        <v>1.0956513664661096E-2</v>
      </c>
      <c r="N1256" s="9">
        <f t="shared" si="238"/>
        <v>8.9697173887971562E-3</v>
      </c>
    </row>
    <row r="1257" spans="1:14" x14ac:dyDescent="0.35">
      <c r="A1257" s="1">
        <v>44208</v>
      </c>
      <c r="B1257" s="2" t="s">
        <v>1257</v>
      </c>
      <c r="C1257">
        <f t="shared" si="227"/>
        <v>66076.679999999993</v>
      </c>
      <c r="D1257">
        <f t="shared" si="228"/>
        <v>2021</v>
      </c>
      <c r="E1257">
        <f t="shared" si="229"/>
        <v>1</v>
      </c>
      <c r="F1257" t="str">
        <f t="shared" si="231"/>
        <v>January</v>
      </c>
      <c r="G1257">
        <f t="shared" si="230"/>
        <v>12</v>
      </c>
      <c r="H1257" s="7">
        <f t="shared" si="232"/>
        <v>-4.772476891304292E-2</v>
      </c>
      <c r="I1257" s="9">
        <f t="shared" si="233"/>
        <v>-4.7736160805523896E-4</v>
      </c>
      <c r="J1257" s="9">
        <f t="shared" si="234"/>
        <v>67516.565714285709</v>
      </c>
      <c r="K1257" s="9">
        <f t="shared" si="237"/>
        <v>66893.011666666673</v>
      </c>
      <c r="L1257" s="9">
        <f t="shared" si="236"/>
        <v>66676.94111111114</v>
      </c>
      <c r="M1257" s="9">
        <f t="shared" si="235"/>
        <v>1.0957418739841808E-2</v>
      </c>
      <c r="N1257" s="9">
        <f t="shared" si="238"/>
        <v>7.823149414690752E-3</v>
      </c>
    </row>
    <row r="1258" spans="1:14" x14ac:dyDescent="0.35">
      <c r="A1258" s="1">
        <v>44209</v>
      </c>
      <c r="B1258" s="2" t="s">
        <v>1258</v>
      </c>
      <c r="C1258">
        <f t="shared" si="227"/>
        <v>66054.92</v>
      </c>
      <c r="D1258">
        <f t="shared" si="228"/>
        <v>2021</v>
      </c>
      <c r="E1258">
        <f t="shared" si="229"/>
        <v>1</v>
      </c>
      <c r="F1258" t="str">
        <f t="shared" si="231"/>
        <v>January</v>
      </c>
      <c r="G1258">
        <f t="shared" si="230"/>
        <v>13</v>
      </c>
      <c r="H1258" s="7">
        <f t="shared" si="232"/>
        <v>-3.2931436627861389E-2</v>
      </c>
      <c r="I1258" s="9">
        <f t="shared" si="233"/>
        <v>-3.2936860216193725E-4</v>
      </c>
      <c r="J1258" s="9">
        <f t="shared" si="234"/>
        <v>67088.834285714285</v>
      </c>
      <c r="K1258" s="9">
        <f t="shared" si="237"/>
        <v>66899.85066666668</v>
      </c>
      <c r="L1258" s="9">
        <f t="shared" si="236"/>
        <v>66696.642777777801</v>
      </c>
      <c r="M1258" s="9">
        <f t="shared" si="235"/>
        <v>5.7100062650405122E-3</v>
      </c>
      <c r="N1258" s="9">
        <f t="shared" si="238"/>
        <v>7.3593518354927775E-3</v>
      </c>
    </row>
    <row r="1259" spans="1:14" x14ac:dyDescent="0.35">
      <c r="A1259" s="1">
        <v>44210</v>
      </c>
      <c r="B1259" s="2" t="s">
        <v>1259</v>
      </c>
      <c r="C1259">
        <f t="shared" si="227"/>
        <v>66238.929999999993</v>
      </c>
      <c r="D1259">
        <f t="shared" si="228"/>
        <v>2021</v>
      </c>
      <c r="E1259">
        <f t="shared" si="229"/>
        <v>1</v>
      </c>
      <c r="F1259" t="str">
        <f t="shared" si="231"/>
        <v>January</v>
      </c>
      <c r="G1259">
        <f t="shared" si="230"/>
        <v>14</v>
      </c>
      <c r="H1259" s="7">
        <f t="shared" si="232"/>
        <v>0.27857122527738243</v>
      </c>
      <c r="I1259" s="9">
        <f t="shared" si="233"/>
        <v>2.7818393472626214E-3</v>
      </c>
      <c r="J1259" s="9">
        <f t="shared" si="234"/>
        <v>66705.415714285715</v>
      </c>
      <c r="K1259" s="9">
        <f t="shared" si="237"/>
        <v>66902.252999999997</v>
      </c>
      <c r="L1259" s="9">
        <f t="shared" si="236"/>
        <v>66717.479111111126</v>
      </c>
      <c r="M1259" s="9">
        <f t="shared" si="235"/>
        <v>6.5240836561170365E-3</v>
      </c>
      <c r="N1259" s="9">
        <f t="shared" si="238"/>
        <v>7.3239899724881546E-3</v>
      </c>
    </row>
    <row r="1260" spans="1:14" x14ac:dyDescent="0.35">
      <c r="A1260" s="1">
        <v>44211</v>
      </c>
      <c r="B1260" s="2" t="s">
        <v>1260</v>
      </c>
      <c r="C1260">
        <f t="shared" si="227"/>
        <v>66124.44</v>
      </c>
      <c r="D1260">
        <f t="shared" si="228"/>
        <v>2021</v>
      </c>
      <c r="E1260">
        <f t="shared" si="229"/>
        <v>1</v>
      </c>
      <c r="F1260" t="str">
        <f t="shared" si="231"/>
        <v>January</v>
      </c>
      <c r="G1260">
        <f t="shared" si="230"/>
        <v>15</v>
      </c>
      <c r="H1260" s="7">
        <f t="shared" si="232"/>
        <v>-0.17284397558956749</v>
      </c>
      <c r="I1260" s="9">
        <f t="shared" si="233"/>
        <v>-1.7299352313651373E-3</v>
      </c>
      <c r="J1260" s="9">
        <f t="shared" si="234"/>
        <v>66442.615714285712</v>
      </c>
      <c r="K1260" s="9">
        <f t="shared" si="237"/>
        <v>66895.608999999997</v>
      </c>
      <c r="L1260" s="9">
        <f t="shared" si="236"/>
        <v>66743.479444444471</v>
      </c>
      <c r="M1260" s="9">
        <f t="shared" si="235"/>
        <v>5.4761325379132537E-3</v>
      </c>
      <c r="N1260" s="9">
        <f t="shared" si="238"/>
        <v>7.3172083677960085E-3</v>
      </c>
    </row>
    <row r="1261" spans="1:14" x14ac:dyDescent="0.35">
      <c r="A1261" s="1">
        <v>44214</v>
      </c>
      <c r="B1261" s="2" t="s">
        <v>1261</v>
      </c>
      <c r="C1261">
        <f t="shared" si="227"/>
        <v>65855.81</v>
      </c>
      <c r="D1261">
        <f t="shared" si="228"/>
        <v>2021</v>
      </c>
      <c r="E1261">
        <f t="shared" si="229"/>
        <v>1</v>
      </c>
      <c r="F1261" t="str">
        <f t="shared" si="231"/>
        <v>January</v>
      </c>
      <c r="G1261">
        <f t="shared" si="230"/>
        <v>18</v>
      </c>
      <c r="H1261" s="7">
        <f t="shared" si="232"/>
        <v>-0.40624918713868069</v>
      </c>
      <c r="I1261" s="9">
        <f t="shared" si="233"/>
        <v>-4.0707662087111976E-3</v>
      </c>
      <c r="J1261" s="9">
        <f t="shared" si="234"/>
        <v>66199.894285714283</v>
      </c>
      <c r="K1261" s="9">
        <f t="shared" si="237"/>
        <v>66872.276666666658</v>
      </c>
      <c r="L1261" s="9">
        <f t="shared" si="236"/>
        <v>66761.906666666677</v>
      </c>
      <c r="M1261" s="9">
        <f t="shared" si="235"/>
        <v>5.3992094310894917E-3</v>
      </c>
      <c r="N1261" s="9">
        <f t="shared" si="238"/>
        <v>7.3194503062161513E-3</v>
      </c>
    </row>
    <row r="1262" spans="1:14" x14ac:dyDescent="0.35">
      <c r="A1262" s="1">
        <v>44215</v>
      </c>
      <c r="B1262" s="2" t="s">
        <v>1262</v>
      </c>
      <c r="C1262">
        <f t="shared" si="227"/>
        <v>67254.92</v>
      </c>
      <c r="D1262">
        <f t="shared" si="228"/>
        <v>2021</v>
      </c>
      <c r="E1262">
        <f t="shared" si="229"/>
        <v>1</v>
      </c>
      <c r="F1262" t="str">
        <f t="shared" si="231"/>
        <v>January</v>
      </c>
      <c r="G1262">
        <f t="shared" si="230"/>
        <v>19</v>
      </c>
      <c r="H1262" s="7">
        <f t="shared" si="232"/>
        <v>2.1245050360780628</v>
      </c>
      <c r="I1262" s="9">
        <f t="shared" si="233"/>
        <v>2.1022520532380112E-2</v>
      </c>
      <c r="J1262" s="9">
        <f t="shared" si="234"/>
        <v>66244.847142857136</v>
      </c>
      <c r="K1262" s="9">
        <f t="shared" si="237"/>
        <v>66905.816000000006</v>
      </c>
      <c r="L1262" s="9">
        <f t="shared" si="236"/>
        <v>66797.527444444466</v>
      </c>
      <c r="M1262" s="9">
        <f t="shared" si="235"/>
        <v>1.018882426837717E-2</v>
      </c>
      <c r="N1262" s="9">
        <f t="shared" si="238"/>
        <v>8.2428106481775461E-3</v>
      </c>
    </row>
    <row r="1263" spans="1:14" x14ac:dyDescent="0.35">
      <c r="A1263" s="1">
        <v>44216</v>
      </c>
      <c r="B1263" s="2" t="s">
        <v>1263</v>
      </c>
      <c r="C1263">
        <f t="shared" si="227"/>
        <v>67217.11</v>
      </c>
      <c r="D1263">
        <f t="shared" si="228"/>
        <v>2021</v>
      </c>
      <c r="E1263">
        <f t="shared" si="229"/>
        <v>1</v>
      </c>
      <c r="F1263" t="str">
        <f t="shared" si="231"/>
        <v>January</v>
      </c>
      <c r="G1263">
        <f t="shared" si="230"/>
        <v>20</v>
      </c>
      <c r="H1263" s="7">
        <f t="shared" si="232"/>
        <v>-5.6218935358182974E-2</v>
      </c>
      <c r="I1263" s="9">
        <f t="shared" si="233"/>
        <v>-5.6234744126943705E-4</v>
      </c>
      <c r="J1263" s="9">
        <f t="shared" si="234"/>
        <v>66403.258571428567</v>
      </c>
      <c r="K1263" s="9">
        <f t="shared" si="237"/>
        <v>66928.096000000005</v>
      </c>
      <c r="L1263" s="9">
        <f t="shared" si="236"/>
        <v>66840.461444444474</v>
      </c>
      <c r="M1263" s="9">
        <f t="shared" si="235"/>
        <v>8.4692729783239773E-3</v>
      </c>
      <c r="N1263" s="9">
        <f t="shared" si="238"/>
        <v>8.2095931662841907E-3</v>
      </c>
    </row>
    <row r="1264" spans="1:14" x14ac:dyDescent="0.35">
      <c r="A1264" s="1">
        <v>44217</v>
      </c>
      <c r="B1264" s="2" t="s">
        <v>1264</v>
      </c>
      <c r="C1264">
        <f t="shared" si="227"/>
        <v>66598.13</v>
      </c>
      <c r="D1264">
        <f t="shared" si="228"/>
        <v>2021</v>
      </c>
      <c r="E1264">
        <f t="shared" si="229"/>
        <v>1</v>
      </c>
      <c r="F1264" t="str">
        <f t="shared" si="231"/>
        <v>January</v>
      </c>
      <c r="G1264">
        <f t="shared" si="230"/>
        <v>21</v>
      </c>
      <c r="H1264" s="7">
        <f t="shared" si="232"/>
        <v>-0.92086672574883977</v>
      </c>
      <c r="I1264" s="9">
        <f t="shared" si="233"/>
        <v>-9.251329141859924E-3</v>
      </c>
      <c r="J1264" s="9">
        <f t="shared" si="234"/>
        <v>66477.751428571428</v>
      </c>
      <c r="K1264" s="9">
        <f t="shared" si="237"/>
        <v>66954.388666666666</v>
      </c>
      <c r="L1264" s="9">
        <f t="shared" si="236"/>
        <v>66887.527555555585</v>
      </c>
      <c r="M1264" s="9">
        <f t="shared" si="235"/>
        <v>9.5431789596931039E-3</v>
      </c>
      <c r="N1264" s="9">
        <f t="shared" si="238"/>
        <v>8.1238063111351289E-3</v>
      </c>
    </row>
    <row r="1265" spans="1:14" x14ac:dyDescent="0.35">
      <c r="A1265" s="1">
        <v>44218</v>
      </c>
      <c r="B1265" s="2" t="s">
        <v>1265</v>
      </c>
      <c r="C1265">
        <f t="shared" si="227"/>
        <v>66168.649999999994</v>
      </c>
      <c r="D1265">
        <f t="shared" si="228"/>
        <v>2021</v>
      </c>
      <c r="E1265">
        <f t="shared" si="229"/>
        <v>1</v>
      </c>
      <c r="F1265" t="str">
        <f t="shared" si="231"/>
        <v>January</v>
      </c>
      <c r="G1265">
        <f t="shared" si="230"/>
        <v>22</v>
      </c>
      <c r="H1265" s="7">
        <f t="shared" si="232"/>
        <v>-0.64488297193931787</v>
      </c>
      <c r="I1265" s="9">
        <f t="shared" si="233"/>
        <v>-6.4697132530860783E-3</v>
      </c>
      <c r="J1265" s="9">
        <f t="shared" si="234"/>
        <v>66493.998571428572</v>
      </c>
      <c r="K1265" s="9">
        <f t="shared" si="237"/>
        <v>66952.827999999994</v>
      </c>
      <c r="L1265" s="9">
        <f t="shared" si="236"/>
        <v>66939.919000000024</v>
      </c>
      <c r="M1265" s="9">
        <f t="shared" si="235"/>
        <v>9.9715141582644926E-3</v>
      </c>
      <c r="N1265" s="9">
        <f t="shared" si="238"/>
        <v>8.1422981161712437E-3</v>
      </c>
    </row>
    <row r="1266" spans="1:14" x14ac:dyDescent="0.35">
      <c r="A1266" s="1">
        <v>44221</v>
      </c>
      <c r="B1266" s="2" t="s">
        <v>1266</v>
      </c>
      <c r="C1266">
        <f t="shared" si="227"/>
        <v>67424.27</v>
      </c>
      <c r="D1266">
        <f t="shared" si="228"/>
        <v>2021</v>
      </c>
      <c r="E1266">
        <f t="shared" si="229"/>
        <v>1</v>
      </c>
      <c r="F1266" t="str">
        <f t="shared" si="231"/>
        <v>January</v>
      </c>
      <c r="G1266">
        <f t="shared" si="230"/>
        <v>25</v>
      </c>
      <c r="H1266" s="7">
        <f t="shared" si="232"/>
        <v>1.8976055881448541</v>
      </c>
      <c r="I1266" s="9">
        <f t="shared" si="233"/>
        <v>1.8798256301557969E-2</v>
      </c>
      <c r="J1266" s="9">
        <f t="shared" si="234"/>
        <v>66663.332857142857</v>
      </c>
      <c r="K1266" s="9">
        <f t="shared" si="237"/>
        <v>66991.520666666649</v>
      </c>
      <c r="L1266" s="9">
        <f t="shared" si="236"/>
        <v>66990.592666666693</v>
      </c>
      <c r="M1266" s="9">
        <f t="shared" si="235"/>
        <v>1.2231814442973584E-2</v>
      </c>
      <c r="N1266" s="9">
        <f t="shared" si="238"/>
        <v>8.8384476353327267E-3</v>
      </c>
    </row>
    <row r="1267" spans="1:14" x14ac:dyDescent="0.35">
      <c r="A1267" s="1">
        <v>44222</v>
      </c>
      <c r="B1267" s="2" t="s">
        <v>1267</v>
      </c>
      <c r="C1267">
        <f t="shared" si="227"/>
        <v>67241.2</v>
      </c>
      <c r="D1267">
        <f t="shared" si="228"/>
        <v>2021</v>
      </c>
      <c r="E1267">
        <f t="shared" si="229"/>
        <v>1</v>
      </c>
      <c r="F1267" t="str">
        <f t="shared" si="231"/>
        <v>January</v>
      </c>
      <c r="G1267">
        <f t="shared" si="230"/>
        <v>26</v>
      </c>
      <c r="H1267" s="7">
        <f t="shared" si="232"/>
        <v>-0.27151943951340812</v>
      </c>
      <c r="I1267" s="9">
        <f t="shared" si="233"/>
        <v>-2.7188872214446774E-3</v>
      </c>
      <c r="J1267" s="9">
        <f t="shared" si="234"/>
        <v>66822.87000000001</v>
      </c>
      <c r="K1267" s="9">
        <f t="shared" si="237"/>
        <v>67038.906333333318</v>
      </c>
      <c r="L1267" s="9">
        <f t="shared" si="236"/>
        <v>67034.231000000014</v>
      </c>
      <c r="M1267" s="9">
        <f t="shared" si="235"/>
        <v>1.2294818003916757E-2</v>
      </c>
      <c r="N1267" s="9">
        <f t="shared" si="238"/>
        <v>8.7542710778942944E-3</v>
      </c>
    </row>
    <row r="1268" spans="1:14" x14ac:dyDescent="0.35">
      <c r="A1268" s="1">
        <v>44223</v>
      </c>
      <c r="B1268" s="2" t="s">
        <v>1268</v>
      </c>
      <c r="C1268">
        <f t="shared" si="227"/>
        <v>68377.23</v>
      </c>
      <c r="D1268">
        <f t="shared" si="228"/>
        <v>2021</v>
      </c>
      <c r="E1268">
        <f t="shared" si="229"/>
        <v>1</v>
      </c>
      <c r="F1268" t="str">
        <f t="shared" si="231"/>
        <v>January</v>
      </c>
      <c r="G1268">
        <f t="shared" si="230"/>
        <v>27</v>
      </c>
      <c r="H1268" s="7">
        <f t="shared" si="232"/>
        <v>1.689485018113893</v>
      </c>
      <c r="I1268" s="9">
        <f t="shared" si="233"/>
        <v>1.6753719568813517E-2</v>
      </c>
      <c r="J1268" s="9">
        <f t="shared" si="234"/>
        <v>67183.072857142863</v>
      </c>
      <c r="K1268" s="9">
        <f t="shared" si="237"/>
        <v>67133.089666666652</v>
      </c>
      <c r="L1268" s="9">
        <f t="shared" si="236"/>
        <v>67078.587666666674</v>
      </c>
      <c r="M1268" s="9">
        <f t="shared" si="235"/>
        <v>1.2971079438561673E-2</v>
      </c>
      <c r="N1268" s="9">
        <f t="shared" si="238"/>
        <v>9.1771662938312133E-3</v>
      </c>
    </row>
    <row r="1269" spans="1:14" x14ac:dyDescent="0.35">
      <c r="A1269" s="1">
        <v>44224</v>
      </c>
      <c r="B1269" s="2" t="s">
        <v>1269</v>
      </c>
      <c r="C1269">
        <f t="shared" si="227"/>
        <v>68519.53</v>
      </c>
      <c r="D1269">
        <f t="shared" si="228"/>
        <v>2021</v>
      </c>
      <c r="E1269">
        <f t="shared" si="229"/>
        <v>1</v>
      </c>
      <c r="F1269" t="str">
        <f t="shared" si="231"/>
        <v>January</v>
      </c>
      <c r="G1269">
        <f t="shared" si="230"/>
        <v>28</v>
      </c>
      <c r="H1269" s="7">
        <f t="shared" si="232"/>
        <v>0.20811021446759823</v>
      </c>
      <c r="I1269" s="9">
        <f t="shared" si="233"/>
        <v>2.0789396513343755E-3</v>
      </c>
      <c r="J1269" s="9">
        <f t="shared" si="234"/>
        <v>67363.731428571424</v>
      </c>
      <c r="K1269" s="9">
        <f t="shared" si="237"/>
        <v>67231.624666666656</v>
      </c>
      <c r="L1269" s="9">
        <f t="shared" si="236"/>
        <v>67125.466222222225</v>
      </c>
      <c r="M1269" s="9">
        <f t="shared" si="235"/>
        <v>1.0984544027784829E-2</v>
      </c>
      <c r="N1269" s="9">
        <f t="shared" si="238"/>
        <v>9.1749585695298161E-3</v>
      </c>
    </row>
    <row r="1270" spans="1:14" x14ac:dyDescent="0.35">
      <c r="A1270" s="1">
        <v>44225</v>
      </c>
      <c r="B1270" s="2" t="s">
        <v>1270</v>
      </c>
      <c r="C1270">
        <f t="shared" si="227"/>
        <v>67608.89</v>
      </c>
      <c r="D1270">
        <f t="shared" si="228"/>
        <v>2021</v>
      </c>
      <c r="E1270">
        <f t="shared" si="229"/>
        <v>1</v>
      </c>
      <c r="F1270" t="str">
        <f t="shared" si="231"/>
        <v>January</v>
      </c>
      <c r="G1270">
        <f t="shared" si="230"/>
        <v>29</v>
      </c>
      <c r="H1270" s="7">
        <f t="shared" si="232"/>
        <v>-1.3290225429158655</v>
      </c>
      <c r="I1270" s="9">
        <f t="shared" si="233"/>
        <v>-1.3379330843120072E-2</v>
      </c>
      <c r="J1270" s="9">
        <f t="shared" si="234"/>
        <v>67419.7</v>
      </c>
      <c r="K1270" s="9">
        <f t="shared" si="237"/>
        <v>67297.413333333316</v>
      </c>
      <c r="L1270" s="9">
        <f t="shared" si="236"/>
        <v>67158.31700000001</v>
      </c>
      <c r="M1270" s="9">
        <f t="shared" si="235"/>
        <v>1.2565837441582238E-2</v>
      </c>
      <c r="N1270" s="9">
        <f t="shared" si="238"/>
        <v>9.5675363158524412E-3</v>
      </c>
    </row>
    <row r="1271" spans="1:14" x14ac:dyDescent="0.35">
      <c r="A1271" s="1">
        <v>44228</v>
      </c>
      <c r="B1271" s="2" t="s">
        <v>1271</v>
      </c>
      <c r="C1271">
        <f t="shared" si="227"/>
        <v>67346.19</v>
      </c>
      <c r="D1271">
        <f t="shared" si="228"/>
        <v>2021</v>
      </c>
      <c r="E1271">
        <f t="shared" si="229"/>
        <v>2</v>
      </c>
      <c r="F1271" t="str">
        <f t="shared" si="231"/>
        <v>February</v>
      </c>
      <c r="G1271">
        <f t="shared" si="230"/>
        <v>1</v>
      </c>
      <c r="H1271" s="7">
        <f t="shared" si="232"/>
        <v>-0.38855836858140563</v>
      </c>
      <c r="I1271" s="9">
        <f t="shared" si="233"/>
        <v>-3.8931521778044816E-3</v>
      </c>
      <c r="J1271" s="9">
        <f t="shared" si="234"/>
        <v>67526.565714285724</v>
      </c>
      <c r="K1271" s="9">
        <f t="shared" si="237"/>
        <v>67322.770333333319</v>
      </c>
      <c r="L1271" s="9">
        <f t="shared" si="236"/>
        <v>67192.207333333339</v>
      </c>
      <c r="M1271" s="9">
        <f t="shared" si="235"/>
        <v>1.1999809873031765E-2</v>
      </c>
      <c r="N1271" s="9">
        <f t="shared" si="238"/>
        <v>9.2626393592155042E-3</v>
      </c>
    </row>
    <row r="1272" spans="1:14" x14ac:dyDescent="0.35">
      <c r="A1272" s="1">
        <v>44229</v>
      </c>
      <c r="B1272" s="2" t="s">
        <v>1272</v>
      </c>
      <c r="C1272">
        <f t="shared" si="227"/>
        <v>66173.97</v>
      </c>
      <c r="D1272">
        <f t="shared" si="228"/>
        <v>2021</v>
      </c>
      <c r="E1272">
        <f t="shared" si="229"/>
        <v>2</v>
      </c>
      <c r="F1272" t="str">
        <f t="shared" si="231"/>
        <v>February</v>
      </c>
      <c r="G1272">
        <f t="shared" si="230"/>
        <v>2</v>
      </c>
      <c r="H1272" s="7">
        <f t="shared" si="232"/>
        <v>-1.7405884430878735</v>
      </c>
      <c r="I1272" s="9">
        <f t="shared" si="233"/>
        <v>-1.7559147898615728E-2</v>
      </c>
      <c r="J1272" s="9">
        <f t="shared" si="234"/>
        <v>67527.325714285718</v>
      </c>
      <c r="K1272" s="9">
        <f t="shared" si="237"/>
        <v>67284.883666666661</v>
      </c>
      <c r="L1272" s="9">
        <f t="shared" si="236"/>
        <v>67214.401111111118</v>
      </c>
      <c r="M1272" s="9">
        <f t="shared" si="235"/>
        <v>1.3833906271607587E-2</v>
      </c>
      <c r="N1272" s="9">
        <f t="shared" si="238"/>
        <v>9.6019947219783425E-3</v>
      </c>
    </row>
    <row r="1273" spans="1:14" x14ac:dyDescent="0.35">
      <c r="A1273" s="1">
        <v>44230</v>
      </c>
      <c r="B1273" s="2" t="s">
        <v>1273</v>
      </c>
      <c r="C1273">
        <f t="shared" si="227"/>
        <v>66586.240000000005</v>
      </c>
      <c r="D1273">
        <f t="shared" si="228"/>
        <v>2021</v>
      </c>
      <c r="E1273">
        <f t="shared" si="229"/>
        <v>2</v>
      </c>
      <c r="F1273" t="str">
        <f t="shared" si="231"/>
        <v>February</v>
      </c>
      <c r="G1273">
        <f t="shared" si="230"/>
        <v>3</v>
      </c>
      <c r="H1273" s="7">
        <f t="shared" si="232"/>
        <v>0.62300931922325964</v>
      </c>
      <c r="I1273" s="9">
        <f t="shared" si="233"/>
        <v>6.2107663919480213E-3</v>
      </c>
      <c r="J1273" s="9">
        <f t="shared" si="234"/>
        <v>67407.607142857145</v>
      </c>
      <c r="K1273" s="9">
        <f t="shared" si="237"/>
        <v>67239.708999999988</v>
      </c>
      <c r="L1273" s="9">
        <f t="shared" si="236"/>
        <v>67226.188777777774</v>
      </c>
      <c r="M1273" s="9">
        <f t="shared" si="235"/>
        <v>1.1626945090028758E-2</v>
      </c>
      <c r="N1273" s="9">
        <f t="shared" si="238"/>
        <v>9.5075659582076321E-3</v>
      </c>
    </row>
    <row r="1274" spans="1:14" x14ac:dyDescent="0.35">
      <c r="A1274" s="1">
        <v>44231</v>
      </c>
      <c r="B1274" s="2" t="s">
        <v>1274</v>
      </c>
      <c r="C1274">
        <f t="shared" si="227"/>
        <v>66937</v>
      </c>
      <c r="D1274">
        <f t="shared" si="228"/>
        <v>2021</v>
      </c>
      <c r="E1274">
        <f t="shared" si="229"/>
        <v>2</v>
      </c>
      <c r="F1274" t="str">
        <f t="shared" si="231"/>
        <v>February</v>
      </c>
      <c r="G1274">
        <f t="shared" si="230"/>
        <v>4</v>
      </c>
      <c r="H1274" s="7">
        <f t="shared" si="232"/>
        <v>0.52677550196556333</v>
      </c>
      <c r="I1274" s="9">
        <f t="shared" si="233"/>
        <v>5.2539289318892408E-3</v>
      </c>
      <c r="J1274" s="9">
        <f t="shared" si="234"/>
        <v>67364.150000000009</v>
      </c>
      <c r="K1274" s="9">
        <f t="shared" si="237"/>
        <v>67213.478666666648</v>
      </c>
      <c r="L1274" s="9">
        <f t="shared" si="236"/>
        <v>67230.878666666671</v>
      </c>
      <c r="M1274" s="9">
        <f t="shared" si="235"/>
        <v>1.1907534070694956E-2</v>
      </c>
      <c r="N1274" s="9">
        <f t="shared" si="238"/>
        <v>9.5551318496904722E-3</v>
      </c>
    </row>
    <row r="1275" spans="1:14" x14ac:dyDescent="0.35">
      <c r="A1275" s="1">
        <v>44232</v>
      </c>
      <c r="B1275" s="2" t="s">
        <v>1275</v>
      </c>
      <c r="C1275">
        <f t="shared" si="227"/>
        <v>67392.73</v>
      </c>
      <c r="D1275">
        <f t="shared" si="228"/>
        <v>2021</v>
      </c>
      <c r="E1275">
        <f t="shared" si="229"/>
        <v>2</v>
      </c>
      <c r="F1275" t="str">
        <f t="shared" si="231"/>
        <v>February</v>
      </c>
      <c r="G1275">
        <f t="shared" si="230"/>
        <v>5</v>
      </c>
      <c r="H1275" s="7">
        <f t="shared" si="232"/>
        <v>0.68083421724904902</v>
      </c>
      <c r="I1275" s="9">
        <f t="shared" si="233"/>
        <v>6.7852700735507414E-3</v>
      </c>
      <c r="J1275" s="9">
        <f t="shared" si="234"/>
        <v>67223.507142857139</v>
      </c>
      <c r="K1275" s="9">
        <f t="shared" si="237"/>
        <v>67208.474999999991</v>
      </c>
      <c r="L1275" s="9">
        <f t="shared" si="236"/>
        <v>67243.533444444445</v>
      </c>
      <c r="M1275" s="9">
        <f t="shared" si="235"/>
        <v>9.9077331986660126E-3</v>
      </c>
      <c r="N1275" s="9">
        <f t="shared" si="238"/>
        <v>9.632875291106513E-3</v>
      </c>
    </row>
    <row r="1276" spans="1:14" x14ac:dyDescent="0.35">
      <c r="A1276" s="1">
        <v>44235</v>
      </c>
      <c r="B1276" s="2" t="s">
        <v>1276</v>
      </c>
      <c r="C1276">
        <f t="shared" si="227"/>
        <v>67740.11</v>
      </c>
      <c r="D1276">
        <f t="shared" si="228"/>
        <v>2021</v>
      </c>
      <c r="E1276">
        <f t="shared" si="229"/>
        <v>2</v>
      </c>
      <c r="F1276" t="str">
        <f t="shared" si="231"/>
        <v>February</v>
      </c>
      <c r="G1276">
        <f t="shared" si="230"/>
        <v>8</v>
      </c>
      <c r="H1276" s="7">
        <f t="shared" si="232"/>
        <v>0.5154561923815888</v>
      </c>
      <c r="I1276" s="9">
        <f t="shared" si="233"/>
        <v>5.1413226451350299E-3</v>
      </c>
      <c r="J1276" s="9">
        <f t="shared" si="234"/>
        <v>67112.161428571431</v>
      </c>
      <c r="K1276" s="9">
        <f t="shared" si="237"/>
        <v>67210.429666666649</v>
      </c>
      <c r="L1276" s="9">
        <f t="shared" si="236"/>
        <v>67258.736333333349</v>
      </c>
      <c r="M1276" s="9">
        <f t="shared" si="235"/>
        <v>1.0185282930266909E-2</v>
      </c>
      <c r="N1276" s="9">
        <f t="shared" si="238"/>
        <v>9.6728298588278448E-3</v>
      </c>
    </row>
    <row r="1277" spans="1:14" x14ac:dyDescent="0.35">
      <c r="A1277" s="1">
        <v>44236</v>
      </c>
      <c r="B1277" s="2" t="s">
        <v>1277</v>
      </c>
      <c r="C1277">
        <f t="shared" si="227"/>
        <v>67572.58</v>
      </c>
      <c r="D1277">
        <f t="shared" si="228"/>
        <v>2021</v>
      </c>
      <c r="E1277">
        <f t="shared" si="229"/>
        <v>2</v>
      </c>
      <c r="F1277" t="str">
        <f t="shared" si="231"/>
        <v>February</v>
      </c>
      <c r="G1277">
        <f t="shared" si="230"/>
        <v>9</v>
      </c>
      <c r="H1277" s="7">
        <f t="shared" si="232"/>
        <v>-0.24731285496879005</v>
      </c>
      <c r="I1277" s="9">
        <f t="shared" si="233"/>
        <v>-2.476191783656104E-3</v>
      </c>
      <c r="J1277" s="9">
        <f t="shared" si="234"/>
        <v>67106.974285714285</v>
      </c>
      <c r="K1277" s="9">
        <f t="shared" si="237"/>
        <v>67208.020999999993</v>
      </c>
      <c r="L1277" s="9">
        <f t="shared" si="236"/>
        <v>67268.940111111137</v>
      </c>
      <c r="M1277" s="9">
        <f t="shared" si="235"/>
        <v>8.8338466952846313E-3</v>
      </c>
      <c r="N1277" s="9">
        <f t="shared" si="238"/>
        <v>9.6832077667967694E-3</v>
      </c>
    </row>
    <row r="1278" spans="1:14" x14ac:dyDescent="0.35">
      <c r="A1278" s="1">
        <v>44237</v>
      </c>
      <c r="B1278" s="2" t="s">
        <v>1278</v>
      </c>
      <c r="C1278">
        <f t="shared" si="227"/>
        <v>67295.740000000005</v>
      </c>
      <c r="D1278">
        <f t="shared" si="228"/>
        <v>2021</v>
      </c>
      <c r="E1278">
        <f t="shared" si="229"/>
        <v>2</v>
      </c>
      <c r="F1278" t="str">
        <f t="shared" si="231"/>
        <v>February</v>
      </c>
      <c r="G1278">
        <f t="shared" si="230"/>
        <v>10</v>
      </c>
      <c r="H1278" s="7">
        <f t="shared" si="232"/>
        <v>-0.40969280734877445</v>
      </c>
      <c r="I1278" s="9">
        <f t="shared" si="233"/>
        <v>-4.1053434760378238E-3</v>
      </c>
      <c r="J1278" s="9">
        <f t="shared" si="234"/>
        <v>67099.767142857148</v>
      </c>
      <c r="K1278" s="9">
        <f t="shared" si="237"/>
        <v>67198.698333333334</v>
      </c>
      <c r="L1278" s="9">
        <f t="shared" si="236"/>
        <v>67272.492222222238</v>
      </c>
      <c r="M1278" s="9">
        <f t="shared" si="235"/>
        <v>8.8494754558595939E-3</v>
      </c>
      <c r="N1278" s="9">
        <f t="shared" si="238"/>
        <v>9.7103485112671074E-3</v>
      </c>
    </row>
    <row r="1279" spans="1:14" x14ac:dyDescent="0.35">
      <c r="A1279" s="1">
        <v>44238</v>
      </c>
      <c r="B1279" s="2" t="s">
        <v>1279</v>
      </c>
      <c r="C1279">
        <f t="shared" si="227"/>
        <v>66971.59</v>
      </c>
      <c r="D1279">
        <f t="shared" si="228"/>
        <v>2021</v>
      </c>
      <c r="E1279">
        <f t="shared" si="229"/>
        <v>2</v>
      </c>
      <c r="F1279" t="str">
        <f t="shared" si="231"/>
        <v>February</v>
      </c>
      <c r="G1279">
        <f t="shared" si="230"/>
        <v>11</v>
      </c>
      <c r="H1279" s="7">
        <f t="shared" si="232"/>
        <v>-0.48167982104069096</v>
      </c>
      <c r="I1279" s="9">
        <f t="shared" si="233"/>
        <v>-4.8284363703922266E-3</v>
      </c>
      <c r="J1279" s="9">
        <f t="shared" si="234"/>
        <v>67213.712857142862</v>
      </c>
      <c r="K1279" s="9">
        <f t="shared" si="237"/>
        <v>67170.250666666674</v>
      </c>
      <c r="L1279" s="9">
        <f t="shared" si="236"/>
        <v>67267.421777777796</v>
      </c>
      <c r="M1279" s="9">
        <f t="shared" si="235"/>
        <v>5.235173111953483E-3</v>
      </c>
      <c r="N1279" s="9">
        <f t="shared" si="238"/>
        <v>9.7191328175385474E-3</v>
      </c>
    </row>
    <row r="1280" spans="1:14" x14ac:dyDescent="0.35">
      <c r="A1280" s="1">
        <v>44239</v>
      </c>
      <c r="B1280" s="2" t="s">
        <v>1280</v>
      </c>
      <c r="C1280">
        <f t="shared" si="227"/>
        <v>67145.75</v>
      </c>
      <c r="D1280">
        <f t="shared" si="228"/>
        <v>2021</v>
      </c>
      <c r="E1280">
        <f t="shared" si="229"/>
        <v>2</v>
      </c>
      <c r="F1280" t="str">
        <f t="shared" si="231"/>
        <v>February</v>
      </c>
      <c r="G1280">
        <f t="shared" si="230"/>
        <v>12</v>
      </c>
      <c r="H1280" s="7">
        <f t="shared" si="232"/>
        <v>0.26005056771088086</v>
      </c>
      <c r="I1280" s="9">
        <f t="shared" si="233"/>
        <v>2.597130212896604E-3</v>
      </c>
      <c r="J1280" s="9">
        <f t="shared" si="234"/>
        <v>67293.642857142855</v>
      </c>
      <c r="K1280" s="9">
        <f t="shared" si="237"/>
        <v>67148.729666666666</v>
      </c>
      <c r="L1280" s="9">
        <f t="shared" si="236"/>
        <v>67268.322444444464</v>
      </c>
      <c r="M1280" s="9">
        <f t="shared" si="235"/>
        <v>4.8839623579131665E-3</v>
      </c>
      <c r="N1280" s="9">
        <f t="shared" si="238"/>
        <v>9.7347157036535813E-3</v>
      </c>
    </row>
    <row r="1281" spans="1:14" x14ac:dyDescent="0.35">
      <c r="A1281" s="1">
        <v>44242</v>
      </c>
      <c r="B1281" s="2" t="s">
        <v>1281</v>
      </c>
      <c r="C1281">
        <f t="shared" si="227"/>
        <v>66835.520000000004</v>
      </c>
      <c r="D1281">
        <f t="shared" si="228"/>
        <v>2021</v>
      </c>
      <c r="E1281">
        <f t="shared" si="229"/>
        <v>2</v>
      </c>
      <c r="F1281" t="str">
        <f t="shared" si="231"/>
        <v>February</v>
      </c>
      <c r="G1281">
        <f t="shared" si="230"/>
        <v>15</v>
      </c>
      <c r="H1281" s="7">
        <f t="shared" si="232"/>
        <v>-0.46202477446449836</v>
      </c>
      <c r="I1281" s="9">
        <f t="shared" si="233"/>
        <v>-4.6309540792631564E-3</v>
      </c>
      <c r="J1281" s="9">
        <f t="shared" si="234"/>
        <v>67279.145714285711</v>
      </c>
      <c r="K1281" s="9">
        <f t="shared" si="237"/>
        <v>67074.945666666667</v>
      </c>
      <c r="L1281" s="9">
        <f t="shared" si="236"/>
        <v>67259.316222222231</v>
      </c>
      <c r="M1281" s="9">
        <f t="shared" si="235"/>
        <v>4.9435856531641802E-3</v>
      </c>
      <c r="N1281" s="9">
        <f t="shared" si="238"/>
        <v>9.0960241859710869E-3</v>
      </c>
    </row>
    <row r="1282" spans="1:14" x14ac:dyDescent="0.35">
      <c r="A1282" s="1">
        <v>44243</v>
      </c>
      <c r="B1282" s="2" t="s">
        <v>1282</v>
      </c>
      <c r="C1282">
        <f t="shared" si="227"/>
        <v>68094.28</v>
      </c>
      <c r="D1282">
        <f t="shared" si="228"/>
        <v>2021</v>
      </c>
      <c r="E1282">
        <f t="shared" si="229"/>
        <v>2</v>
      </c>
      <c r="F1282" t="str">
        <f t="shared" si="231"/>
        <v>February</v>
      </c>
      <c r="G1282">
        <f t="shared" si="230"/>
        <v>16</v>
      </c>
      <c r="H1282" s="7">
        <f t="shared" si="232"/>
        <v>1.8833698009681001</v>
      </c>
      <c r="I1282" s="9">
        <f t="shared" si="233"/>
        <v>1.8658539753703421E-2</v>
      </c>
      <c r="J1282" s="9">
        <f t="shared" si="234"/>
        <v>67379.367142857154</v>
      </c>
      <c r="K1282" s="9">
        <f t="shared" si="237"/>
        <v>67047.326333333331</v>
      </c>
      <c r="L1282" s="9">
        <f t="shared" si="236"/>
        <v>67270.711111111115</v>
      </c>
      <c r="M1282" s="9">
        <f t="shared" si="235"/>
        <v>8.5023833291667569E-3</v>
      </c>
      <c r="N1282" s="9">
        <f t="shared" si="238"/>
        <v>9.7815774458565354E-3</v>
      </c>
    </row>
    <row r="1283" spans="1:14" x14ac:dyDescent="0.35">
      <c r="A1283" s="1">
        <v>44244</v>
      </c>
      <c r="B1283" s="2" t="s">
        <v>1283</v>
      </c>
      <c r="C1283">
        <f t="shared" ref="C1283:C1346" si="239">_xlfn.NUMBERVALUE(B1283,".",",")</f>
        <v>68698.78</v>
      </c>
      <c r="D1283">
        <f t="shared" ref="D1283:D1346" si="240">YEAR(A1283)</f>
        <v>2021</v>
      </c>
      <c r="E1283">
        <f t="shared" ref="E1283:E1346" si="241">MONTH(A1283)</f>
        <v>2</v>
      </c>
      <c r="F1283" t="str">
        <f t="shared" si="231"/>
        <v>February</v>
      </c>
      <c r="G1283">
        <f t="shared" ref="G1283:G1346" si="242">DAY(A1283)</f>
        <v>17</v>
      </c>
      <c r="H1283" s="7">
        <f t="shared" si="232"/>
        <v>0.88773976316366077</v>
      </c>
      <c r="I1283" s="9">
        <f t="shared" si="233"/>
        <v>8.8382251994207871E-3</v>
      </c>
      <c r="J1283" s="9">
        <f t="shared" si="234"/>
        <v>67516.320000000022</v>
      </c>
      <c r="K1283" s="9">
        <f t="shared" si="237"/>
        <v>67071.81766666667</v>
      </c>
      <c r="L1283" s="9">
        <f t="shared" si="236"/>
        <v>67284.554666666678</v>
      </c>
      <c r="M1283" s="9">
        <f t="shared" si="235"/>
        <v>8.8744299477186185E-3</v>
      </c>
      <c r="N1283" s="9">
        <f t="shared" si="238"/>
        <v>9.5729107358866802E-3</v>
      </c>
    </row>
    <row r="1284" spans="1:14" x14ac:dyDescent="0.35">
      <c r="A1284" s="1">
        <v>44245</v>
      </c>
      <c r="B1284" s="2" t="s">
        <v>1284</v>
      </c>
      <c r="C1284">
        <f t="shared" si="239"/>
        <v>67823.09</v>
      </c>
      <c r="D1284">
        <f t="shared" si="240"/>
        <v>2021</v>
      </c>
      <c r="E1284">
        <f t="shared" si="241"/>
        <v>2</v>
      </c>
      <c r="F1284" t="str">
        <f t="shared" ref="F1284:F1347" si="243">TEXT(A1284,"mmmm")</f>
        <v>February</v>
      </c>
      <c r="G1284">
        <f t="shared" si="242"/>
        <v>18</v>
      </c>
      <c r="H1284" s="7">
        <f t="shared" ref="H1284:H1347" si="244">((C1284-C1283)/C1283)*100</f>
        <v>-1.2746805692910446</v>
      </c>
      <c r="I1284" s="9">
        <f t="shared" ref="I1284:I1347" si="245">LN(C1284/C1283)</f>
        <v>-1.2828743260126898E-2</v>
      </c>
      <c r="J1284" s="9">
        <f t="shared" si="234"/>
        <v>67552.107142857145</v>
      </c>
      <c r="K1284" s="9">
        <f t="shared" si="237"/>
        <v>67080.758666666676</v>
      </c>
      <c r="L1284" s="9">
        <f t="shared" si="236"/>
        <v>67288.683000000005</v>
      </c>
      <c r="M1284" s="9">
        <f t="shared" si="235"/>
        <v>1.0466090417320436E-2</v>
      </c>
      <c r="N1284" s="9">
        <f t="shared" si="238"/>
        <v>9.8067867437323097E-3</v>
      </c>
    </row>
    <row r="1285" spans="1:14" x14ac:dyDescent="0.35">
      <c r="A1285" s="1">
        <v>44246</v>
      </c>
      <c r="B1285" s="2" t="s">
        <v>1285</v>
      </c>
      <c r="C1285">
        <f t="shared" si="239"/>
        <v>67812.149999999994</v>
      </c>
      <c r="D1285">
        <f t="shared" si="240"/>
        <v>2021</v>
      </c>
      <c r="E1285">
        <f t="shared" si="241"/>
        <v>2</v>
      </c>
      <c r="F1285" t="str">
        <f t="shared" si="243"/>
        <v>February</v>
      </c>
      <c r="G1285">
        <f t="shared" si="242"/>
        <v>19</v>
      </c>
      <c r="H1285" s="7">
        <f t="shared" si="244"/>
        <v>-1.6130199906849316E-2</v>
      </c>
      <c r="I1285" s="9">
        <f t="shared" si="245"/>
        <v>-1.6131500963505467E-4</v>
      </c>
      <c r="J1285" s="9">
        <f t="shared" si="234"/>
        <v>67625.88</v>
      </c>
      <c r="K1285" s="9">
        <f t="shared" si="237"/>
        <v>67109.822</v>
      </c>
      <c r="L1285" s="9">
        <f t="shared" si="236"/>
        <v>67299.604555555576</v>
      </c>
      <c r="M1285" s="9">
        <f t="shared" si="235"/>
        <v>1.0279546052921855E-2</v>
      </c>
      <c r="N1285" s="9">
        <f t="shared" si="238"/>
        <v>9.6498243896955341E-3</v>
      </c>
    </row>
    <row r="1286" spans="1:14" x14ac:dyDescent="0.35">
      <c r="A1286" s="1">
        <v>44249</v>
      </c>
      <c r="B1286" s="2" t="s">
        <v>1286</v>
      </c>
      <c r="C1286">
        <f t="shared" si="239"/>
        <v>67072.490000000005</v>
      </c>
      <c r="D1286">
        <f t="shared" si="240"/>
        <v>2021</v>
      </c>
      <c r="E1286">
        <f t="shared" si="241"/>
        <v>2</v>
      </c>
      <c r="F1286" t="str">
        <f t="shared" si="243"/>
        <v>February</v>
      </c>
      <c r="G1286">
        <f t="shared" si="242"/>
        <v>22</v>
      </c>
      <c r="H1286" s="7">
        <f t="shared" si="244"/>
        <v>-1.0907484868124504</v>
      </c>
      <c r="I1286" s="9">
        <f t="shared" si="245"/>
        <v>-1.0967407617238766E-2</v>
      </c>
      <c r="J1286" s="9">
        <f t="shared" si="234"/>
        <v>67640.294285714292</v>
      </c>
      <c r="K1286" s="9">
        <f t="shared" si="237"/>
        <v>67141.964000000007</v>
      </c>
      <c r="L1286" s="9">
        <f t="shared" si="236"/>
        <v>67311.39822222224</v>
      </c>
      <c r="M1286" s="9">
        <f t="shared" si="235"/>
        <v>1.1098116041955717E-2</v>
      </c>
      <c r="N1286" s="9">
        <f t="shared" si="238"/>
        <v>9.5824933283045581E-3</v>
      </c>
    </row>
    <row r="1287" spans="1:14" x14ac:dyDescent="0.35">
      <c r="A1287" s="1">
        <v>44250</v>
      </c>
      <c r="B1287" s="2" t="s">
        <v>1287</v>
      </c>
      <c r="C1287">
        <f t="shared" si="239"/>
        <v>66390.02</v>
      </c>
      <c r="D1287">
        <f t="shared" si="240"/>
        <v>2021</v>
      </c>
      <c r="E1287">
        <f t="shared" si="241"/>
        <v>2</v>
      </c>
      <c r="F1287" t="str">
        <f t="shared" si="243"/>
        <v>February</v>
      </c>
      <c r="G1287">
        <f t="shared" si="242"/>
        <v>23</v>
      </c>
      <c r="H1287" s="7">
        <f t="shared" si="244"/>
        <v>-1.0175110540849179</v>
      </c>
      <c r="I1287" s="9">
        <f t="shared" si="245"/>
        <v>-1.0227230832686849E-2</v>
      </c>
      <c r="J1287" s="9">
        <f t="shared" si="234"/>
        <v>67532.332857142857</v>
      </c>
      <c r="K1287" s="9">
        <f t="shared" si="237"/>
        <v>67152.40866666667</v>
      </c>
      <c r="L1287" s="9">
        <f t="shared" si="236"/>
        <v>67314.470888888914</v>
      </c>
      <c r="M1287" s="9">
        <f t="shared" si="235"/>
        <v>1.1682476683673853E-2</v>
      </c>
      <c r="N1287" s="9">
        <f t="shared" si="238"/>
        <v>9.7794880889568933E-3</v>
      </c>
    </row>
    <row r="1288" spans="1:14" x14ac:dyDescent="0.35">
      <c r="A1288" s="1">
        <v>44251</v>
      </c>
      <c r="B1288" s="2" t="s">
        <v>1288</v>
      </c>
      <c r="C1288">
        <f t="shared" si="239"/>
        <v>67191.27</v>
      </c>
      <c r="D1288">
        <f t="shared" si="240"/>
        <v>2021</v>
      </c>
      <c r="E1288">
        <f t="shared" si="241"/>
        <v>2</v>
      </c>
      <c r="F1288" t="str">
        <f t="shared" si="243"/>
        <v>February</v>
      </c>
      <c r="G1288">
        <f t="shared" si="242"/>
        <v>24</v>
      </c>
      <c r="H1288" s="7">
        <f t="shared" si="244"/>
        <v>1.2068832032284369</v>
      </c>
      <c r="I1288" s="9">
        <f t="shared" si="245"/>
        <v>1.199658439447952E-2</v>
      </c>
      <c r="J1288" s="9">
        <f t="shared" si="234"/>
        <v>67583.154285714292</v>
      </c>
      <c r="K1288" s="9">
        <f t="shared" si="237"/>
        <v>67190.287000000011</v>
      </c>
      <c r="L1288" s="9">
        <f t="shared" si="236"/>
        <v>67306.533000000025</v>
      </c>
      <c r="M1288" s="9">
        <f t="shared" si="235"/>
        <v>1.2620290234877481E-2</v>
      </c>
      <c r="N1288" s="9">
        <f t="shared" si="238"/>
        <v>1.0014422344120104E-2</v>
      </c>
    </row>
    <row r="1289" spans="1:14" x14ac:dyDescent="0.35">
      <c r="A1289" s="1">
        <v>44252</v>
      </c>
      <c r="B1289" s="2" t="s">
        <v>1289</v>
      </c>
      <c r="C1289">
        <f t="shared" si="239"/>
        <v>67053.97</v>
      </c>
      <c r="D1289">
        <f t="shared" si="240"/>
        <v>2021</v>
      </c>
      <c r="E1289">
        <f t="shared" si="241"/>
        <v>2</v>
      </c>
      <c r="F1289" t="str">
        <f t="shared" si="243"/>
        <v>February</v>
      </c>
      <c r="G1289">
        <f t="shared" si="242"/>
        <v>25</v>
      </c>
      <c r="H1289" s="7">
        <f t="shared" si="244"/>
        <v>-0.20434202240857019</v>
      </c>
      <c r="I1289" s="9">
        <f t="shared" si="245"/>
        <v>-2.0455108557032157E-3</v>
      </c>
      <c r="J1289" s="9">
        <f t="shared" ref="J1289:J1352" si="246">AVERAGE(C1283:C1289)</f>
        <v>67434.53857142858</v>
      </c>
      <c r="K1289" s="9">
        <f t="shared" si="237"/>
        <v>67217.455000000002</v>
      </c>
      <c r="L1289" s="9">
        <f t="shared" si="236"/>
        <v>67285.578888888922</v>
      </c>
      <c r="M1289" s="9">
        <f t="shared" si="235"/>
        <v>9.8475003498399646E-3</v>
      </c>
      <c r="N1289" s="9">
        <f t="shared" si="238"/>
        <v>1.001641580067284E-2</v>
      </c>
    </row>
    <row r="1290" spans="1:14" x14ac:dyDescent="0.35">
      <c r="A1290" s="1">
        <v>44253</v>
      </c>
      <c r="B1290" s="2" t="s">
        <v>1290</v>
      </c>
      <c r="C1290">
        <f t="shared" si="239"/>
        <v>67160.42</v>
      </c>
      <c r="D1290">
        <f t="shared" si="240"/>
        <v>2021</v>
      </c>
      <c r="E1290">
        <f t="shared" si="241"/>
        <v>2</v>
      </c>
      <c r="F1290" t="str">
        <f t="shared" si="243"/>
        <v>February</v>
      </c>
      <c r="G1290">
        <f t="shared" si="242"/>
        <v>26</v>
      </c>
      <c r="H1290" s="7">
        <f t="shared" si="244"/>
        <v>0.15875271814628886</v>
      </c>
      <c r="I1290" s="9">
        <f t="shared" si="245"/>
        <v>1.5862683922522847E-3</v>
      </c>
      <c r="J1290" s="9">
        <f t="shared" si="246"/>
        <v>67214.77285714286</v>
      </c>
      <c r="K1290" s="9">
        <f t="shared" si="237"/>
        <v>67251.987666666682</v>
      </c>
      <c r="L1290" s="9">
        <f t="shared" si="236"/>
        <v>67267.086888888909</v>
      </c>
      <c r="M1290" s="9">
        <f t="shared" ref="M1290:M1353" si="247">STDEV(I1284:I1290)</f>
        <v>8.820709952969295E-3</v>
      </c>
      <c r="N1290" s="9">
        <f t="shared" si="238"/>
        <v>1.0010308970813349E-2</v>
      </c>
    </row>
    <row r="1291" spans="1:14" x14ac:dyDescent="0.35">
      <c r="A1291" s="1">
        <v>44256</v>
      </c>
      <c r="B1291" s="2" t="s">
        <v>1291</v>
      </c>
      <c r="C1291">
        <f t="shared" si="239"/>
        <v>68063.89</v>
      </c>
      <c r="D1291">
        <f t="shared" si="240"/>
        <v>2021</v>
      </c>
      <c r="E1291">
        <f t="shared" si="241"/>
        <v>3</v>
      </c>
      <c r="F1291" t="str">
        <f t="shared" si="243"/>
        <v>March</v>
      </c>
      <c r="G1291">
        <f t="shared" si="242"/>
        <v>1</v>
      </c>
      <c r="H1291" s="7">
        <f t="shared" si="244"/>
        <v>1.3452417361297044</v>
      </c>
      <c r="I1291" s="9">
        <f t="shared" si="245"/>
        <v>1.3362736978282292E-2</v>
      </c>
      <c r="J1291" s="9">
        <f t="shared" si="246"/>
        <v>67249.172857142854</v>
      </c>
      <c r="K1291" s="9">
        <f t="shared" si="237"/>
        <v>67325.590333333326</v>
      </c>
      <c r="L1291" s="9">
        <f t="shared" si="236"/>
        <v>67252.410555555573</v>
      </c>
      <c r="M1291" s="9">
        <f t="shared" si="247"/>
        <v>9.5942086527692344E-3</v>
      </c>
      <c r="N1291" s="9">
        <f t="shared" si="238"/>
        <v>1.0238155971305405E-2</v>
      </c>
    </row>
    <row r="1292" spans="1:14" x14ac:dyDescent="0.35">
      <c r="A1292" s="1">
        <v>44257</v>
      </c>
      <c r="B1292" s="2" t="s">
        <v>1292</v>
      </c>
      <c r="C1292">
        <f t="shared" si="239"/>
        <v>67236.31</v>
      </c>
      <c r="D1292">
        <f t="shared" si="240"/>
        <v>2021</v>
      </c>
      <c r="E1292">
        <f t="shared" si="241"/>
        <v>3</v>
      </c>
      <c r="F1292" t="str">
        <f t="shared" si="243"/>
        <v>March</v>
      </c>
      <c r="G1292">
        <f t="shared" si="242"/>
        <v>2</v>
      </c>
      <c r="H1292" s="7">
        <f t="shared" si="244"/>
        <v>-1.2158870143919218</v>
      </c>
      <c r="I1292" s="9">
        <f t="shared" si="245"/>
        <v>-1.2233393904742597E-2</v>
      </c>
      <c r="J1292" s="9">
        <f t="shared" si="246"/>
        <v>67166.91</v>
      </c>
      <c r="K1292" s="9">
        <f t="shared" si="237"/>
        <v>67324.97</v>
      </c>
      <c r="L1292" s="9">
        <f t="shared" si="236"/>
        <v>67228.347888888893</v>
      </c>
      <c r="M1292" s="9">
        <f t="shared" si="247"/>
        <v>1.0749635020129563E-2</v>
      </c>
      <c r="N1292" s="9">
        <f t="shared" si="238"/>
        <v>9.7974952474283363E-3</v>
      </c>
    </row>
    <row r="1293" spans="1:14" x14ac:dyDescent="0.35">
      <c r="A1293" s="1">
        <v>44258</v>
      </c>
      <c r="B1293" s="2" t="s">
        <v>1293</v>
      </c>
      <c r="C1293">
        <f t="shared" si="239"/>
        <v>66485.289999999994</v>
      </c>
      <c r="D1293">
        <f t="shared" si="240"/>
        <v>2021</v>
      </c>
      <c r="E1293">
        <f t="shared" si="241"/>
        <v>3</v>
      </c>
      <c r="F1293" t="str">
        <f t="shared" si="243"/>
        <v>March</v>
      </c>
      <c r="G1293">
        <f t="shared" si="242"/>
        <v>3</v>
      </c>
      <c r="H1293" s="7">
        <f t="shared" si="244"/>
        <v>-1.1169857477306593</v>
      </c>
      <c r="I1293" s="9">
        <f t="shared" si="245"/>
        <v>-1.12327088004833E-2</v>
      </c>
      <c r="J1293" s="9">
        <f t="shared" si="246"/>
        <v>67083.024285714288</v>
      </c>
      <c r="K1293" s="9">
        <f t="shared" si="237"/>
        <v>67300.576000000001</v>
      </c>
      <c r="L1293" s="9">
        <f t="shared" si="236"/>
        <v>67193.549333333343</v>
      </c>
      <c r="M1293" s="9">
        <f t="shared" si="247"/>
        <v>1.0790127886451511E-2</v>
      </c>
      <c r="N1293" s="9">
        <f t="shared" si="238"/>
        <v>1.0009653800114048E-2</v>
      </c>
    </row>
    <row r="1294" spans="1:14" x14ac:dyDescent="0.35">
      <c r="A1294" s="1">
        <v>44259</v>
      </c>
      <c r="B1294" s="2" t="s">
        <v>1294</v>
      </c>
      <c r="C1294">
        <f t="shared" si="239"/>
        <v>67291.66</v>
      </c>
      <c r="D1294">
        <f t="shared" si="240"/>
        <v>2021</v>
      </c>
      <c r="E1294">
        <f t="shared" si="241"/>
        <v>3</v>
      </c>
      <c r="F1294" t="str">
        <f t="shared" si="243"/>
        <v>March</v>
      </c>
      <c r="G1294">
        <f t="shared" si="242"/>
        <v>4</v>
      </c>
      <c r="H1294" s="7">
        <f t="shared" si="244"/>
        <v>1.2128547532845386</v>
      </c>
      <c r="I1294" s="9">
        <f t="shared" si="245"/>
        <v>1.205558605230323E-2</v>
      </c>
      <c r="J1294" s="9">
        <f t="shared" si="246"/>
        <v>67211.829999999987</v>
      </c>
      <c r="K1294" s="9">
        <f t="shared" si="237"/>
        <v>67323.693666666659</v>
      </c>
      <c r="L1294" s="9">
        <f t="shared" si="236"/>
        <v>67167.878444444446</v>
      </c>
      <c r="M1294" s="9">
        <f t="shared" si="247"/>
        <v>1.0987511829845245E-2</v>
      </c>
      <c r="N1294" s="9">
        <f t="shared" si="238"/>
        <v>1.0112759250181385E-2</v>
      </c>
    </row>
    <row r="1295" spans="1:14" x14ac:dyDescent="0.35">
      <c r="A1295" s="1">
        <v>44260</v>
      </c>
      <c r="B1295" s="2" t="s">
        <v>1295</v>
      </c>
      <c r="C1295">
        <f t="shared" si="239"/>
        <v>67089.37</v>
      </c>
      <c r="D1295">
        <f t="shared" si="240"/>
        <v>2021</v>
      </c>
      <c r="E1295">
        <f t="shared" si="241"/>
        <v>3</v>
      </c>
      <c r="F1295" t="str">
        <f t="shared" si="243"/>
        <v>March</v>
      </c>
      <c r="G1295">
        <f t="shared" si="242"/>
        <v>5</v>
      </c>
      <c r="H1295" s="7">
        <f t="shared" si="244"/>
        <v>-0.30061674804873018</v>
      </c>
      <c r="I1295" s="9">
        <f t="shared" si="245"/>
        <v>-3.0106950780354677E-3</v>
      </c>
      <c r="J1295" s="9">
        <f t="shared" si="246"/>
        <v>67197.27285714286</v>
      </c>
      <c r="K1295" s="9">
        <f t="shared" si="237"/>
        <v>67354.384333333321</v>
      </c>
      <c r="L1295" s="9">
        <f t="shared" si="236"/>
        <v>67150.272000000012</v>
      </c>
      <c r="M1295" s="9">
        <f t="shared" si="247"/>
        <v>1.0125587624589E-2</v>
      </c>
      <c r="N1295" s="9">
        <f t="shared" si="238"/>
        <v>1.0051914167017865E-2</v>
      </c>
    </row>
    <row r="1296" spans="1:14" x14ac:dyDescent="0.35">
      <c r="A1296" s="1">
        <v>44263</v>
      </c>
      <c r="B1296" s="2" t="s">
        <v>1296</v>
      </c>
      <c r="C1296">
        <f t="shared" si="239"/>
        <v>66833.990000000005</v>
      </c>
      <c r="D1296">
        <f t="shared" si="240"/>
        <v>2021</v>
      </c>
      <c r="E1296">
        <f t="shared" si="241"/>
        <v>3</v>
      </c>
      <c r="F1296" t="str">
        <f t="shared" si="243"/>
        <v>March</v>
      </c>
      <c r="G1296">
        <f t="shared" si="242"/>
        <v>8</v>
      </c>
      <c r="H1296" s="7">
        <f t="shared" si="244"/>
        <v>-0.38065642887985102</v>
      </c>
      <c r="I1296" s="9">
        <f t="shared" si="245"/>
        <v>-3.8138276929096464E-3</v>
      </c>
      <c r="J1296" s="9">
        <f t="shared" si="246"/>
        <v>67165.847142857136</v>
      </c>
      <c r="K1296" s="9">
        <f t="shared" si="237"/>
        <v>67334.708333333328</v>
      </c>
      <c r="L1296" s="9">
        <f t="shared" si="236"/>
        <v>67133.191555555561</v>
      </c>
      <c r="M1296" s="9">
        <f t="shared" si="247"/>
        <v>1.0200594816966677E-2</v>
      </c>
      <c r="N1296" s="9">
        <f t="shared" si="238"/>
        <v>9.4598009148369969E-3</v>
      </c>
    </row>
    <row r="1297" spans="1:14" x14ac:dyDescent="0.35">
      <c r="A1297" s="1">
        <v>44264</v>
      </c>
      <c r="B1297" s="2" t="s">
        <v>1297</v>
      </c>
      <c r="C1297">
        <f t="shared" si="239"/>
        <v>64783.62</v>
      </c>
      <c r="D1297">
        <f t="shared" si="240"/>
        <v>2021</v>
      </c>
      <c r="E1297">
        <f t="shared" si="241"/>
        <v>3</v>
      </c>
      <c r="F1297" t="str">
        <f t="shared" si="243"/>
        <v>March</v>
      </c>
      <c r="G1297">
        <f t="shared" si="242"/>
        <v>9</v>
      </c>
      <c r="H1297" s="7">
        <f t="shared" si="244"/>
        <v>-3.0678551437674191</v>
      </c>
      <c r="I1297" s="9">
        <f t="shared" si="245"/>
        <v>-3.1158989839890038E-2</v>
      </c>
      <c r="J1297" s="9">
        <f t="shared" si="246"/>
        <v>66826.304285714286</v>
      </c>
      <c r="K1297" s="9">
        <f t="shared" si="237"/>
        <v>67252.78899999999</v>
      </c>
      <c r="L1297" s="9">
        <f t="shared" si="236"/>
        <v>67087.475777777785</v>
      </c>
      <c r="M1297" s="9">
        <f t="shared" si="247"/>
        <v>1.5322950770382714E-2</v>
      </c>
      <c r="N1297" s="9">
        <f t="shared" si="238"/>
        <v>1.1009406752297413E-2</v>
      </c>
    </row>
    <row r="1298" spans="1:14" x14ac:dyDescent="0.35">
      <c r="A1298" s="1">
        <v>44265</v>
      </c>
      <c r="B1298" s="2" t="s">
        <v>1298</v>
      </c>
      <c r="C1298">
        <f t="shared" si="239"/>
        <v>65257.09</v>
      </c>
      <c r="D1298">
        <f t="shared" si="240"/>
        <v>2021</v>
      </c>
      <c r="E1298">
        <f t="shared" si="241"/>
        <v>3</v>
      </c>
      <c r="F1298" t="str">
        <f t="shared" si="243"/>
        <v>March</v>
      </c>
      <c r="G1298">
        <f t="shared" si="242"/>
        <v>10</v>
      </c>
      <c r="H1298" s="7">
        <f t="shared" si="244"/>
        <v>0.73084832246174858</v>
      </c>
      <c r="I1298" s="9">
        <f t="shared" si="245"/>
        <v>7.2819056769083366E-3</v>
      </c>
      <c r="J1298" s="9">
        <f t="shared" si="246"/>
        <v>66425.332857142857</v>
      </c>
      <c r="K1298" s="9">
        <f t="shared" si="237"/>
        <v>67148.784333333329</v>
      </c>
      <c r="L1298" s="9">
        <f t="shared" si="236"/>
        <v>67049.157555555546</v>
      </c>
      <c r="M1298" s="9">
        <f t="shared" si="247"/>
        <v>1.423222818198339E-2</v>
      </c>
      <c r="N1298" s="9">
        <f t="shared" si="238"/>
        <v>1.0603905318001764E-2</v>
      </c>
    </row>
    <row r="1299" spans="1:14" x14ac:dyDescent="0.35">
      <c r="A1299" s="1">
        <v>44266</v>
      </c>
      <c r="B1299" s="2" t="s">
        <v>1299</v>
      </c>
      <c r="C1299">
        <f t="shared" si="239"/>
        <v>65318.52</v>
      </c>
      <c r="D1299">
        <f t="shared" si="240"/>
        <v>2021</v>
      </c>
      <c r="E1299">
        <f t="shared" si="241"/>
        <v>3</v>
      </c>
      <c r="F1299" t="str">
        <f t="shared" si="243"/>
        <v>March</v>
      </c>
      <c r="G1299">
        <f t="shared" si="242"/>
        <v>11</v>
      </c>
      <c r="H1299" s="7">
        <f t="shared" si="244"/>
        <v>9.413536521472271E-2</v>
      </c>
      <c r="I1299" s="9">
        <f t="shared" si="245"/>
        <v>9.4091085666097511E-4</v>
      </c>
      <c r="J1299" s="9">
        <f t="shared" si="246"/>
        <v>66151.362857142856</v>
      </c>
      <c r="K1299" s="9">
        <f t="shared" si="237"/>
        <v>67042.084000000003</v>
      </c>
      <c r="L1299" s="9">
        <f t="shared" si="236"/>
        <v>67010.221666666665</v>
      </c>
      <c r="M1299" s="9">
        <f t="shared" si="247"/>
        <v>1.4143823068166078E-2</v>
      </c>
      <c r="N1299" s="9">
        <f t="shared" si="238"/>
        <v>1.0592479650166117E-2</v>
      </c>
    </row>
    <row r="1300" spans="1:14" x14ac:dyDescent="0.35">
      <c r="A1300" s="1">
        <v>44267</v>
      </c>
      <c r="B1300" s="2" t="s">
        <v>1300</v>
      </c>
      <c r="C1300">
        <f t="shared" si="239"/>
        <v>65911.27</v>
      </c>
      <c r="D1300">
        <f t="shared" si="240"/>
        <v>2021</v>
      </c>
      <c r="E1300">
        <f t="shared" si="241"/>
        <v>3</v>
      </c>
      <c r="F1300" t="str">
        <f t="shared" si="243"/>
        <v>March</v>
      </c>
      <c r="G1300">
        <f t="shared" si="242"/>
        <v>12</v>
      </c>
      <c r="H1300" s="7">
        <f t="shared" si="244"/>
        <v>0.90747616449363411</v>
      </c>
      <c r="I1300" s="9">
        <f t="shared" si="245"/>
        <v>9.033833418398373E-3</v>
      </c>
      <c r="J1300" s="9">
        <f t="shared" si="246"/>
        <v>66069.36</v>
      </c>
      <c r="K1300" s="9">
        <f t="shared" si="237"/>
        <v>66985.496666666673</v>
      </c>
      <c r="L1300" s="9">
        <f t="shared" si="236"/>
        <v>66976.227111111089</v>
      </c>
      <c r="M1300" s="9">
        <f t="shared" si="247"/>
        <v>1.4517859130134338E-2</v>
      </c>
      <c r="N1300" s="9">
        <f t="shared" si="238"/>
        <v>1.0522823508263422E-2</v>
      </c>
    </row>
    <row r="1301" spans="1:14" x14ac:dyDescent="0.35">
      <c r="A1301" s="1">
        <v>44270</v>
      </c>
      <c r="B1301" s="2" t="s">
        <v>1301</v>
      </c>
      <c r="C1301">
        <f t="shared" si="239"/>
        <v>66739.740000000005</v>
      </c>
      <c r="D1301">
        <f t="shared" si="240"/>
        <v>2021</v>
      </c>
      <c r="E1301">
        <f t="shared" si="241"/>
        <v>3</v>
      </c>
      <c r="F1301" t="str">
        <f t="shared" si="243"/>
        <v>March</v>
      </c>
      <c r="G1301">
        <f t="shared" si="242"/>
        <v>15</v>
      </c>
      <c r="H1301" s="7">
        <f t="shared" si="244"/>
        <v>1.256947408235346</v>
      </c>
      <c r="I1301" s="9">
        <f t="shared" si="245"/>
        <v>1.2491134022194209E-2</v>
      </c>
      <c r="J1301" s="9">
        <f t="shared" si="246"/>
        <v>65990.514285714278</v>
      </c>
      <c r="K1301" s="9">
        <f t="shared" si="237"/>
        <v>66965.281666666662</v>
      </c>
      <c r="L1301" s="9">
        <f t="shared" si="236"/>
        <v>66944.832777777774</v>
      </c>
      <c r="M1301" s="9">
        <f t="shared" si="247"/>
        <v>1.4585110270102423E-2</v>
      </c>
      <c r="N1301" s="9">
        <f t="shared" si="238"/>
        <v>1.0781313858636954E-2</v>
      </c>
    </row>
    <row r="1302" spans="1:14" x14ac:dyDescent="0.35">
      <c r="A1302" s="1">
        <v>44271</v>
      </c>
      <c r="B1302" s="2" t="s">
        <v>1302</v>
      </c>
      <c r="C1302">
        <f t="shared" si="239"/>
        <v>66494.490000000005</v>
      </c>
      <c r="D1302">
        <f t="shared" si="240"/>
        <v>2021</v>
      </c>
      <c r="E1302">
        <f t="shared" si="241"/>
        <v>3</v>
      </c>
      <c r="F1302" t="str">
        <f t="shared" si="243"/>
        <v>March</v>
      </c>
      <c r="G1302">
        <f t="shared" si="242"/>
        <v>16</v>
      </c>
      <c r="H1302" s="7">
        <f t="shared" si="244"/>
        <v>-0.36747221370655619</v>
      </c>
      <c r="I1302" s="9">
        <f t="shared" si="245"/>
        <v>-3.6814905148171741E-3</v>
      </c>
      <c r="J1302" s="9">
        <f t="shared" si="246"/>
        <v>65905.531428571427</v>
      </c>
      <c r="K1302" s="9">
        <f t="shared" si="237"/>
        <v>66975.965666666671</v>
      </c>
      <c r="L1302" s="9">
        <f t="shared" si="236"/>
        <v>66922.265555555554</v>
      </c>
      <c r="M1302" s="9">
        <f t="shared" si="247"/>
        <v>1.4601364266685381E-2</v>
      </c>
      <c r="N1302" s="9">
        <f t="shared" si="238"/>
        <v>1.0302400294854901E-2</v>
      </c>
    </row>
    <row r="1303" spans="1:14" x14ac:dyDescent="0.35">
      <c r="A1303" s="1">
        <v>44272</v>
      </c>
      <c r="B1303" s="2" t="s">
        <v>1303</v>
      </c>
      <c r="C1303">
        <f t="shared" si="239"/>
        <v>67289.37</v>
      </c>
      <c r="D1303">
        <f t="shared" si="240"/>
        <v>2021</v>
      </c>
      <c r="E1303">
        <f t="shared" si="241"/>
        <v>3</v>
      </c>
      <c r="F1303" t="str">
        <f t="shared" si="243"/>
        <v>March</v>
      </c>
      <c r="G1303">
        <f t="shared" si="242"/>
        <v>17</v>
      </c>
      <c r="H1303" s="7">
        <f t="shared" si="244"/>
        <v>1.1954073187116558</v>
      </c>
      <c r="I1303" s="9">
        <f t="shared" si="245"/>
        <v>1.188318760930006E-2</v>
      </c>
      <c r="J1303" s="9">
        <f t="shared" si="246"/>
        <v>65970.585714285713</v>
      </c>
      <c r="K1303" s="9">
        <f t="shared" si="237"/>
        <v>66999.403333333335</v>
      </c>
      <c r="L1303" s="9">
        <f t="shared" si="236"/>
        <v>66921.694999999992</v>
      </c>
      <c r="M1303" s="9">
        <f t="shared" si="247"/>
        <v>1.533301967384978E-2</v>
      </c>
      <c r="N1303" s="9">
        <f t="shared" si="238"/>
        <v>1.0467982130725825E-2</v>
      </c>
    </row>
    <row r="1304" spans="1:14" x14ac:dyDescent="0.35">
      <c r="A1304" s="1">
        <v>44273</v>
      </c>
      <c r="B1304" s="2" t="s">
        <v>1304</v>
      </c>
      <c r="C1304">
        <f t="shared" si="239"/>
        <v>67566.42</v>
      </c>
      <c r="D1304">
        <f t="shared" si="240"/>
        <v>2021</v>
      </c>
      <c r="E1304">
        <f t="shared" si="241"/>
        <v>3</v>
      </c>
      <c r="F1304" t="str">
        <f t="shared" si="243"/>
        <v>March</v>
      </c>
      <c r="G1304">
        <f t="shared" si="242"/>
        <v>18</v>
      </c>
      <c r="H1304" s="7">
        <f t="shared" si="244"/>
        <v>0.41172922260975686</v>
      </c>
      <c r="I1304" s="9">
        <f t="shared" si="245"/>
        <v>4.1088393724290724E-3</v>
      </c>
      <c r="J1304" s="9">
        <f t="shared" si="246"/>
        <v>66368.128571428562</v>
      </c>
      <c r="K1304" s="9">
        <f t="shared" si="237"/>
        <v>67020.384000000005</v>
      </c>
      <c r="L1304" s="9">
        <f t="shared" si="236"/>
        <v>66916.310222222208</v>
      </c>
      <c r="M1304" s="9">
        <f t="shared" si="247"/>
        <v>5.9230593008335634E-3</v>
      </c>
      <c r="N1304" s="9">
        <f t="shared" si="238"/>
        <v>1.0451559566433708E-2</v>
      </c>
    </row>
    <row r="1305" spans="1:14" x14ac:dyDescent="0.35">
      <c r="A1305" s="1">
        <v>44274</v>
      </c>
      <c r="B1305" s="2" t="s">
        <v>1305</v>
      </c>
      <c r="C1305">
        <f t="shared" si="239"/>
        <v>68209.86</v>
      </c>
      <c r="D1305">
        <f t="shared" si="240"/>
        <v>2021</v>
      </c>
      <c r="E1305">
        <f t="shared" si="241"/>
        <v>3</v>
      </c>
      <c r="F1305" t="str">
        <f t="shared" si="243"/>
        <v>March</v>
      </c>
      <c r="G1305">
        <f t="shared" si="242"/>
        <v>19</v>
      </c>
      <c r="H1305" s="7">
        <f t="shared" si="244"/>
        <v>0.95230737398844334</v>
      </c>
      <c r="I1305" s="9">
        <f t="shared" si="245"/>
        <v>9.4780151117107962E-3</v>
      </c>
      <c r="J1305" s="9">
        <f t="shared" si="246"/>
        <v>66789.952857142853</v>
      </c>
      <c r="K1305" s="9">
        <f t="shared" si="237"/>
        <v>67047.621666666688</v>
      </c>
      <c r="L1305" s="9">
        <f t="shared" si="236"/>
        <v>66917.934222222204</v>
      </c>
      <c r="M1305" s="9">
        <f t="shared" si="247"/>
        <v>6.0583759769670007E-3</v>
      </c>
      <c r="N1305" s="9">
        <f t="shared" si="238"/>
        <v>1.0520405250987123E-2</v>
      </c>
    </row>
    <row r="1306" spans="1:14" x14ac:dyDescent="0.35">
      <c r="A1306" s="1">
        <v>44278</v>
      </c>
      <c r="B1306" s="2" t="s">
        <v>1306</v>
      </c>
      <c r="C1306">
        <f t="shared" si="239"/>
        <v>68775.06</v>
      </c>
      <c r="D1306">
        <f t="shared" si="240"/>
        <v>2021</v>
      </c>
      <c r="E1306">
        <f t="shared" si="241"/>
        <v>3</v>
      </c>
      <c r="F1306" t="str">
        <f t="shared" si="243"/>
        <v>March</v>
      </c>
      <c r="G1306">
        <f t="shared" si="242"/>
        <v>23</v>
      </c>
      <c r="H1306" s="7">
        <f t="shared" si="244"/>
        <v>0.82861920549316059</v>
      </c>
      <c r="I1306" s="9">
        <f t="shared" si="245"/>
        <v>8.2520500407415494E-3</v>
      </c>
      <c r="J1306" s="9">
        <f t="shared" si="246"/>
        <v>67283.744285714274</v>
      </c>
      <c r="K1306" s="9">
        <f t="shared" si="237"/>
        <v>67082.12000000001</v>
      </c>
      <c r="L1306" s="9">
        <f t="shared" si="236"/>
        <v>66933.165222222218</v>
      </c>
      <c r="M1306" s="9">
        <f t="shared" si="247"/>
        <v>5.5880152062310747E-3</v>
      </c>
      <c r="N1306" s="9">
        <f t="shared" si="238"/>
        <v>1.0583868805924986E-2</v>
      </c>
    </row>
    <row r="1307" spans="1:14" x14ac:dyDescent="0.35">
      <c r="A1307" s="1">
        <v>44279</v>
      </c>
      <c r="B1307" s="2" t="s">
        <v>1307</v>
      </c>
      <c r="C1307">
        <f t="shared" si="239"/>
        <v>68516.990000000005</v>
      </c>
      <c r="D1307">
        <f t="shared" si="240"/>
        <v>2021</v>
      </c>
      <c r="E1307">
        <f t="shared" si="241"/>
        <v>3</v>
      </c>
      <c r="F1307" t="str">
        <f t="shared" si="243"/>
        <v>March</v>
      </c>
      <c r="G1307">
        <f t="shared" si="242"/>
        <v>24</v>
      </c>
      <c r="H1307" s="7">
        <f t="shared" si="244"/>
        <v>-0.37523776787689089</v>
      </c>
      <c r="I1307" s="9">
        <f t="shared" si="245"/>
        <v>-3.7594355091865113E-3</v>
      </c>
      <c r="J1307" s="9">
        <f t="shared" si="246"/>
        <v>67655.990000000005</v>
      </c>
      <c r="K1307" s="9">
        <f t="shared" si="237"/>
        <v>67113.600333333336</v>
      </c>
      <c r="L1307" s="9">
        <f t="shared" si="236"/>
        <v>66954.926666666652</v>
      </c>
      <c r="M1307" s="9">
        <f t="shared" si="247"/>
        <v>6.8917955094132885E-3</v>
      </c>
      <c r="N1307" s="9">
        <f t="shared" si="238"/>
        <v>1.0598916975529844E-2</v>
      </c>
    </row>
    <row r="1308" spans="1:14" x14ac:dyDescent="0.35">
      <c r="A1308" s="1">
        <v>44280</v>
      </c>
      <c r="B1308" s="2" t="s">
        <v>1308</v>
      </c>
      <c r="C1308">
        <f t="shared" si="239"/>
        <v>68655.960000000006</v>
      </c>
      <c r="D1308">
        <f t="shared" si="240"/>
        <v>2021</v>
      </c>
      <c r="E1308">
        <f t="shared" si="241"/>
        <v>3</v>
      </c>
      <c r="F1308" t="str">
        <f t="shared" si="243"/>
        <v>March</v>
      </c>
      <c r="G1308">
        <f t="shared" si="242"/>
        <v>25</v>
      </c>
      <c r="H1308" s="7">
        <f t="shared" si="244"/>
        <v>0.20282560573662264</v>
      </c>
      <c r="I1308" s="9">
        <f t="shared" si="245"/>
        <v>2.0262019231201914E-3</v>
      </c>
      <c r="J1308" s="9">
        <f t="shared" si="246"/>
        <v>67929.735714285707</v>
      </c>
      <c r="K1308" s="9">
        <f t="shared" si="237"/>
        <v>67158.941000000021</v>
      </c>
      <c r="L1308" s="9">
        <f t="shared" ref="L1308:L1371" si="248">AVERAGE(C1219:C1308)</f>
        <v>66987.496444444434</v>
      </c>
      <c r="M1308" s="9">
        <f t="shared" si="247"/>
        <v>6.2362059828108525E-3</v>
      </c>
      <c r="N1308" s="9">
        <f t="shared" si="238"/>
        <v>1.0566862876443883E-2</v>
      </c>
    </row>
    <row r="1309" spans="1:14" x14ac:dyDescent="0.35">
      <c r="A1309" s="1">
        <v>44281</v>
      </c>
      <c r="B1309" s="2" t="s">
        <v>1309</v>
      </c>
      <c r="C1309">
        <f t="shared" si="239"/>
        <v>68426.17</v>
      </c>
      <c r="D1309">
        <f t="shared" si="240"/>
        <v>2021</v>
      </c>
      <c r="E1309">
        <f t="shared" si="241"/>
        <v>3</v>
      </c>
      <c r="F1309" t="str">
        <f t="shared" si="243"/>
        <v>March</v>
      </c>
      <c r="G1309">
        <f t="shared" si="242"/>
        <v>26</v>
      </c>
      <c r="H1309" s="7">
        <f t="shared" si="244"/>
        <v>-0.33469781793162334</v>
      </c>
      <c r="I1309" s="9">
        <f t="shared" si="245"/>
        <v>-3.3525918401494706E-3</v>
      </c>
      <c r="J1309" s="9">
        <f t="shared" si="246"/>
        <v>68205.689999999988</v>
      </c>
      <c r="K1309" s="9">
        <f t="shared" si="237"/>
        <v>67207.427000000011</v>
      </c>
      <c r="L1309" s="9">
        <f t="shared" si="248"/>
        <v>67027.734555555551</v>
      </c>
      <c r="M1309" s="9">
        <f t="shared" si="247"/>
        <v>6.1691782735520491E-3</v>
      </c>
      <c r="N1309" s="9">
        <f t="shared" si="238"/>
        <v>1.0543806377493636E-2</v>
      </c>
    </row>
    <row r="1310" spans="1:14" x14ac:dyDescent="0.35">
      <c r="A1310" s="1">
        <v>44284</v>
      </c>
      <c r="B1310" s="2" t="s">
        <v>1310</v>
      </c>
      <c r="C1310">
        <f t="shared" si="239"/>
        <v>68271.19</v>
      </c>
      <c r="D1310">
        <f t="shared" si="240"/>
        <v>2021</v>
      </c>
      <c r="E1310">
        <f t="shared" si="241"/>
        <v>3</v>
      </c>
      <c r="F1310" t="str">
        <f t="shared" si="243"/>
        <v>March</v>
      </c>
      <c r="G1310">
        <f t="shared" si="242"/>
        <v>29</v>
      </c>
      <c r="H1310" s="7">
        <f t="shared" si="244"/>
        <v>-0.22649229088811479</v>
      </c>
      <c r="I1310" s="9">
        <f t="shared" si="245"/>
        <v>-2.2674917262879703E-3</v>
      </c>
      <c r="J1310" s="9">
        <f t="shared" si="246"/>
        <v>68345.95</v>
      </c>
      <c r="K1310" s="9">
        <f t="shared" si="237"/>
        <v>67244.941666666666</v>
      </c>
      <c r="L1310" s="9">
        <f t="shared" si="248"/>
        <v>67047.086333333311</v>
      </c>
      <c r="M1310" s="9">
        <f t="shared" si="247"/>
        <v>5.4689405917157678E-3</v>
      </c>
      <c r="N1310" s="9">
        <f t="shared" si="238"/>
        <v>1.0551286425091106E-2</v>
      </c>
    </row>
    <row r="1311" spans="1:14" x14ac:dyDescent="0.35">
      <c r="A1311" s="1">
        <v>44285</v>
      </c>
      <c r="B1311" s="2" t="s">
        <v>1311</v>
      </c>
      <c r="C1311">
        <f t="shared" si="239"/>
        <v>67743.539999999994</v>
      </c>
      <c r="D1311">
        <f t="shared" si="240"/>
        <v>2021</v>
      </c>
      <c r="E1311">
        <f t="shared" si="241"/>
        <v>3</v>
      </c>
      <c r="F1311" t="str">
        <f t="shared" si="243"/>
        <v>March</v>
      </c>
      <c r="G1311">
        <f t="shared" si="242"/>
        <v>30</v>
      </c>
      <c r="H1311" s="7">
        <f t="shared" si="244"/>
        <v>-0.77287359426429902</v>
      </c>
      <c r="I1311" s="9">
        <f t="shared" si="245"/>
        <v>-7.7587574076351338E-3</v>
      </c>
      <c r="J1311" s="9">
        <f t="shared" si="246"/>
        <v>68371.252857142856</v>
      </c>
      <c r="K1311" s="9">
        <f t="shared" si="237"/>
        <v>67275.209000000017</v>
      </c>
      <c r="L1311" s="9">
        <f t="shared" si="248"/>
        <v>67049.363333333327</v>
      </c>
      <c r="M1311" s="9">
        <f t="shared" si="247"/>
        <v>6.4777636603563582E-3</v>
      </c>
      <c r="N1311" s="9">
        <f t="shared" si="238"/>
        <v>1.0619520507982674E-2</v>
      </c>
    </row>
    <row r="1312" spans="1:14" x14ac:dyDescent="0.35">
      <c r="A1312" s="1">
        <v>44286</v>
      </c>
      <c r="B1312" s="2" t="s">
        <v>1312</v>
      </c>
      <c r="C1312">
        <f t="shared" si="239"/>
        <v>68326.789999999994</v>
      </c>
      <c r="D1312">
        <f t="shared" si="240"/>
        <v>2021</v>
      </c>
      <c r="E1312">
        <f t="shared" si="241"/>
        <v>3</v>
      </c>
      <c r="F1312" t="str">
        <f t="shared" si="243"/>
        <v>March</v>
      </c>
      <c r="G1312">
        <f t="shared" si="242"/>
        <v>31</v>
      </c>
      <c r="H1312" s="7">
        <f t="shared" si="244"/>
        <v>0.86096770260308231</v>
      </c>
      <c r="I1312" s="9">
        <f t="shared" si="245"/>
        <v>8.5728251276780392E-3</v>
      </c>
      <c r="J1312" s="9">
        <f t="shared" si="246"/>
        <v>68387.957142857136</v>
      </c>
      <c r="K1312" s="9">
        <f t="shared" ref="K1312:K1375" si="249">AVERAGE(C1283:C1312)</f>
        <v>67282.959333333347</v>
      </c>
      <c r="L1312" s="9">
        <f t="shared" si="248"/>
        <v>67054.132111111103</v>
      </c>
      <c r="M1312" s="9">
        <f t="shared" si="247"/>
        <v>6.2714846650333321E-3</v>
      </c>
      <c r="N1312" s="9">
        <f t="shared" si="238"/>
        <v>1.0173473213666547E-2</v>
      </c>
    </row>
    <row r="1313" spans="1:14" x14ac:dyDescent="0.35">
      <c r="A1313" s="1">
        <v>44287</v>
      </c>
      <c r="B1313" s="2" t="s">
        <v>1313</v>
      </c>
      <c r="C1313">
        <f t="shared" si="239"/>
        <v>68510.75</v>
      </c>
      <c r="D1313">
        <f t="shared" si="240"/>
        <v>2021</v>
      </c>
      <c r="E1313">
        <f t="shared" si="241"/>
        <v>4</v>
      </c>
      <c r="F1313" t="str">
        <f t="shared" si="243"/>
        <v>April</v>
      </c>
      <c r="G1313">
        <f t="shared" si="242"/>
        <v>1</v>
      </c>
      <c r="H1313" s="7">
        <f t="shared" si="244"/>
        <v>0.26923553704192221</v>
      </c>
      <c r="I1313" s="9">
        <f t="shared" si="245"/>
        <v>2.6887374740192449E-3</v>
      </c>
      <c r="J1313" s="9">
        <f t="shared" si="246"/>
        <v>68350.198571428569</v>
      </c>
      <c r="K1313" s="9">
        <f t="shared" si="249"/>
        <v>67276.691666666666</v>
      </c>
      <c r="L1313" s="9">
        <f t="shared" si="248"/>
        <v>67069.937444444426</v>
      </c>
      <c r="M1313" s="9">
        <f t="shared" si="247"/>
        <v>5.3762306118251852E-3</v>
      </c>
      <c r="N1313" s="9">
        <f t="shared" ref="N1313:N1376" si="250">STDEV(I1284:I1313)</f>
        <v>1.0052858849932138E-2</v>
      </c>
    </row>
    <row r="1314" spans="1:14" x14ac:dyDescent="0.35">
      <c r="A1314" s="1">
        <v>44292</v>
      </c>
      <c r="B1314" s="2" t="s">
        <v>1314</v>
      </c>
      <c r="C1314">
        <f t="shared" si="239"/>
        <v>67536.960000000006</v>
      </c>
      <c r="D1314">
        <f t="shared" si="240"/>
        <v>2021</v>
      </c>
      <c r="E1314">
        <f t="shared" si="241"/>
        <v>4</v>
      </c>
      <c r="F1314" t="str">
        <f t="shared" si="243"/>
        <v>April</v>
      </c>
      <c r="G1314">
        <f t="shared" si="242"/>
        <v>6</v>
      </c>
      <c r="H1314" s="7">
        <f t="shared" si="244"/>
        <v>-1.4213681794462818</v>
      </c>
      <c r="I1314" s="9">
        <f t="shared" si="245"/>
        <v>-1.4315663681652553E-2</v>
      </c>
      <c r="J1314" s="9">
        <f t="shared" si="246"/>
        <v>68210.194285714286</v>
      </c>
      <c r="K1314" s="9">
        <f t="shared" si="249"/>
        <v>67267.15400000001</v>
      </c>
      <c r="L1314" s="9">
        <f t="shared" si="248"/>
        <v>67072.644444444435</v>
      </c>
      <c r="M1314" s="9">
        <f t="shared" si="247"/>
        <v>7.4910554839562656E-3</v>
      </c>
      <c r="N1314" s="9">
        <f t="shared" si="250"/>
        <v>1.0121256819264764E-2</v>
      </c>
    </row>
    <row r="1315" spans="1:14" x14ac:dyDescent="0.35">
      <c r="A1315" s="1">
        <v>44293</v>
      </c>
      <c r="B1315" s="2" t="s">
        <v>1315</v>
      </c>
      <c r="C1315">
        <f t="shared" si="239"/>
        <v>66138.05</v>
      </c>
      <c r="D1315">
        <f t="shared" si="240"/>
        <v>2021</v>
      </c>
      <c r="E1315">
        <f t="shared" si="241"/>
        <v>4</v>
      </c>
      <c r="F1315" t="str">
        <f t="shared" si="243"/>
        <v>April</v>
      </c>
      <c r="G1315">
        <f t="shared" si="242"/>
        <v>7</v>
      </c>
      <c r="H1315" s="7">
        <f t="shared" si="244"/>
        <v>-2.0713250936968488</v>
      </c>
      <c r="I1315" s="9">
        <f t="shared" si="245"/>
        <v>-2.0930779376207961E-2</v>
      </c>
      <c r="J1315" s="9">
        <f t="shared" si="246"/>
        <v>67850.492857142846</v>
      </c>
      <c r="K1315" s="9">
        <f t="shared" si="249"/>
        <v>67211.35066666668</v>
      </c>
      <c r="L1315" s="9">
        <f t="shared" si="248"/>
        <v>67069.89422222221</v>
      </c>
      <c r="M1315" s="9">
        <f t="shared" si="247"/>
        <v>1.0007519809045941E-2</v>
      </c>
      <c r="N1315" s="9">
        <f t="shared" si="250"/>
        <v>1.0809628584226022E-2</v>
      </c>
    </row>
    <row r="1316" spans="1:14" x14ac:dyDescent="0.35">
      <c r="A1316" s="1">
        <v>44294</v>
      </c>
      <c r="B1316" s="2" t="s">
        <v>1316</v>
      </c>
      <c r="C1316">
        <f t="shared" si="239"/>
        <v>67483.759999999995</v>
      </c>
      <c r="D1316">
        <f t="shared" si="240"/>
        <v>2021</v>
      </c>
      <c r="E1316">
        <f t="shared" si="241"/>
        <v>4</v>
      </c>
      <c r="F1316" t="str">
        <f t="shared" si="243"/>
        <v>April</v>
      </c>
      <c r="G1316">
        <f t="shared" si="242"/>
        <v>8</v>
      </c>
      <c r="H1316" s="7">
        <f t="shared" si="244"/>
        <v>2.0346986341447804</v>
      </c>
      <c r="I1316" s="9">
        <f t="shared" si="245"/>
        <v>2.0142752134862274E-2</v>
      </c>
      <c r="J1316" s="9">
        <f t="shared" si="246"/>
        <v>67715.862857142856</v>
      </c>
      <c r="K1316" s="9">
        <f t="shared" si="249"/>
        <v>67225.059666666668</v>
      </c>
      <c r="L1316" s="9">
        <f t="shared" si="248"/>
        <v>67094.785999999993</v>
      </c>
      <c r="M1316" s="9">
        <f t="shared" si="247"/>
        <v>1.3948433041461357E-2</v>
      </c>
      <c r="N1316" s="9">
        <f t="shared" si="250"/>
        <v>1.1285669030512863E-2</v>
      </c>
    </row>
    <row r="1317" spans="1:14" x14ac:dyDescent="0.35">
      <c r="A1317" s="1">
        <v>44295</v>
      </c>
      <c r="B1317" s="2" t="s">
        <v>1317</v>
      </c>
      <c r="C1317">
        <f t="shared" si="239"/>
        <v>66200.759999999995</v>
      </c>
      <c r="D1317">
        <f t="shared" si="240"/>
        <v>2021</v>
      </c>
      <c r="E1317">
        <f t="shared" si="241"/>
        <v>4</v>
      </c>
      <c r="F1317" t="str">
        <f t="shared" si="243"/>
        <v>April</v>
      </c>
      <c r="G1317">
        <f t="shared" si="242"/>
        <v>9</v>
      </c>
      <c r="H1317" s="7">
        <f t="shared" si="244"/>
        <v>-1.9011981549338686</v>
      </c>
      <c r="I1317" s="9">
        <f t="shared" si="245"/>
        <v>-1.9195033099249265E-2</v>
      </c>
      <c r="J1317" s="9">
        <f t="shared" si="246"/>
        <v>67420.087142857141</v>
      </c>
      <c r="K1317" s="9">
        <f t="shared" si="249"/>
        <v>67218.751000000004</v>
      </c>
      <c r="L1317" s="9">
        <f t="shared" si="248"/>
        <v>67088.057111111106</v>
      </c>
      <c r="M1317" s="9">
        <f t="shared" si="247"/>
        <v>1.5398335296964593E-2</v>
      </c>
      <c r="N1317" s="9">
        <f t="shared" si="250"/>
        <v>1.1683248318741507E-2</v>
      </c>
    </row>
    <row r="1318" spans="1:14" x14ac:dyDescent="0.35">
      <c r="A1318" s="1">
        <v>44298</v>
      </c>
      <c r="B1318" s="2" t="s">
        <v>1318</v>
      </c>
      <c r="C1318">
        <f t="shared" si="239"/>
        <v>65921.600000000006</v>
      </c>
      <c r="D1318">
        <f t="shared" si="240"/>
        <v>2021</v>
      </c>
      <c r="E1318">
        <f t="shared" si="241"/>
        <v>4</v>
      </c>
      <c r="F1318" t="str">
        <f t="shared" si="243"/>
        <v>April</v>
      </c>
      <c r="G1318">
        <f t="shared" si="242"/>
        <v>12</v>
      </c>
      <c r="H1318" s="7">
        <f t="shared" si="244"/>
        <v>-0.42168700178062757</v>
      </c>
      <c r="I1318" s="9">
        <f t="shared" si="245"/>
        <v>-4.2257860882812318E-3</v>
      </c>
      <c r="J1318" s="9">
        <f t="shared" si="246"/>
        <v>67159.810000000012</v>
      </c>
      <c r="K1318" s="9">
        <f t="shared" si="249"/>
        <v>67176.428666666674</v>
      </c>
      <c r="L1318" s="9">
        <f t="shared" si="248"/>
        <v>67088.855444444431</v>
      </c>
      <c r="M1318" s="9">
        <f t="shared" si="247"/>
        <v>1.5327612514846599E-2</v>
      </c>
      <c r="N1318" s="9">
        <f t="shared" si="250"/>
        <v>1.147790990648313E-2</v>
      </c>
    </row>
    <row r="1319" spans="1:14" x14ac:dyDescent="0.35">
      <c r="A1319" s="1">
        <v>44299</v>
      </c>
      <c r="B1319" s="2" t="s">
        <v>1319</v>
      </c>
      <c r="C1319">
        <f t="shared" si="239"/>
        <v>67362.820000000007</v>
      </c>
      <c r="D1319">
        <f t="shared" si="240"/>
        <v>2021</v>
      </c>
      <c r="E1319">
        <f t="shared" si="241"/>
        <v>4</v>
      </c>
      <c r="F1319" t="str">
        <f t="shared" si="243"/>
        <v>April</v>
      </c>
      <c r="G1319">
        <f t="shared" si="242"/>
        <v>13</v>
      </c>
      <c r="H1319" s="7">
        <f t="shared" si="244"/>
        <v>2.1862636829203188</v>
      </c>
      <c r="I1319" s="9">
        <f t="shared" si="245"/>
        <v>2.1627076514529074E-2</v>
      </c>
      <c r="J1319" s="9">
        <f t="shared" si="246"/>
        <v>67022.100000000006</v>
      </c>
      <c r="K1319" s="9">
        <f t="shared" si="249"/>
        <v>67186.723666666672</v>
      </c>
      <c r="L1319" s="9">
        <f t="shared" si="248"/>
        <v>67102.143888888881</v>
      </c>
      <c r="M1319" s="9">
        <f t="shared" si="247"/>
        <v>1.7706832582013561E-2</v>
      </c>
      <c r="N1319" s="9">
        <f t="shared" si="250"/>
        <v>1.2170489657320109E-2</v>
      </c>
    </row>
    <row r="1320" spans="1:14" x14ac:dyDescent="0.35">
      <c r="A1320" s="1">
        <v>44300</v>
      </c>
      <c r="B1320" s="2" t="s">
        <v>1320</v>
      </c>
      <c r="C1320">
        <f t="shared" si="239"/>
        <v>67464.86</v>
      </c>
      <c r="D1320">
        <f t="shared" si="240"/>
        <v>2021</v>
      </c>
      <c r="E1320">
        <f t="shared" si="241"/>
        <v>4</v>
      </c>
      <c r="F1320" t="str">
        <f t="shared" si="243"/>
        <v>April</v>
      </c>
      <c r="G1320">
        <f t="shared" si="242"/>
        <v>14</v>
      </c>
      <c r="H1320" s="7">
        <f t="shared" si="244"/>
        <v>0.15147821899379152</v>
      </c>
      <c r="I1320" s="9">
        <f t="shared" si="245"/>
        <v>1.5136360646705795E-3</v>
      </c>
      <c r="J1320" s="9">
        <f t="shared" si="246"/>
        <v>66872.687142857147</v>
      </c>
      <c r="K1320" s="9">
        <f t="shared" si="249"/>
        <v>67196.871666666673</v>
      </c>
      <c r="L1320" s="9">
        <f t="shared" si="248"/>
        <v>67114.822777777779</v>
      </c>
      <c r="M1320" s="9">
        <f t="shared" si="247"/>
        <v>1.766015083605944E-2</v>
      </c>
      <c r="N1320" s="9">
        <f t="shared" si="250"/>
        <v>1.2170201963391919E-2</v>
      </c>
    </row>
    <row r="1321" spans="1:14" x14ac:dyDescent="0.35">
      <c r="A1321" s="1">
        <v>44301</v>
      </c>
      <c r="B1321" s="2" t="s">
        <v>1321</v>
      </c>
      <c r="C1321">
        <f t="shared" si="239"/>
        <v>66575.45</v>
      </c>
      <c r="D1321">
        <f t="shared" si="240"/>
        <v>2021</v>
      </c>
      <c r="E1321">
        <f t="shared" si="241"/>
        <v>4</v>
      </c>
      <c r="F1321" t="str">
        <f t="shared" si="243"/>
        <v>April</v>
      </c>
      <c r="G1321">
        <f t="shared" si="242"/>
        <v>15</v>
      </c>
      <c r="H1321" s="7">
        <f t="shared" si="244"/>
        <v>-1.3183307576714804</v>
      </c>
      <c r="I1321" s="9">
        <f t="shared" si="245"/>
        <v>-1.3270978759338468E-2</v>
      </c>
      <c r="J1321" s="9">
        <f t="shared" si="246"/>
        <v>66735.328571428574</v>
      </c>
      <c r="K1321" s="9">
        <f t="shared" si="249"/>
        <v>67147.257000000012</v>
      </c>
      <c r="L1321" s="9">
        <f t="shared" si="248"/>
        <v>67115.041333333327</v>
      </c>
      <c r="M1321" s="9">
        <f t="shared" si="247"/>
        <v>1.7544714702292269E-2</v>
      </c>
      <c r="N1321" s="9">
        <f t="shared" si="250"/>
        <v>1.214459182249251E-2</v>
      </c>
    </row>
    <row r="1322" spans="1:14" x14ac:dyDescent="0.35">
      <c r="A1322" s="1">
        <v>44302</v>
      </c>
      <c r="B1322" s="2" t="s">
        <v>1322</v>
      </c>
      <c r="C1322">
        <f t="shared" si="239"/>
        <v>67110.070000000007</v>
      </c>
      <c r="D1322">
        <f t="shared" si="240"/>
        <v>2021</v>
      </c>
      <c r="E1322">
        <f t="shared" si="241"/>
        <v>4</v>
      </c>
      <c r="F1322" t="str">
        <f t="shared" si="243"/>
        <v>April</v>
      </c>
      <c r="G1322">
        <f t="shared" si="242"/>
        <v>16</v>
      </c>
      <c r="H1322" s="7">
        <f t="shared" si="244"/>
        <v>0.80302874407910119</v>
      </c>
      <c r="I1322" s="9">
        <f t="shared" si="245"/>
        <v>7.9982162620495945E-3</v>
      </c>
      <c r="J1322" s="9">
        <f t="shared" si="246"/>
        <v>66874.188571428575</v>
      </c>
      <c r="K1322" s="9">
        <f t="shared" si="249"/>
        <v>67143.049000000014</v>
      </c>
      <c r="L1322" s="9">
        <f t="shared" si="248"/>
        <v>67124.611666666679</v>
      </c>
      <c r="M1322" s="9">
        <f t="shared" si="247"/>
        <v>1.5661735002047469E-2</v>
      </c>
      <c r="N1322" s="9">
        <f t="shared" si="250"/>
        <v>1.2045512052779359E-2</v>
      </c>
    </row>
    <row r="1323" spans="1:14" x14ac:dyDescent="0.35">
      <c r="A1323" s="1">
        <v>44305</v>
      </c>
      <c r="B1323" s="2" t="s">
        <v>1323</v>
      </c>
      <c r="C1323">
        <f t="shared" si="239"/>
        <v>67227.06</v>
      </c>
      <c r="D1323">
        <f t="shared" si="240"/>
        <v>2021</v>
      </c>
      <c r="E1323">
        <f t="shared" si="241"/>
        <v>4</v>
      </c>
      <c r="F1323" t="str">
        <f t="shared" si="243"/>
        <v>April</v>
      </c>
      <c r="G1323">
        <f t="shared" si="242"/>
        <v>19</v>
      </c>
      <c r="H1323" s="7">
        <f t="shared" si="244"/>
        <v>0.17432555203710959</v>
      </c>
      <c r="I1323" s="9">
        <f t="shared" si="245"/>
        <v>1.7417378140437746E-3</v>
      </c>
      <c r="J1323" s="9">
        <f t="shared" si="246"/>
        <v>66837.517142857148</v>
      </c>
      <c r="K1323" s="9">
        <f t="shared" si="249"/>
        <v>67167.774666666679</v>
      </c>
      <c r="L1323" s="9">
        <f t="shared" si="248"/>
        <v>67132.1488888889</v>
      </c>
      <c r="M1323" s="9">
        <f t="shared" si="247"/>
        <v>1.3523911708642851E-2</v>
      </c>
      <c r="N1323" s="9">
        <f t="shared" si="250"/>
        <v>1.1862154680942977E-2</v>
      </c>
    </row>
    <row r="1324" spans="1:14" x14ac:dyDescent="0.35">
      <c r="A1324" s="1">
        <v>44306</v>
      </c>
      <c r="B1324" s="2" t="s">
        <v>1324</v>
      </c>
      <c r="C1324">
        <f t="shared" si="239"/>
        <v>67124.83</v>
      </c>
      <c r="D1324">
        <f t="shared" si="240"/>
        <v>2021</v>
      </c>
      <c r="E1324">
        <f t="shared" si="241"/>
        <v>4</v>
      </c>
      <c r="F1324" t="str">
        <f t="shared" si="243"/>
        <v>April</v>
      </c>
      <c r="G1324">
        <f t="shared" si="242"/>
        <v>20</v>
      </c>
      <c r="H1324" s="7">
        <f t="shared" si="244"/>
        <v>-0.15206674217197053</v>
      </c>
      <c r="I1324" s="9">
        <f t="shared" si="245"/>
        <v>-1.5218248099073016E-3</v>
      </c>
      <c r="J1324" s="9">
        <f t="shared" si="246"/>
        <v>66969.527142857158</v>
      </c>
      <c r="K1324" s="9">
        <f t="shared" si="249"/>
        <v>67162.213666666692</v>
      </c>
      <c r="L1324" s="9">
        <f t="shared" si="248"/>
        <v>67146.765333333344</v>
      </c>
      <c r="M1324" s="9">
        <f t="shared" si="247"/>
        <v>1.0846410444691651E-2</v>
      </c>
      <c r="N1324" s="9">
        <f t="shared" si="250"/>
        <v>1.1658188618368127E-2</v>
      </c>
    </row>
    <row r="1325" spans="1:14" x14ac:dyDescent="0.35">
      <c r="A1325" s="1">
        <v>44307</v>
      </c>
      <c r="B1325" s="2" t="s">
        <v>1325</v>
      </c>
      <c r="C1325">
        <f t="shared" si="239"/>
        <v>66132.240000000005</v>
      </c>
      <c r="D1325">
        <f t="shared" si="240"/>
        <v>2021</v>
      </c>
      <c r="E1325">
        <f t="shared" si="241"/>
        <v>4</v>
      </c>
      <c r="F1325" t="str">
        <f t="shared" si="243"/>
        <v>April</v>
      </c>
      <c r="G1325">
        <f t="shared" si="242"/>
        <v>21</v>
      </c>
      <c r="H1325" s="7">
        <f t="shared" si="244"/>
        <v>-1.4787225531893287</v>
      </c>
      <c r="I1325" s="9">
        <f t="shared" si="245"/>
        <v>-1.4897646449428375E-2</v>
      </c>
      <c r="J1325" s="9">
        <f t="shared" si="246"/>
        <v>66999.618571428568</v>
      </c>
      <c r="K1325" s="9">
        <f t="shared" si="249"/>
        <v>67130.309333333353</v>
      </c>
      <c r="L1325" s="9">
        <f t="shared" si="248"/>
        <v>67145.840555555566</v>
      </c>
      <c r="M1325" s="9">
        <f t="shared" si="247"/>
        <v>1.2489645166944242E-2</v>
      </c>
      <c r="N1325" s="9">
        <f t="shared" si="250"/>
        <v>1.1959249732694164E-2</v>
      </c>
    </row>
    <row r="1326" spans="1:14" x14ac:dyDescent="0.35">
      <c r="A1326" s="1">
        <v>44308</v>
      </c>
      <c r="B1326" s="2" t="s">
        <v>1326</v>
      </c>
      <c r="C1326">
        <f t="shared" si="239"/>
        <v>65882.720000000001</v>
      </c>
      <c r="D1326">
        <f t="shared" si="240"/>
        <v>2021</v>
      </c>
      <c r="E1326">
        <f t="shared" si="241"/>
        <v>4</v>
      </c>
      <c r="F1326" t="str">
        <f t="shared" si="243"/>
        <v>April</v>
      </c>
      <c r="G1326">
        <f t="shared" si="242"/>
        <v>22</v>
      </c>
      <c r="H1326" s="7">
        <f t="shared" si="244"/>
        <v>-0.37730462479420634</v>
      </c>
      <c r="I1326" s="9">
        <f t="shared" si="245"/>
        <v>-3.7801821419637576E-3</v>
      </c>
      <c r="J1326" s="9">
        <f t="shared" si="246"/>
        <v>66788.17571428571</v>
      </c>
      <c r="K1326" s="9">
        <f t="shared" si="249"/>
        <v>67098.60033333335</v>
      </c>
      <c r="L1326" s="9">
        <f t="shared" si="248"/>
        <v>67141.60977777779</v>
      </c>
      <c r="M1326" s="9">
        <f t="shared" si="247"/>
        <v>8.3010725410620108E-3</v>
      </c>
      <c r="N1326" s="9">
        <f t="shared" si="250"/>
        <v>1.1958927785013304E-2</v>
      </c>
    </row>
    <row r="1327" spans="1:14" x14ac:dyDescent="0.35">
      <c r="A1327" s="1">
        <v>44309</v>
      </c>
      <c r="B1327" s="2" t="s">
        <v>1327</v>
      </c>
      <c r="C1327">
        <f t="shared" si="239"/>
        <v>66150.820000000007</v>
      </c>
      <c r="D1327">
        <f t="shared" si="240"/>
        <v>2021</v>
      </c>
      <c r="E1327">
        <f t="shared" si="241"/>
        <v>4</v>
      </c>
      <c r="F1327" t="str">
        <f t="shared" si="243"/>
        <v>April</v>
      </c>
      <c r="G1327">
        <f t="shared" si="242"/>
        <v>23</v>
      </c>
      <c r="H1327" s="7">
        <f t="shared" si="244"/>
        <v>0.40693523278942612</v>
      </c>
      <c r="I1327" s="9">
        <f t="shared" si="245"/>
        <v>4.0610949076978773E-3</v>
      </c>
      <c r="J1327" s="9">
        <f t="shared" si="246"/>
        <v>66600.455714285708</v>
      </c>
      <c r="K1327" s="9">
        <f t="shared" si="249"/>
        <v>67144.173666666684</v>
      </c>
      <c r="L1327" s="9">
        <f t="shared" si="248"/>
        <v>67145.289666666678</v>
      </c>
      <c r="M1327" s="9">
        <f t="shared" si="247"/>
        <v>8.5915823445535493E-3</v>
      </c>
      <c r="N1327" s="9">
        <f t="shared" si="250"/>
        <v>1.0480497610678772E-2</v>
      </c>
    </row>
    <row r="1328" spans="1:14" x14ac:dyDescent="0.35">
      <c r="A1328" s="1">
        <v>44312</v>
      </c>
      <c r="B1328" s="2" t="s">
        <v>1328</v>
      </c>
      <c r="C1328">
        <f t="shared" si="239"/>
        <v>65162.69</v>
      </c>
      <c r="D1328">
        <f t="shared" si="240"/>
        <v>2021</v>
      </c>
      <c r="E1328">
        <f t="shared" si="241"/>
        <v>4</v>
      </c>
      <c r="F1328" t="str">
        <f t="shared" si="243"/>
        <v>April</v>
      </c>
      <c r="G1328">
        <f t="shared" si="242"/>
        <v>26</v>
      </c>
      <c r="H1328" s="7">
        <f t="shared" si="244"/>
        <v>-1.4937532142458771</v>
      </c>
      <c r="I1328" s="9">
        <f t="shared" si="245"/>
        <v>-1.5050220676245172E-2</v>
      </c>
      <c r="J1328" s="9">
        <f t="shared" si="246"/>
        <v>66398.63285714286</v>
      </c>
      <c r="K1328" s="9">
        <f t="shared" si="249"/>
        <v>67141.027000000016</v>
      </c>
      <c r="L1328" s="9">
        <f t="shared" si="248"/>
        <v>67140.967000000019</v>
      </c>
      <c r="M1328" s="9">
        <f t="shared" si="247"/>
        <v>8.9706058647047726E-3</v>
      </c>
      <c r="N1328" s="9">
        <f t="shared" si="250"/>
        <v>1.0785264447780303E-2</v>
      </c>
    </row>
    <row r="1329" spans="1:14" x14ac:dyDescent="0.35">
      <c r="A1329" s="1">
        <v>44314</v>
      </c>
      <c r="B1329" s="2" t="s">
        <v>1329</v>
      </c>
      <c r="C1329">
        <f t="shared" si="239"/>
        <v>65059.16</v>
      </c>
      <c r="D1329">
        <f t="shared" si="240"/>
        <v>2021</v>
      </c>
      <c r="E1329">
        <f t="shared" si="241"/>
        <v>4</v>
      </c>
      <c r="F1329" t="str">
        <f t="shared" si="243"/>
        <v>April</v>
      </c>
      <c r="G1329">
        <f t="shared" si="242"/>
        <v>28</v>
      </c>
      <c r="H1329" s="7">
        <f t="shared" si="244"/>
        <v>-0.15887926050934795</v>
      </c>
      <c r="I1329" s="9">
        <f t="shared" si="245"/>
        <v>-1.590056074502385E-3</v>
      </c>
      <c r="J1329" s="9">
        <f t="shared" si="246"/>
        <v>66105.645714285711</v>
      </c>
      <c r="K1329" s="9">
        <f t="shared" si="249"/>
        <v>67132.381666666683</v>
      </c>
      <c r="L1329" s="9">
        <f t="shared" si="248"/>
        <v>67135.363444444461</v>
      </c>
      <c r="M1329" s="9">
        <f t="shared" si="247"/>
        <v>7.6321105924055327E-3</v>
      </c>
      <c r="N1329" s="9">
        <f t="shared" si="250"/>
        <v>1.0787158912739825E-2</v>
      </c>
    </row>
    <row r="1330" spans="1:14" x14ac:dyDescent="0.35">
      <c r="A1330" s="1">
        <v>44315</v>
      </c>
      <c r="B1330" s="2" t="s">
        <v>1330</v>
      </c>
      <c r="C1330">
        <f t="shared" si="239"/>
        <v>64289.48</v>
      </c>
      <c r="D1330">
        <f t="shared" si="240"/>
        <v>2021</v>
      </c>
      <c r="E1330">
        <f t="shared" si="241"/>
        <v>4</v>
      </c>
      <c r="F1330" t="str">
        <f t="shared" si="243"/>
        <v>April</v>
      </c>
      <c r="G1330">
        <f t="shared" si="242"/>
        <v>29</v>
      </c>
      <c r="H1330" s="7">
        <f t="shared" si="244"/>
        <v>-1.1830463227622372</v>
      </c>
      <c r="I1330" s="9">
        <f t="shared" si="245"/>
        <v>-1.1901000031706573E-2</v>
      </c>
      <c r="J1330" s="9">
        <f t="shared" si="246"/>
        <v>65685.991428571419</v>
      </c>
      <c r="K1330" s="9">
        <f t="shared" si="249"/>
        <v>67078.322000000015</v>
      </c>
      <c r="L1330" s="9">
        <f t="shared" si="248"/>
        <v>67120.410666666692</v>
      </c>
      <c r="M1330" s="9">
        <f t="shared" si="247"/>
        <v>7.5335400876177508E-3</v>
      </c>
      <c r="N1330" s="9">
        <f t="shared" si="250"/>
        <v>1.0850684256615957E-2</v>
      </c>
    </row>
    <row r="1331" spans="1:14" x14ac:dyDescent="0.35">
      <c r="A1331" s="1">
        <v>44316</v>
      </c>
      <c r="B1331" s="2" t="s">
        <v>1331</v>
      </c>
      <c r="C1331">
        <f t="shared" si="239"/>
        <v>63786.21</v>
      </c>
      <c r="D1331">
        <f t="shared" si="240"/>
        <v>2021</v>
      </c>
      <c r="E1331">
        <f t="shared" si="241"/>
        <v>4</v>
      </c>
      <c r="F1331" t="str">
        <f t="shared" si="243"/>
        <v>April</v>
      </c>
      <c r="G1331">
        <f t="shared" si="242"/>
        <v>30</v>
      </c>
      <c r="H1331" s="7">
        <f t="shared" si="244"/>
        <v>-0.78281858867112319</v>
      </c>
      <c r="I1331" s="9">
        <f t="shared" si="245"/>
        <v>-7.8589869836259152E-3</v>
      </c>
      <c r="J1331" s="9">
        <f t="shared" si="246"/>
        <v>65209.045714285712</v>
      </c>
      <c r="K1331" s="9">
        <f t="shared" si="249"/>
        <v>66979.871000000014</v>
      </c>
      <c r="L1331" s="9">
        <f t="shared" si="248"/>
        <v>67089.307666666689</v>
      </c>
      <c r="M1331" s="9">
        <f t="shared" si="247"/>
        <v>7.2265470145971593E-3</v>
      </c>
      <c r="N1331" s="9">
        <f t="shared" si="250"/>
        <v>1.0622868451242244E-2</v>
      </c>
    </row>
    <row r="1332" spans="1:14" x14ac:dyDescent="0.35">
      <c r="A1332" s="1">
        <v>44319</v>
      </c>
      <c r="B1332" s="2" t="s">
        <v>1332</v>
      </c>
      <c r="C1332">
        <f t="shared" si="239"/>
        <v>63010.61</v>
      </c>
      <c r="D1332">
        <f t="shared" si="240"/>
        <v>2021</v>
      </c>
      <c r="E1332">
        <f t="shared" si="241"/>
        <v>5</v>
      </c>
      <c r="F1332" t="str">
        <f t="shared" si="243"/>
        <v>May</v>
      </c>
      <c r="G1332">
        <f t="shared" si="242"/>
        <v>3</v>
      </c>
      <c r="H1332" s="7">
        <f t="shared" si="244"/>
        <v>-1.2159367988786269</v>
      </c>
      <c r="I1332" s="9">
        <f t="shared" si="245"/>
        <v>-1.2233897877474042E-2</v>
      </c>
      <c r="J1332" s="9">
        <f t="shared" si="246"/>
        <v>64763.098571428571</v>
      </c>
      <c r="K1332" s="9">
        <f t="shared" si="249"/>
        <v>66863.741666666683</v>
      </c>
      <c r="L1332" s="9">
        <f t="shared" si="248"/>
        <v>67041.530333333358</v>
      </c>
      <c r="M1332" s="9">
        <f t="shared" si="247"/>
        <v>6.81762648656941E-3</v>
      </c>
      <c r="N1332" s="9">
        <f t="shared" si="250"/>
        <v>1.0796525561311799E-2</v>
      </c>
    </row>
    <row r="1333" spans="1:14" x14ac:dyDescent="0.35">
      <c r="A1333" s="1">
        <v>44320</v>
      </c>
      <c r="B1333" s="2" t="s">
        <v>1333</v>
      </c>
      <c r="C1333">
        <f t="shared" si="239"/>
        <v>62733.65</v>
      </c>
      <c r="D1333">
        <f t="shared" si="240"/>
        <v>2021</v>
      </c>
      <c r="E1333">
        <f t="shared" si="241"/>
        <v>5</v>
      </c>
      <c r="F1333" t="str">
        <f t="shared" si="243"/>
        <v>May</v>
      </c>
      <c r="G1333">
        <f t="shared" si="242"/>
        <v>4</v>
      </c>
      <c r="H1333" s="7">
        <f t="shared" si="244"/>
        <v>-0.43954502265570694</v>
      </c>
      <c r="I1333" s="9">
        <f t="shared" si="245"/>
        <v>-4.4051386182230173E-3</v>
      </c>
      <c r="J1333" s="9">
        <f t="shared" si="246"/>
        <v>64313.231428571438</v>
      </c>
      <c r="K1333" s="9">
        <f t="shared" si="249"/>
        <v>66711.884333333335</v>
      </c>
      <c r="L1333" s="9">
        <f t="shared" si="248"/>
        <v>66983.665555555592</v>
      </c>
      <c r="M1333" s="9">
        <f t="shared" si="247"/>
        <v>6.7737969589143146E-3</v>
      </c>
      <c r="N1333" s="9">
        <f t="shared" si="250"/>
        <v>1.0490220861418962E-2</v>
      </c>
    </row>
    <row r="1334" spans="1:14" x14ac:dyDescent="0.35">
      <c r="A1334" s="1">
        <v>44321</v>
      </c>
      <c r="B1334" s="2" t="s">
        <v>1334</v>
      </c>
      <c r="C1334">
        <f t="shared" si="239"/>
        <v>62796.65</v>
      </c>
      <c r="D1334">
        <f t="shared" si="240"/>
        <v>2021</v>
      </c>
      <c r="E1334">
        <f t="shared" si="241"/>
        <v>5</v>
      </c>
      <c r="F1334" t="str">
        <f t="shared" si="243"/>
        <v>May</v>
      </c>
      <c r="G1334">
        <f t="shared" si="242"/>
        <v>5</v>
      </c>
      <c r="H1334" s="7">
        <f t="shared" si="244"/>
        <v>0.10042457277712998</v>
      </c>
      <c r="I1334" s="9">
        <f t="shared" si="245"/>
        <v>1.0037418103734175E-3</v>
      </c>
      <c r="J1334" s="9">
        <f t="shared" si="246"/>
        <v>63834.064285714296</v>
      </c>
      <c r="K1334" s="9">
        <f t="shared" si="249"/>
        <v>66552.892000000007</v>
      </c>
      <c r="L1334" s="9">
        <f t="shared" si="248"/>
        <v>66928.918222222259</v>
      </c>
      <c r="M1334" s="9">
        <f t="shared" si="247"/>
        <v>5.9958556259618774E-3</v>
      </c>
      <c r="N1334" s="9">
        <f t="shared" si="250"/>
        <v>1.0439627393254193E-2</v>
      </c>
    </row>
    <row r="1335" spans="1:14" x14ac:dyDescent="0.35">
      <c r="A1335" s="1">
        <v>44322</v>
      </c>
      <c r="B1335" s="2" t="s">
        <v>1335</v>
      </c>
      <c r="C1335">
        <f t="shared" si="239"/>
        <v>62472.1</v>
      </c>
      <c r="D1335">
        <f t="shared" si="240"/>
        <v>2021</v>
      </c>
      <c r="E1335">
        <f t="shared" si="241"/>
        <v>5</v>
      </c>
      <c r="F1335" t="str">
        <f t="shared" si="243"/>
        <v>May</v>
      </c>
      <c r="G1335">
        <f t="shared" si="242"/>
        <v>6</v>
      </c>
      <c r="H1335" s="7">
        <f t="shared" si="244"/>
        <v>-0.51682693264688939</v>
      </c>
      <c r="I1335" s="9">
        <f t="shared" si="245"/>
        <v>-5.1816710260552965E-3</v>
      </c>
      <c r="J1335" s="9">
        <f t="shared" si="246"/>
        <v>63449.694285714293</v>
      </c>
      <c r="K1335" s="9">
        <f t="shared" si="249"/>
        <v>66361.633333333331</v>
      </c>
      <c r="L1335" s="9">
        <f t="shared" si="248"/>
        <v>66872.576666666704</v>
      </c>
      <c r="M1335" s="9">
        <f t="shared" si="247"/>
        <v>4.9807693862250844E-3</v>
      </c>
      <c r="N1335" s="9">
        <f t="shared" si="250"/>
        <v>1.0202930173091497E-2</v>
      </c>
    </row>
    <row r="1336" spans="1:14" x14ac:dyDescent="0.35">
      <c r="A1336" s="1">
        <v>44323</v>
      </c>
      <c r="B1336" s="2" t="s">
        <v>1336</v>
      </c>
      <c r="C1336">
        <f t="shared" si="239"/>
        <v>63206.720000000001</v>
      </c>
      <c r="D1336">
        <f t="shared" si="240"/>
        <v>2021</v>
      </c>
      <c r="E1336">
        <f t="shared" si="241"/>
        <v>5</v>
      </c>
      <c r="F1336" t="str">
        <f t="shared" si="243"/>
        <v>May</v>
      </c>
      <c r="G1336">
        <f t="shared" si="242"/>
        <v>7</v>
      </c>
      <c r="H1336" s="7">
        <f t="shared" si="244"/>
        <v>1.1759169293172513</v>
      </c>
      <c r="I1336" s="9">
        <f t="shared" si="245"/>
        <v>1.1690567537982144E-2</v>
      </c>
      <c r="J1336" s="9">
        <f t="shared" si="246"/>
        <v>63185.05999999999</v>
      </c>
      <c r="K1336" s="9">
        <f t="shared" si="249"/>
        <v>66176.021999999997</v>
      </c>
      <c r="L1336" s="9">
        <f t="shared" si="248"/>
        <v>66822.857222222257</v>
      </c>
      <c r="M1336" s="9">
        <f t="shared" si="247"/>
        <v>8.3446014680696387E-3</v>
      </c>
      <c r="N1336" s="9">
        <f t="shared" si="250"/>
        <v>1.0351104036154087E-2</v>
      </c>
    </row>
    <row r="1337" spans="1:14" x14ac:dyDescent="0.35">
      <c r="A1337" s="1">
        <v>44326</v>
      </c>
      <c r="B1337" s="2" t="s">
        <v>1337</v>
      </c>
      <c r="C1337">
        <f t="shared" si="239"/>
        <v>62784.52</v>
      </c>
      <c r="D1337">
        <f t="shared" si="240"/>
        <v>2021</v>
      </c>
      <c r="E1337">
        <f t="shared" si="241"/>
        <v>5</v>
      </c>
      <c r="F1337" t="str">
        <f t="shared" si="243"/>
        <v>May</v>
      </c>
      <c r="G1337">
        <f t="shared" si="242"/>
        <v>10</v>
      </c>
      <c r="H1337" s="7">
        <f t="shared" si="244"/>
        <v>-0.66796695034958997</v>
      </c>
      <c r="I1337" s="9">
        <f t="shared" si="245"/>
        <v>-6.7020783406632287E-3</v>
      </c>
      <c r="J1337" s="9">
        <f t="shared" si="246"/>
        <v>62970.065714285709</v>
      </c>
      <c r="K1337" s="9">
        <f t="shared" si="249"/>
        <v>65984.939666666658</v>
      </c>
      <c r="L1337" s="9">
        <f t="shared" si="248"/>
        <v>66768.853666666691</v>
      </c>
      <c r="M1337" s="9">
        <f t="shared" si="247"/>
        <v>7.747311949166941E-3</v>
      </c>
      <c r="N1337" s="9">
        <f t="shared" si="250"/>
        <v>1.0374284992964486E-2</v>
      </c>
    </row>
    <row r="1338" spans="1:14" x14ac:dyDescent="0.35">
      <c r="A1338" s="1">
        <v>44327</v>
      </c>
      <c r="B1338" s="2" t="s">
        <v>1338</v>
      </c>
      <c r="C1338">
        <f t="shared" si="239"/>
        <v>63923.63</v>
      </c>
      <c r="D1338">
        <f t="shared" si="240"/>
        <v>2021</v>
      </c>
      <c r="E1338">
        <f t="shared" si="241"/>
        <v>5</v>
      </c>
      <c r="F1338" t="str">
        <f t="shared" si="243"/>
        <v>May</v>
      </c>
      <c r="G1338">
        <f t="shared" si="242"/>
        <v>11</v>
      </c>
      <c r="H1338" s="7">
        <f t="shared" si="244"/>
        <v>1.8143166500277468</v>
      </c>
      <c r="I1338" s="9">
        <f t="shared" si="245"/>
        <v>1.7980543309181491E-2</v>
      </c>
      <c r="J1338" s="9">
        <f t="shared" si="246"/>
        <v>62989.697142857141</v>
      </c>
      <c r="K1338" s="9">
        <f t="shared" si="249"/>
        <v>65827.195333333322</v>
      </c>
      <c r="L1338" s="9">
        <f t="shared" si="248"/>
        <v>66728.278222222245</v>
      </c>
      <c r="M1338" s="9">
        <f t="shared" si="247"/>
        <v>1.0810151475568597E-2</v>
      </c>
      <c r="N1338" s="9">
        <f t="shared" si="250"/>
        <v>1.1024721043976695E-2</v>
      </c>
    </row>
    <row r="1339" spans="1:14" x14ac:dyDescent="0.35">
      <c r="A1339" s="1">
        <v>44328</v>
      </c>
      <c r="B1339" s="2" t="s">
        <v>1339</v>
      </c>
      <c r="C1339">
        <f t="shared" si="239"/>
        <v>64559.85</v>
      </c>
      <c r="D1339">
        <f t="shared" si="240"/>
        <v>2021</v>
      </c>
      <c r="E1339">
        <f t="shared" si="241"/>
        <v>5</v>
      </c>
      <c r="F1339" t="str">
        <f t="shared" si="243"/>
        <v>May</v>
      </c>
      <c r="G1339">
        <f t="shared" si="242"/>
        <v>12</v>
      </c>
      <c r="H1339" s="7">
        <f t="shared" si="244"/>
        <v>0.99528140063385195</v>
      </c>
      <c r="I1339" s="9">
        <f t="shared" si="245"/>
        <v>9.9036109562052645E-3</v>
      </c>
      <c r="J1339" s="9">
        <f t="shared" si="246"/>
        <v>63211.017142857141</v>
      </c>
      <c r="K1339" s="9">
        <f t="shared" si="249"/>
        <v>65698.317999999999</v>
      </c>
      <c r="L1339" s="9">
        <f t="shared" si="248"/>
        <v>66691.998555555561</v>
      </c>
      <c r="M1339" s="9">
        <f t="shared" si="247"/>
        <v>9.7120867540575195E-3</v>
      </c>
      <c r="N1339" s="9">
        <f t="shared" si="250"/>
        <v>1.1247819730932432E-2</v>
      </c>
    </row>
    <row r="1340" spans="1:14" x14ac:dyDescent="0.35">
      <c r="A1340" s="1">
        <v>44329</v>
      </c>
      <c r="B1340" s="2" t="s">
        <v>1340</v>
      </c>
      <c r="C1340">
        <f t="shared" si="239"/>
        <v>63987.92</v>
      </c>
      <c r="D1340">
        <f t="shared" si="240"/>
        <v>2021</v>
      </c>
      <c r="E1340">
        <f t="shared" si="241"/>
        <v>5</v>
      </c>
      <c r="F1340" t="str">
        <f t="shared" si="243"/>
        <v>May</v>
      </c>
      <c r="G1340">
        <f t="shared" si="242"/>
        <v>13</v>
      </c>
      <c r="H1340" s="7">
        <f t="shared" si="244"/>
        <v>-0.88589115371240834</v>
      </c>
      <c r="I1340" s="9">
        <f t="shared" si="245"/>
        <v>-8.8983849947710369E-3</v>
      </c>
      <c r="J1340" s="9">
        <f t="shared" si="246"/>
        <v>63390.198571428562</v>
      </c>
      <c r="K1340" s="9">
        <f t="shared" si="249"/>
        <v>65555.542333333331</v>
      </c>
      <c r="L1340" s="9">
        <f t="shared" si="248"/>
        <v>66649.737888888907</v>
      </c>
      <c r="M1340" s="9">
        <f t="shared" si="247"/>
        <v>1.0440483614300153E-2</v>
      </c>
      <c r="N1340" s="9">
        <f t="shared" si="250"/>
        <v>1.1319426036115665E-2</v>
      </c>
    </row>
    <row r="1341" spans="1:14" x14ac:dyDescent="0.35">
      <c r="A1341" s="1">
        <v>44330</v>
      </c>
      <c r="B1341" s="2" t="s">
        <v>1341</v>
      </c>
      <c r="C1341">
        <f t="shared" si="239"/>
        <v>64174.879999999997</v>
      </c>
      <c r="D1341">
        <f t="shared" si="240"/>
        <v>2021</v>
      </c>
      <c r="E1341">
        <f t="shared" si="241"/>
        <v>5</v>
      </c>
      <c r="F1341" t="str">
        <f t="shared" si="243"/>
        <v>May</v>
      </c>
      <c r="G1341">
        <f t="shared" si="242"/>
        <v>14</v>
      </c>
      <c r="H1341" s="7">
        <f t="shared" si="244"/>
        <v>0.292180149003123</v>
      </c>
      <c r="I1341" s="9">
        <f t="shared" si="245"/>
        <v>2.9175413242793625E-3</v>
      </c>
      <c r="J1341" s="9">
        <f t="shared" si="246"/>
        <v>63587.088571428569</v>
      </c>
      <c r="K1341" s="9">
        <f t="shared" si="249"/>
        <v>65436.586999999978</v>
      </c>
      <c r="L1341" s="9">
        <f t="shared" si="248"/>
        <v>66595.580555555571</v>
      </c>
      <c r="M1341" s="9">
        <f t="shared" si="247"/>
        <v>1.0409762049953112E-2</v>
      </c>
      <c r="N1341" s="9">
        <f t="shared" si="250"/>
        <v>1.1305146937048387E-2</v>
      </c>
    </row>
    <row r="1342" spans="1:14" x14ac:dyDescent="0.35">
      <c r="A1342" s="1">
        <v>44333</v>
      </c>
      <c r="B1342" s="2" t="s">
        <v>1342</v>
      </c>
      <c r="C1342">
        <f t="shared" si="239"/>
        <v>64108.51</v>
      </c>
      <c r="D1342">
        <f t="shared" si="240"/>
        <v>2021</v>
      </c>
      <c r="E1342">
        <f t="shared" si="241"/>
        <v>5</v>
      </c>
      <c r="F1342" t="str">
        <f t="shared" si="243"/>
        <v>May</v>
      </c>
      <c r="G1342">
        <f t="shared" si="242"/>
        <v>17</v>
      </c>
      <c r="H1342" s="7">
        <f t="shared" si="244"/>
        <v>-0.10342052840612299</v>
      </c>
      <c r="I1342" s="9">
        <f t="shared" si="245"/>
        <v>-1.0347404433542714E-3</v>
      </c>
      <c r="J1342" s="9">
        <f t="shared" si="246"/>
        <v>63820.861428571436</v>
      </c>
      <c r="K1342" s="9">
        <f t="shared" si="249"/>
        <v>65295.977666666651</v>
      </c>
      <c r="L1342" s="9">
        <f t="shared" si="248"/>
        <v>66542.087777777808</v>
      </c>
      <c r="M1342" s="9">
        <f t="shared" si="247"/>
        <v>9.9684515614103537E-3</v>
      </c>
      <c r="N1342" s="9">
        <f t="shared" si="250"/>
        <v>1.1135872835187445E-2</v>
      </c>
    </row>
    <row r="1343" spans="1:14" x14ac:dyDescent="0.35">
      <c r="A1343" s="1">
        <v>44334</v>
      </c>
      <c r="B1343" s="2" t="s">
        <v>1343</v>
      </c>
      <c r="C1343">
        <f t="shared" si="239"/>
        <v>63603.26</v>
      </c>
      <c r="D1343">
        <f t="shared" si="240"/>
        <v>2021</v>
      </c>
      <c r="E1343">
        <f t="shared" si="241"/>
        <v>5</v>
      </c>
      <c r="F1343" t="str">
        <f t="shared" si="243"/>
        <v>May</v>
      </c>
      <c r="G1343">
        <f t="shared" si="242"/>
        <v>18</v>
      </c>
      <c r="H1343" s="7">
        <f t="shared" si="244"/>
        <v>-0.7881168974290621</v>
      </c>
      <c r="I1343" s="9">
        <f t="shared" si="245"/>
        <v>-7.9123895310015038E-3</v>
      </c>
      <c r="J1343" s="9">
        <f t="shared" si="246"/>
        <v>63877.51</v>
      </c>
      <c r="K1343" s="9">
        <f t="shared" si="249"/>
        <v>65132.394666666652</v>
      </c>
      <c r="L1343" s="9">
        <f t="shared" si="248"/>
        <v>66493.634666666694</v>
      </c>
      <c r="M1343" s="9">
        <f t="shared" si="247"/>
        <v>1.0100177518838722E-2</v>
      </c>
      <c r="N1343" s="9">
        <f t="shared" si="250"/>
        <v>1.1146076671766572E-2</v>
      </c>
    </row>
    <row r="1344" spans="1:14" x14ac:dyDescent="0.35">
      <c r="A1344" s="1">
        <v>44335</v>
      </c>
      <c r="B1344" s="2" t="s">
        <v>1344</v>
      </c>
      <c r="C1344">
        <f t="shared" si="239"/>
        <v>63713.87</v>
      </c>
      <c r="D1344">
        <f t="shared" si="240"/>
        <v>2021</v>
      </c>
      <c r="E1344">
        <f t="shared" si="241"/>
        <v>5</v>
      </c>
      <c r="F1344" t="str">
        <f t="shared" si="243"/>
        <v>May</v>
      </c>
      <c r="G1344">
        <f t="shared" si="242"/>
        <v>19</v>
      </c>
      <c r="H1344" s="7">
        <f t="shared" si="244"/>
        <v>0.17390618028069724</v>
      </c>
      <c r="I1344" s="9">
        <f t="shared" si="245"/>
        <v>1.7375513857156083E-3</v>
      </c>
      <c r="J1344" s="9">
        <f t="shared" si="246"/>
        <v>64010.27428571428</v>
      </c>
      <c r="K1344" s="9">
        <f t="shared" si="249"/>
        <v>65004.958333333336</v>
      </c>
      <c r="L1344" s="9">
        <f t="shared" si="248"/>
        <v>66450.957000000024</v>
      </c>
      <c r="M1344" s="9">
        <f t="shared" si="247"/>
        <v>9.530011815434055E-3</v>
      </c>
      <c r="N1344" s="9">
        <f t="shared" si="250"/>
        <v>1.0941617929868119E-2</v>
      </c>
    </row>
    <row r="1345" spans="1:14" x14ac:dyDescent="0.35">
      <c r="A1345" s="1">
        <v>44336</v>
      </c>
      <c r="B1345" s="2" t="s">
        <v>1345</v>
      </c>
      <c r="C1345">
        <f t="shared" si="239"/>
        <v>63549.75</v>
      </c>
      <c r="D1345">
        <f t="shared" si="240"/>
        <v>2021</v>
      </c>
      <c r="E1345">
        <f t="shared" si="241"/>
        <v>5</v>
      </c>
      <c r="F1345" t="str">
        <f t="shared" si="243"/>
        <v>May</v>
      </c>
      <c r="G1345">
        <f t="shared" si="242"/>
        <v>20</v>
      </c>
      <c r="H1345" s="7">
        <f t="shared" si="244"/>
        <v>-0.25758912462859757</v>
      </c>
      <c r="I1345" s="9">
        <f t="shared" si="245"/>
        <v>-2.5792145623696108E-3</v>
      </c>
      <c r="J1345" s="9">
        <f t="shared" si="246"/>
        <v>63956.862857142856</v>
      </c>
      <c r="K1345" s="9">
        <f t="shared" si="249"/>
        <v>64918.681666666664</v>
      </c>
      <c r="L1345" s="9">
        <f t="shared" si="248"/>
        <v>66413.284777777793</v>
      </c>
      <c r="M1345" s="9">
        <f t="shared" si="247"/>
        <v>6.5090589433462907E-3</v>
      </c>
      <c r="N1345" s="9">
        <f t="shared" si="250"/>
        <v>1.0339867530467934E-2</v>
      </c>
    </row>
    <row r="1346" spans="1:14" x14ac:dyDescent="0.35">
      <c r="A1346" s="1">
        <v>44337</v>
      </c>
      <c r="B1346" s="2" t="s">
        <v>1346</v>
      </c>
      <c r="C1346">
        <f t="shared" si="239"/>
        <v>63884.77</v>
      </c>
      <c r="D1346">
        <f t="shared" si="240"/>
        <v>2021</v>
      </c>
      <c r="E1346">
        <f t="shared" si="241"/>
        <v>5</v>
      </c>
      <c r="F1346" t="str">
        <f t="shared" si="243"/>
        <v>May</v>
      </c>
      <c r="G1346">
        <f t="shared" si="242"/>
        <v>21</v>
      </c>
      <c r="H1346" s="7">
        <f t="shared" si="244"/>
        <v>0.52717752626878445</v>
      </c>
      <c r="I1346" s="9">
        <f t="shared" si="245"/>
        <v>5.2579281002435134E-3</v>
      </c>
      <c r="J1346" s="9">
        <f t="shared" si="246"/>
        <v>63860.422857142861</v>
      </c>
      <c r="K1346" s="9">
        <f t="shared" si="249"/>
        <v>64798.715333333326</v>
      </c>
      <c r="L1346" s="9">
        <f t="shared" si="248"/>
        <v>66388.579666666672</v>
      </c>
      <c r="M1346" s="9">
        <f t="shared" si="247"/>
        <v>5.3681466929918877E-3</v>
      </c>
      <c r="N1346" s="9">
        <f t="shared" si="250"/>
        <v>9.6049348021695069E-3</v>
      </c>
    </row>
    <row r="1347" spans="1:14" x14ac:dyDescent="0.35">
      <c r="A1347" s="1">
        <v>44340</v>
      </c>
      <c r="B1347" s="2" t="s">
        <v>1347</v>
      </c>
      <c r="C1347">
        <f t="shared" ref="C1347:C1410" si="251">_xlfn.NUMBERVALUE(B1347,".",",")</f>
        <v>63474.53</v>
      </c>
      <c r="D1347">
        <f t="shared" ref="D1347:D1410" si="252">YEAR(A1347)</f>
        <v>2021</v>
      </c>
      <c r="E1347">
        <f t="shared" ref="E1347:E1410" si="253">MONTH(A1347)</f>
        <v>5</v>
      </c>
      <c r="F1347" t="str">
        <f t="shared" si="243"/>
        <v>May</v>
      </c>
      <c r="G1347">
        <f t="shared" ref="G1347:G1410" si="254">DAY(A1347)</f>
        <v>24</v>
      </c>
      <c r="H1347" s="7">
        <f t="shared" si="244"/>
        <v>-0.64215618213855663</v>
      </c>
      <c r="I1347" s="9">
        <f t="shared" si="245"/>
        <v>-6.4422687442897749E-3</v>
      </c>
      <c r="J1347" s="9">
        <f t="shared" si="246"/>
        <v>63787.081428571437</v>
      </c>
      <c r="K1347" s="9">
        <f t="shared" si="249"/>
        <v>64707.840999999993</v>
      </c>
      <c r="L1347" s="9">
        <f t="shared" si="248"/>
        <v>66359.666888888911</v>
      </c>
      <c r="M1347" s="9">
        <f t="shared" si="247"/>
        <v>4.8603556653340754E-3</v>
      </c>
      <c r="N1347" s="9">
        <f t="shared" si="250"/>
        <v>9.0774750060071303E-3</v>
      </c>
    </row>
    <row r="1348" spans="1:14" x14ac:dyDescent="0.35">
      <c r="A1348" s="1">
        <v>44341</v>
      </c>
      <c r="B1348" s="2" t="s">
        <v>1348</v>
      </c>
      <c r="C1348">
        <f t="shared" si="251"/>
        <v>63535.1</v>
      </c>
      <c r="D1348">
        <f t="shared" si="252"/>
        <v>2021</v>
      </c>
      <c r="E1348">
        <f t="shared" si="253"/>
        <v>5</v>
      </c>
      <c r="F1348" t="str">
        <f t="shared" ref="F1348:F1411" si="255">TEXT(A1348,"mmmm")</f>
        <v>May</v>
      </c>
      <c r="G1348">
        <f t="shared" si="254"/>
        <v>25</v>
      </c>
      <c r="H1348" s="7">
        <f t="shared" ref="H1348:H1411" si="256">((C1348-C1347)/C1347)*100</f>
        <v>9.5424101604217798E-2</v>
      </c>
      <c r="I1348" s="9">
        <f t="shared" ref="I1348:I1411" si="257">LN(C1348/C1347)</f>
        <v>9.5378601751295276E-4</v>
      </c>
      <c r="J1348" s="9">
        <f t="shared" si="246"/>
        <v>63695.684285714291</v>
      </c>
      <c r="K1348" s="9">
        <f t="shared" si="249"/>
        <v>64628.291000000005</v>
      </c>
      <c r="L1348" s="9">
        <f t="shared" si="248"/>
        <v>66331.668888888889</v>
      </c>
      <c r="M1348" s="9">
        <f t="shared" si="247"/>
        <v>4.6379831028436277E-3</v>
      </c>
      <c r="N1348" s="9">
        <f t="shared" si="250"/>
        <v>9.0711657146588867E-3</v>
      </c>
    </row>
    <row r="1349" spans="1:14" x14ac:dyDescent="0.35">
      <c r="A1349" s="1">
        <v>44342</v>
      </c>
      <c r="B1349" s="2" t="s">
        <v>1349</v>
      </c>
      <c r="C1349">
        <f t="shared" si="251"/>
        <v>63759.93</v>
      </c>
      <c r="D1349">
        <f t="shared" si="252"/>
        <v>2021</v>
      </c>
      <c r="E1349">
        <f t="shared" si="253"/>
        <v>5</v>
      </c>
      <c r="F1349" t="str">
        <f t="shared" si="255"/>
        <v>May</v>
      </c>
      <c r="G1349">
        <f t="shared" si="254"/>
        <v>26</v>
      </c>
      <c r="H1349" s="7">
        <f t="shared" si="256"/>
        <v>0.35386738983648686</v>
      </c>
      <c r="I1349" s="9">
        <f t="shared" si="257"/>
        <v>3.5324275234706911E-3</v>
      </c>
      <c r="J1349" s="9">
        <f t="shared" si="246"/>
        <v>63645.887142857136</v>
      </c>
      <c r="K1349" s="9">
        <f t="shared" si="249"/>
        <v>64508.19466666667</v>
      </c>
      <c r="L1349" s="9">
        <f t="shared" si="248"/>
        <v>66304.124444444431</v>
      </c>
      <c r="M1349" s="9">
        <f t="shared" si="247"/>
        <v>5.0094430475952677E-3</v>
      </c>
      <c r="N1349" s="9">
        <f t="shared" si="250"/>
        <v>8.0422334682756745E-3</v>
      </c>
    </row>
    <row r="1350" spans="1:14" x14ac:dyDescent="0.35">
      <c r="A1350" s="1">
        <v>44343</v>
      </c>
      <c r="B1350" s="2" t="s">
        <v>1350</v>
      </c>
      <c r="C1350">
        <f t="shared" si="251"/>
        <v>63519.18</v>
      </c>
      <c r="D1350">
        <f t="shared" si="252"/>
        <v>2021</v>
      </c>
      <c r="E1350">
        <f t="shared" si="253"/>
        <v>5</v>
      </c>
      <c r="F1350" t="str">
        <f t="shared" si="255"/>
        <v>May</v>
      </c>
      <c r="G1350">
        <f t="shared" si="254"/>
        <v>27</v>
      </c>
      <c r="H1350" s="7">
        <f t="shared" si="256"/>
        <v>-0.37758824390177342</v>
      </c>
      <c r="I1350" s="9">
        <f t="shared" si="257"/>
        <v>-3.7830290787006222E-3</v>
      </c>
      <c r="J1350" s="9">
        <f t="shared" si="246"/>
        <v>63633.875714285707</v>
      </c>
      <c r="K1350" s="9">
        <f t="shared" si="249"/>
        <v>64376.671999999999</v>
      </c>
      <c r="L1350" s="9">
        <f t="shared" si="248"/>
        <v>66275.177111111101</v>
      </c>
      <c r="M1350" s="9">
        <f t="shared" si="247"/>
        <v>4.2085062536417958E-3</v>
      </c>
      <c r="N1350" s="9">
        <f t="shared" si="250"/>
        <v>8.0243663499107009E-3</v>
      </c>
    </row>
    <row r="1351" spans="1:14" x14ac:dyDescent="0.35">
      <c r="A1351" s="1">
        <v>44344</v>
      </c>
      <c r="B1351" s="2" t="s">
        <v>1351</v>
      </c>
      <c r="C1351">
        <f t="shared" si="251"/>
        <v>63042.879999999997</v>
      </c>
      <c r="D1351">
        <f t="shared" si="252"/>
        <v>2021</v>
      </c>
      <c r="E1351">
        <f t="shared" si="253"/>
        <v>5</v>
      </c>
      <c r="F1351" t="str">
        <f t="shared" si="255"/>
        <v>May</v>
      </c>
      <c r="G1351">
        <f t="shared" si="254"/>
        <v>28</v>
      </c>
      <c r="H1351" s="7">
        <f t="shared" si="256"/>
        <v>-0.74985224935209005</v>
      </c>
      <c r="I1351" s="9">
        <f t="shared" si="257"/>
        <v>-7.5267777503841768E-3</v>
      </c>
      <c r="J1351" s="9">
        <f t="shared" si="246"/>
        <v>63538.020000000004</v>
      </c>
      <c r="K1351" s="9">
        <f t="shared" si="249"/>
        <v>64258.919666666661</v>
      </c>
      <c r="L1351" s="9">
        <f t="shared" si="248"/>
        <v>66243.922333333321</v>
      </c>
      <c r="M1351" s="9">
        <f t="shared" si="247"/>
        <v>4.9013585882879988E-3</v>
      </c>
      <c r="N1351" s="9">
        <f t="shared" si="250"/>
        <v>7.8120930111213252E-3</v>
      </c>
    </row>
    <row r="1352" spans="1:14" x14ac:dyDescent="0.35">
      <c r="A1352" s="1">
        <v>44347</v>
      </c>
      <c r="B1352" s="2" t="s">
        <v>1352</v>
      </c>
      <c r="C1352">
        <f t="shared" si="251"/>
        <v>61857.42</v>
      </c>
      <c r="D1352">
        <f t="shared" si="252"/>
        <v>2021</v>
      </c>
      <c r="E1352">
        <f t="shared" si="253"/>
        <v>5</v>
      </c>
      <c r="F1352" t="str">
        <f t="shared" si="255"/>
        <v>May</v>
      </c>
      <c r="G1352">
        <f t="shared" si="254"/>
        <v>31</v>
      </c>
      <c r="H1352" s="7">
        <f t="shared" si="256"/>
        <v>-1.8804026719591478</v>
      </c>
      <c r="I1352" s="9">
        <f t="shared" si="257"/>
        <v>-1.8983070478616172E-2</v>
      </c>
      <c r="J1352" s="9">
        <f t="shared" si="246"/>
        <v>63296.258571428574</v>
      </c>
      <c r="K1352" s="9">
        <f t="shared" si="249"/>
        <v>64083.831333333321</v>
      </c>
      <c r="L1352" s="9">
        <f t="shared" si="248"/>
        <v>66183.950111111102</v>
      </c>
      <c r="M1352" s="9">
        <f t="shared" si="247"/>
        <v>8.2642157261435759E-3</v>
      </c>
      <c r="N1352" s="9">
        <f t="shared" si="250"/>
        <v>8.1872165707369514E-3</v>
      </c>
    </row>
    <row r="1353" spans="1:14" x14ac:dyDescent="0.35">
      <c r="A1353" s="1">
        <v>44348</v>
      </c>
      <c r="B1353" s="2" t="s">
        <v>1353</v>
      </c>
      <c r="C1353">
        <f t="shared" si="251"/>
        <v>60921.37</v>
      </c>
      <c r="D1353">
        <f t="shared" si="252"/>
        <v>2021</v>
      </c>
      <c r="E1353">
        <f t="shared" si="253"/>
        <v>6</v>
      </c>
      <c r="F1353" t="str">
        <f t="shared" si="255"/>
        <v>June</v>
      </c>
      <c r="G1353">
        <f t="shared" si="254"/>
        <v>1</v>
      </c>
      <c r="H1353" s="7">
        <f t="shared" si="256"/>
        <v>-1.5132380238296321</v>
      </c>
      <c r="I1353" s="9">
        <f t="shared" si="257"/>
        <v>-1.5248043023035658E-2</v>
      </c>
      <c r="J1353" s="9">
        <f t="shared" ref="J1353:J1416" si="258">AVERAGE(C1347:C1353)</f>
        <v>62872.915714285708</v>
      </c>
      <c r="K1353" s="9">
        <f t="shared" si="249"/>
        <v>63873.64166666667</v>
      </c>
      <c r="L1353" s="9">
        <f t="shared" si="248"/>
        <v>66113.997444444438</v>
      </c>
      <c r="M1353" s="9">
        <f t="shared" si="247"/>
        <v>8.1284855922178975E-3</v>
      </c>
      <c r="N1353" s="9">
        <f t="shared" si="250"/>
        <v>8.4515227934032818E-3</v>
      </c>
    </row>
    <row r="1354" spans="1:14" x14ac:dyDescent="0.35">
      <c r="A1354" s="1">
        <v>44349</v>
      </c>
      <c r="B1354" s="2" t="s">
        <v>1354</v>
      </c>
      <c r="C1354">
        <f t="shared" si="251"/>
        <v>60479.42</v>
      </c>
      <c r="D1354">
        <f t="shared" si="252"/>
        <v>2021</v>
      </c>
      <c r="E1354">
        <f t="shared" si="253"/>
        <v>6</v>
      </c>
      <c r="F1354" t="str">
        <f t="shared" si="255"/>
        <v>June</v>
      </c>
      <c r="G1354">
        <f t="shared" si="254"/>
        <v>2</v>
      </c>
      <c r="H1354" s="7">
        <f t="shared" si="256"/>
        <v>-0.72544330503402066</v>
      </c>
      <c r="I1354" s="9">
        <f t="shared" si="257"/>
        <v>-7.2808744054153329E-3</v>
      </c>
      <c r="J1354" s="9">
        <f t="shared" si="258"/>
        <v>62445.042857142857</v>
      </c>
      <c r="K1354" s="9">
        <f t="shared" si="249"/>
        <v>63652.127999999997</v>
      </c>
      <c r="L1354" s="9">
        <f t="shared" si="248"/>
        <v>66046.011777777763</v>
      </c>
      <c r="M1354" s="9">
        <f t="shared" ref="M1354:M1417" si="259">STDEV(I1348:I1354)</f>
        <v>8.1287673919246684E-3</v>
      </c>
      <c r="N1354" s="9">
        <f t="shared" si="250"/>
        <v>8.475510141908376E-3</v>
      </c>
    </row>
    <row r="1355" spans="1:14" x14ac:dyDescent="0.35">
      <c r="A1355" s="1">
        <v>44350</v>
      </c>
      <c r="B1355" s="2" t="s">
        <v>1355</v>
      </c>
      <c r="C1355">
        <f t="shared" si="251"/>
        <v>59408.68</v>
      </c>
      <c r="D1355">
        <f t="shared" si="252"/>
        <v>2021</v>
      </c>
      <c r="E1355">
        <f t="shared" si="253"/>
        <v>6</v>
      </c>
      <c r="F1355" t="str">
        <f t="shared" si="255"/>
        <v>June</v>
      </c>
      <c r="G1355">
        <f t="shared" si="254"/>
        <v>3</v>
      </c>
      <c r="H1355" s="7">
        <f t="shared" si="256"/>
        <v>-1.7704204173915656</v>
      </c>
      <c r="I1355" s="9">
        <f t="shared" si="257"/>
        <v>-1.7862798239124827E-2</v>
      </c>
      <c r="J1355" s="9">
        <f t="shared" si="258"/>
        <v>61855.554285714279</v>
      </c>
      <c r="K1355" s="9">
        <f t="shared" si="249"/>
        <v>63428.009333333328</v>
      </c>
      <c r="L1355" s="9">
        <f t="shared" si="248"/>
        <v>65970.900999999983</v>
      </c>
      <c r="M1355" s="9">
        <f t="shared" si="259"/>
        <v>8.2076215275572045E-3</v>
      </c>
      <c r="N1355" s="9">
        <f t="shared" si="250"/>
        <v>8.6292056904489194E-3</v>
      </c>
    </row>
    <row r="1356" spans="1:14" x14ac:dyDescent="0.35">
      <c r="A1356" s="1">
        <v>44351</v>
      </c>
      <c r="B1356" s="2" t="s">
        <v>1356</v>
      </c>
      <c r="C1356">
        <f t="shared" si="251"/>
        <v>59634.93</v>
      </c>
      <c r="D1356">
        <f t="shared" si="252"/>
        <v>2021</v>
      </c>
      <c r="E1356">
        <f t="shared" si="253"/>
        <v>6</v>
      </c>
      <c r="F1356" t="str">
        <f t="shared" si="255"/>
        <v>June</v>
      </c>
      <c r="G1356">
        <f t="shared" si="254"/>
        <v>4</v>
      </c>
      <c r="H1356" s="7">
        <f t="shared" si="256"/>
        <v>0.3808366050213538</v>
      </c>
      <c r="I1356" s="9">
        <f t="shared" si="257"/>
        <v>3.8011325835366257E-3</v>
      </c>
      <c r="J1356" s="9">
        <f t="shared" si="258"/>
        <v>61266.268571428562</v>
      </c>
      <c r="K1356" s="9">
        <f t="shared" si="249"/>
        <v>63219.749666666663</v>
      </c>
      <c r="L1356" s="9">
        <f t="shared" si="248"/>
        <v>65884.352777777749</v>
      </c>
      <c r="M1356" s="9">
        <f t="shared" si="259"/>
        <v>8.2795533461894593E-3</v>
      </c>
      <c r="N1356" s="9">
        <f t="shared" si="250"/>
        <v>8.7333382643192386E-3</v>
      </c>
    </row>
    <row r="1357" spans="1:14" x14ac:dyDescent="0.35">
      <c r="A1357" s="1">
        <v>44354</v>
      </c>
      <c r="B1357" s="2" t="s">
        <v>1357</v>
      </c>
      <c r="C1357">
        <f t="shared" si="251"/>
        <v>59246.400000000001</v>
      </c>
      <c r="D1357">
        <f t="shared" si="252"/>
        <v>2021</v>
      </c>
      <c r="E1357">
        <f t="shared" si="253"/>
        <v>6</v>
      </c>
      <c r="F1357" t="str">
        <f t="shared" si="255"/>
        <v>June</v>
      </c>
      <c r="G1357">
        <f t="shared" si="254"/>
        <v>7</v>
      </c>
      <c r="H1357" s="7">
        <f t="shared" si="256"/>
        <v>-0.65151413777126732</v>
      </c>
      <c r="I1357" s="9">
        <f t="shared" si="257"/>
        <v>-6.5364575469786515E-3</v>
      </c>
      <c r="J1357" s="9">
        <f t="shared" si="258"/>
        <v>60655.871428571423</v>
      </c>
      <c r="K1357" s="9">
        <f t="shared" si="249"/>
        <v>62989.602333333329</v>
      </c>
      <c r="L1357" s="9">
        <f t="shared" si="248"/>
        <v>65795.521666666638</v>
      </c>
      <c r="M1357" s="9">
        <f t="shared" si="259"/>
        <v>8.0210154228390861E-3</v>
      </c>
      <c r="N1357" s="9">
        <f t="shared" si="250"/>
        <v>8.6382501950664544E-3</v>
      </c>
    </row>
    <row r="1358" spans="1:14" x14ac:dyDescent="0.35">
      <c r="A1358" s="1">
        <v>44355</v>
      </c>
      <c r="B1358" s="2" t="s">
        <v>1358</v>
      </c>
      <c r="C1358">
        <f t="shared" si="251"/>
        <v>59006.07</v>
      </c>
      <c r="D1358">
        <f t="shared" si="252"/>
        <v>2021</v>
      </c>
      <c r="E1358">
        <f t="shared" si="253"/>
        <v>6</v>
      </c>
      <c r="F1358" t="str">
        <f t="shared" si="255"/>
        <v>June</v>
      </c>
      <c r="G1358">
        <f t="shared" si="254"/>
        <v>8</v>
      </c>
      <c r="H1358" s="7">
        <f t="shared" si="256"/>
        <v>-0.40564489994329062</v>
      </c>
      <c r="I1358" s="9">
        <f t="shared" si="257"/>
        <v>-4.0646987059089999E-3</v>
      </c>
      <c r="J1358" s="9">
        <f t="shared" si="258"/>
        <v>60079.184285714291</v>
      </c>
      <c r="K1358" s="9">
        <f t="shared" si="249"/>
        <v>62784.381666666661</v>
      </c>
      <c r="L1358" s="9">
        <f t="shared" si="248"/>
        <v>65691.397666666642</v>
      </c>
      <c r="M1358" s="9">
        <f t="shared" si="259"/>
        <v>8.2971846849024689E-3</v>
      </c>
      <c r="N1358" s="9">
        <f t="shared" si="250"/>
        <v>8.368005852862714E-3</v>
      </c>
    </row>
    <row r="1359" spans="1:14" x14ac:dyDescent="0.35">
      <c r="A1359" s="1">
        <v>44356</v>
      </c>
      <c r="B1359" s="2" t="s">
        <v>1359</v>
      </c>
      <c r="C1359">
        <f t="shared" si="251"/>
        <v>59175.8</v>
      </c>
      <c r="D1359">
        <f t="shared" si="252"/>
        <v>2021</v>
      </c>
      <c r="E1359">
        <f t="shared" si="253"/>
        <v>6</v>
      </c>
      <c r="F1359" t="str">
        <f t="shared" si="255"/>
        <v>June</v>
      </c>
      <c r="G1359">
        <f t="shared" si="254"/>
        <v>9</v>
      </c>
      <c r="H1359" s="7">
        <f t="shared" si="256"/>
        <v>0.28764837244711128</v>
      </c>
      <c r="I1359" s="9">
        <f t="shared" si="257"/>
        <v>2.8723545615805157E-3</v>
      </c>
      <c r="J1359" s="9">
        <f t="shared" si="258"/>
        <v>59696.095714285715</v>
      </c>
      <c r="K1359" s="9">
        <f t="shared" si="249"/>
        <v>62588.269666666652</v>
      </c>
      <c r="L1359" s="9">
        <f t="shared" si="248"/>
        <v>65587.578444444414</v>
      </c>
      <c r="M1359" s="9">
        <f t="shared" si="259"/>
        <v>8.2253517423461642E-3</v>
      </c>
      <c r="N1359" s="9">
        <f t="shared" si="250"/>
        <v>8.4389610089491158E-3</v>
      </c>
    </row>
    <row r="1360" spans="1:14" x14ac:dyDescent="0.35">
      <c r="A1360" s="1">
        <v>44357</v>
      </c>
      <c r="B1360" s="2" t="s">
        <v>1360</v>
      </c>
      <c r="C1360">
        <f t="shared" si="251"/>
        <v>58986.720000000001</v>
      </c>
      <c r="D1360">
        <f t="shared" si="252"/>
        <v>2021</v>
      </c>
      <c r="E1360">
        <f t="shared" si="253"/>
        <v>6</v>
      </c>
      <c r="F1360" t="str">
        <f t="shared" si="255"/>
        <v>June</v>
      </c>
      <c r="G1360">
        <f t="shared" si="254"/>
        <v>10</v>
      </c>
      <c r="H1360" s="7">
        <f t="shared" si="256"/>
        <v>-0.31952250751151945</v>
      </c>
      <c r="I1360" s="9">
        <f t="shared" si="257"/>
        <v>-3.2003407067249141E-3</v>
      </c>
      <c r="J1360" s="9">
        <f t="shared" si="258"/>
        <v>59419.717142857146</v>
      </c>
      <c r="K1360" s="9">
        <f t="shared" si="249"/>
        <v>62411.510999999984</v>
      </c>
      <c r="L1360" s="9">
        <f t="shared" si="248"/>
        <v>65491.776555555523</v>
      </c>
      <c r="M1360" s="9">
        <f t="shared" si="259"/>
        <v>7.2514221993559428E-3</v>
      </c>
      <c r="N1360" s="9">
        <f t="shared" si="250"/>
        <v>8.2761183254542719E-3</v>
      </c>
    </row>
    <row r="1361" spans="1:14" x14ac:dyDescent="0.35">
      <c r="A1361" s="1">
        <v>44358</v>
      </c>
      <c r="B1361" s="2" t="s">
        <v>1361</v>
      </c>
      <c r="C1361">
        <f t="shared" si="251"/>
        <v>58619.75</v>
      </c>
      <c r="D1361">
        <f t="shared" si="252"/>
        <v>2021</v>
      </c>
      <c r="E1361">
        <f t="shared" si="253"/>
        <v>6</v>
      </c>
      <c r="F1361" t="str">
        <f t="shared" si="255"/>
        <v>June</v>
      </c>
      <c r="G1361">
        <f t="shared" si="254"/>
        <v>11</v>
      </c>
      <c r="H1361" s="7">
        <f t="shared" si="256"/>
        <v>-0.62212308126303872</v>
      </c>
      <c r="I1361" s="9">
        <f t="shared" si="257"/>
        <v>-6.2406633069872269E-3</v>
      </c>
      <c r="J1361" s="9">
        <f t="shared" si="258"/>
        <v>59154.049999999996</v>
      </c>
      <c r="K1361" s="9">
        <f t="shared" si="249"/>
        <v>62239.295666666658</v>
      </c>
      <c r="L1361" s="9">
        <f t="shared" si="248"/>
        <v>65394.81611111106</v>
      </c>
      <c r="M1361" s="9">
        <f t="shared" si="259"/>
        <v>7.1980339818686467E-3</v>
      </c>
      <c r="N1361" s="9">
        <f t="shared" si="250"/>
        <v>8.247700246553049E-3</v>
      </c>
    </row>
    <row r="1362" spans="1:14" x14ac:dyDescent="0.35">
      <c r="A1362" s="1">
        <v>44361</v>
      </c>
      <c r="B1362" s="2" t="s">
        <v>1362</v>
      </c>
      <c r="C1362">
        <f t="shared" si="251"/>
        <v>58714.87</v>
      </c>
      <c r="D1362">
        <f t="shared" si="252"/>
        <v>2021</v>
      </c>
      <c r="E1362">
        <f t="shared" si="253"/>
        <v>6</v>
      </c>
      <c r="F1362" t="str">
        <f t="shared" si="255"/>
        <v>June</v>
      </c>
      <c r="G1362">
        <f t="shared" si="254"/>
        <v>14</v>
      </c>
      <c r="H1362" s="7">
        <f t="shared" si="256"/>
        <v>0.16226613044238949</v>
      </c>
      <c r="I1362" s="9">
        <f t="shared" si="257"/>
        <v>1.6213462120103057E-3</v>
      </c>
      <c r="J1362" s="9">
        <f t="shared" si="258"/>
        <v>59054.934285714291</v>
      </c>
      <c r="K1362" s="9">
        <f t="shared" si="249"/>
        <v>62096.104333333322</v>
      </c>
      <c r="L1362" s="9">
        <f t="shared" si="248"/>
        <v>65311.937222222179</v>
      </c>
      <c r="M1362" s="9">
        <f t="shared" si="259"/>
        <v>4.3598291978797742E-3</v>
      </c>
      <c r="N1362" s="9">
        <f t="shared" si="250"/>
        <v>8.0885039880504109E-3</v>
      </c>
    </row>
    <row r="1363" spans="1:14" x14ac:dyDescent="0.35">
      <c r="A1363" s="1">
        <v>44362</v>
      </c>
      <c r="B1363" s="2" t="s">
        <v>1363</v>
      </c>
      <c r="C1363">
        <f t="shared" si="251"/>
        <v>59788.12</v>
      </c>
      <c r="D1363">
        <f t="shared" si="252"/>
        <v>2021</v>
      </c>
      <c r="E1363">
        <f t="shared" si="253"/>
        <v>6</v>
      </c>
      <c r="F1363" t="str">
        <f t="shared" si="255"/>
        <v>June</v>
      </c>
      <c r="G1363">
        <f t="shared" si="254"/>
        <v>15</v>
      </c>
      <c r="H1363" s="7">
        <f t="shared" si="256"/>
        <v>1.8279015179629963</v>
      </c>
      <c r="I1363" s="9">
        <f t="shared" si="257"/>
        <v>1.8113962283671365E-2</v>
      </c>
      <c r="J1363" s="9">
        <f t="shared" si="258"/>
        <v>59076.818571428572</v>
      </c>
      <c r="K1363" s="9">
        <f t="shared" si="249"/>
        <v>61997.919999999998</v>
      </c>
      <c r="L1363" s="9">
        <f t="shared" si="248"/>
        <v>65236.40255555552</v>
      </c>
      <c r="M1363" s="9">
        <f t="shared" si="259"/>
        <v>8.6264097212080289E-3</v>
      </c>
      <c r="N1363" s="9">
        <f t="shared" si="250"/>
        <v>8.8961533778629514E-3</v>
      </c>
    </row>
    <row r="1364" spans="1:14" x14ac:dyDescent="0.35">
      <c r="A1364" s="1">
        <v>44364</v>
      </c>
      <c r="B1364" s="2" t="s">
        <v>1364</v>
      </c>
      <c r="C1364">
        <f t="shared" si="251"/>
        <v>60544.3</v>
      </c>
      <c r="D1364">
        <f t="shared" si="252"/>
        <v>2021</v>
      </c>
      <c r="E1364">
        <f t="shared" si="253"/>
        <v>6</v>
      </c>
      <c r="F1364" t="str">
        <f t="shared" si="255"/>
        <v>June</v>
      </c>
      <c r="G1364">
        <f t="shared" si="254"/>
        <v>17</v>
      </c>
      <c r="H1364" s="7">
        <f t="shared" si="256"/>
        <v>1.2647663114344458</v>
      </c>
      <c r="I1364" s="9">
        <f t="shared" si="257"/>
        <v>1.2568349477854483E-2</v>
      </c>
      <c r="J1364" s="9">
        <f t="shared" si="258"/>
        <v>59262.232857142859</v>
      </c>
      <c r="K1364" s="9">
        <f t="shared" si="249"/>
        <v>61922.841666666674</v>
      </c>
      <c r="L1364" s="9">
        <f t="shared" si="248"/>
        <v>65165.372555555514</v>
      </c>
      <c r="M1364" s="9">
        <f t="shared" si="259"/>
        <v>9.088289263413386E-3</v>
      </c>
      <c r="N1364" s="9">
        <f t="shared" si="250"/>
        <v>9.2562739533372466E-3</v>
      </c>
    </row>
    <row r="1365" spans="1:14" x14ac:dyDescent="0.35">
      <c r="A1365" s="1">
        <v>44365</v>
      </c>
      <c r="B1365" s="2" t="s">
        <v>1365</v>
      </c>
      <c r="C1365">
        <f t="shared" si="251"/>
        <v>59478.26</v>
      </c>
      <c r="D1365">
        <f t="shared" si="252"/>
        <v>2021</v>
      </c>
      <c r="E1365">
        <f t="shared" si="253"/>
        <v>6</v>
      </c>
      <c r="F1365" t="str">
        <f t="shared" si="255"/>
        <v>June</v>
      </c>
      <c r="G1365">
        <f t="shared" si="254"/>
        <v>18</v>
      </c>
      <c r="H1365" s="7">
        <f t="shared" si="256"/>
        <v>-1.7607603027865559</v>
      </c>
      <c r="I1365" s="9">
        <f t="shared" si="257"/>
        <v>-1.7764460857669608E-2</v>
      </c>
      <c r="J1365" s="9">
        <f t="shared" si="258"/>
        <v>59329.688571428575</v>
      </c>
      <c r="K1365" s="9">
        <f t="shared" si="249"/>
        <v>61823.047000000013</v>
      </c>
      <c r="L1365" s="9">
        <f t="shared" si="248"/>
        <v>65077.433999999972</v>
      </c>
      <c r="M1365" s="9">
        <f t="shared" si="259"/>
        <v>1.1920896846541056E-2</v>
      </c>
      <c r="N1365" s="9">
        <f t="shared" si="250"/>
        <v>9.7157677599265541E-3</v>
      </c>
    </row>
    <row r="1366" spans="1:14" x14ac:dyDescent="0.35">
      <c r="A1366" s="1">
        <v>44368</v>
      </c>
      <c r="B1366" s="2" t="s">
        <v>1366</v>
      </c>
      <c r="C1366">
        <f t="shared" si="251"/>
        <v>59508.800000000003</v>
      </c>
      <c r="D1366">
        <f t="shared" si="252"/>
        <v>2021</v>
      </c>
      <c r="E1366">
        <f t="shared" si="253"/>
        <v>6</v>
      </c>
      <c r="F1366" t="str">
        <f t="shared" si="255"/>
        <v>June</v>
      </c>
      <c r="G1366">
        <f t="shared" si="254"/>
        <v>21</v>
      </c>
      <c r="H1366" s="7">
        <f t="shared" si="256"/>
        <v>5.1346491978751345E-2</v>
      </c>
      <c r="I1366" s="9">
        <f t="shared" si="257"/>
        <v>5.1333314178260891E-4</v>
      </c>
      <c r="J1366" s="9">
        <f t="shared" si="258"/>
        <v>59377.26</v>
      </c>
      <c r="K1366" s="9">
        <f t="shared" si="249"/>
        <v>61699.78300000001</v>
      </c>
      <c r="L1366" s="9">
        <f t="shared" si="248"/>
        <v>64985.974999999969</v>
      </c>
      <c r="M1366" s="9">
        <f t="shared" si="259"/>
        <v>1.1897037309136355E-2</v>
      </c>
      <c r="N1366" s="9">
        <f t="shared" si="250"/>
        <v>9.3961185669760618E-3</v>
      </c>
    </row>
    <row r="1367" spans="1:14" x14ac:dyDescent="0.35">
      <c r="A1367" s="1">
        <v>44369</v>
      </c>
      <c r="B1367" s="2" t="s">
        <v>1367</v>
      </c>
      <c r="C1367">
        <f t="shared" si="251"/>
        <v>59412.61</v>
      </c>
      <c r="D1367">
        <f t="shared" si="252"/>
        <v>2021</v>
      </c>
      <c r="E1367">
        <f t="shared" si="253"/>
        <v>6</v>
      </c>
      <c r="F1367" t="str">
        <f t="shared" si="255"/>
        <v>June</v>
      </c>
      <c r="G1367">
        <f t="shared" si="254"/>
        <v>22</v>
      </c>
      <c r="H1367" s="7">
        <f t="shared" si="256"/>
        <v>-0.16163995913209864</v>
      </c>
      <c r="I1367" s="9">
        <f t="shared" si="257"/>
        <v>-1.6177073745972884E-3</v>
      </c>
      <c r="J1367" s="9">
        <f t="shared" si="258"/>
        <v>59438.101428571426</v>
      </c>
      <c r="K1367" s="9">
        <f t="shared" si="249"/>
        <v>61587.386000000013</v>
      </c>
      <c r="L1367" s="9">
        <f t="shared" si="248"/>
        <v>64895.308666666635</v>
      </c>
      <c r="M1367" s="9">
        <f t="shared" si="259"/>
        <v>1.1823116716259833E-2</v>
      </c>
      <c r="N1367" s="9">
        <f t="shared" si="250"/>
        <v>9.3543209229276988E-3</v>
      </c>
    </row>
    <row r="1368" spans="1:14" x14ac:dyDescent="0.35">
      <c r="A1368" s="1">
        <v>44370</v>
      </c>
      <c r="B1368" s="2" t="s">
        <v>1368</v>
      </c>
      <c r="C1368">
        <f t="shared" si="251"/>
        <v>59282.77</v>
      </c>
      <c r="D1368">
        <f t="shared" si="252"/>
        <v>2021</v>
      </c>
      <c r="E1368">
        <f t="shared" si="253"/>
        <v>6</v>
      </c>
      <c r="F1368" t="str">
        <f t="shared" si="255"/>
        <v>June</v>
      </c>
      <c r="G1368">
        <f t="shared" si="254"/>
        <v>23</v>
      </c>
      <c r="H1368" s="7">
        <f t="shared" si="256"/>
        <v>-0.21853946493851015</v>
      </c>
      <c r="I1368" s="9">
        <f t="shared" si="257"/>
        <v>-2.187786109095939E-3</v>
      </c>
      <c r="J1368" s="9">
        <f t="shared" si="258"/>
        <v>59532.818571428579</v>
      </c>
      <c r="K1368" s="9">
        <f t="shared" si="249"/>
        <v>61432.690666666684</v>
      </c>
      <c r="L1368" s="9">
        <f t="shared" si="248"/>
        <v>64806.275666666639</v>
      </c>
      <c r="M1368" s="9">
        <f t="shared" si="259"/>
        <v>1.1502752813246916E-2</v>
      </c>
      <c r="N1368" s="9">
        <f t="shared" si="250"/>
        <v>8.5728155331541694E-3</v>
      </c>
    </row>
    <row r="1369" spans="1:14" x14ac:dyDescent="0.35">
      <c r="A1369" s="1">
        <v>44371</v>
      </c>
      <c r="B1369" s="2" t="s">
        <v>1369</v>
      </c>
      <c r="C1369">
        <f t="shared" si="251"/>
        <v>59291.75</v>
      </c>
      <c r="D1369">
        <f t="shared" si="252"/>
        <v>2021</v>
      </c>
      <c r="E1369">
        <f t="shared" si="253"/>
        <v>6</v>
      </c>
      <c r="F1369" t="str">
        <f t="shared" si="255"/>
        <v>June</v>
      </c>
      <c r="G1369">
        <f t="shared" si="254"/>
        <v>24</v>
      </c>
      <c r="H1369" s="7">
        <f t="shared" si="256"/>
        <v>1.5147740228743028E-2</v>
      </c>
      <c r="I1369" s="9">
        <f t="shared" si="257"/>
        <v>1.5146593074422861E-4</v>
      </c>
      <c r="J1369" s="9">
        <f t="shared" si="258"/>
        <v>59615.23</v>
      </c>
      <c r="K1369" s="9">
        <f t="shared" si="249"/>
        <v>61257.087333333351</v>
      </c>
      <c r="L1369" s="9">
        <f t="shared" si="248"/>
        <v>64720.944111111086</v>
      </c>
      <c r="M1369" s="9">
        <f t="shared" si="259"/>
        <v>1.151585018645287E-2</v>
      </c>
      <c r="N1369" s="9">
        <f t="shared" si="250"/>
        <v>8.265156568084837E-3</v>
      </c>
    </row>
    <row r="1370" spans="1:14" x14ac:dyDescent="0.35">
      <c r="A1370" s="1">
        <v>44372</v>
      </c>
      <c r="B1370" s="2" t="s">
        <v>1370</v>
      </c>
      <c r="C1370">
        <f t="shared" si="251"/>
        <v>59159.360000000001</v>
      </c>
      <c r="D1370">
        <f t="shared" si="252"/>
        <v>2021</v>
      </c>
      <c r="E1370">
        <f t="shared" si="253"/>
        <v>6</v>
      </c>
      <c r="F1370" t="str">
        <f t="shared" si="255"/>
        <v>June</v>
      </c>
      <c r="G1370">
        <f t="shared" si="254"/>
        <v>25</v>
      </c>
      <c r="H1370" s="7">
        <f t="shared" si="256"/>
        <v>-0.22328570163639869</v>
      </c>
      <c r="I1370" s="9">
        <f t="shared" si="257"/>
        <v>-2.2353535585652603E-3</v>
      </c>
      <c r="J1370" s="9">
        <f t="shared" si="258"/>
        <v>59525.407142857141</v>
      </c>
      <c r="K1370" s="9">
        <f t="shared" si="249"/>
        <v>61096.135333333368</v>
      </c>
      <c r="L1370" s="9">
        <f t="shared" si="248"/>
        <v>64632.206444444411</v>
      </c>
      <c r="M1370" s="9">
        <f t="shared" si="259"/>
        <v>8.8530493790069786E-3</v>
      </c>
      <c r="N1370" s="9">
        <f t="shared" si="250"/>
        <v>8.1858137769488457E-3</v>
      </c>
    </row>
    <row r="1371" spans="1:14" x14ac:dyDescent="0.35">
      <c r="A1371" s="1">
        <v>44375</v>
      </c>
      <c r="B1371" s="2" t="s">
        <v>1371</v>
      </c>
      <c r="C1371">
        <f t="shared" si="251"/>
        <v>59527.7</v>
      </c>
      <c r="D1371">
        <f t="shared" si="252"/>
        <v>2021</v>
      </c>
      <c r="E1371">
        <f t="shared" si="253"/>
        <v>6</v>
      </c>
      <c r="F1371" t="str">
        <f t="shared" si="255"/>
        <v>June</v>
      </c>
      <c r="G1371">
        <f t="shared" si="254"/>
        <v>28</v>
      </c>
      <c r="H1371" s="7">
        <f t="shared" si="256"/>
        <v>0.62262336847456845</v>
      </c>
      <c r="I1371" s="9">
        <f t="shared" si="257"/>
        <v>6.2069307733207783E-3</v>
      </c>
      <c r="J1371" s="9">
        <f t="shared" si="258"/>
        <v>59380.178571428565</v>
      </c>
      <c r="K1371" s="9">
        <f t="shared" si="249"/>
        <v>60941.229333333358</v>
      </c>
      <c r="L1371" s="9">
        <f t="shared" si="248"/>
        <v>64551.008444444422</v>
      </c>
      <c r="M1371" s="9">
        <f t="shared" si="259"/>
        <v>7.3691358504971499E-3</v>
      </c>
      <c r="N1371" s="9">
        <f t="shared" si="250"/>
        <v>8.2839223812633794E-3</v>
      </c>
    </row>
    <row r="1372" spans="1:14" x14ac:dyDescent="0.35">
      <c r="A1372" s="1">
        <v>44376</v>
      </c>
      <c r="B1372" s="2" t="s">
        <v>1372</v>
      </c>
      <c r="C1372">
        <f t="shared" si="251"/>
        <v>59419.37</v>
      </c>
      <c r="D1372">
        <f t="shared" si="252"/>
        <v>2021</v>
      </c>
      <c r="E1372">
        <f t="shared" si="253"/>
        <v>6</v>
      </c>
      <c r="F1372" t="str">
        <f t="shared" si="255"/>
        <v>June</v>
      </c>
      <c r="G1372">
        <f t="shared" si="254"/>
        <v>29</v>
      </c>
      <c r="H1372" s="7">
        <f t="shared" si="256"/>
        <v>-0.18198250562342316</v>
      </c>
      <c r="I1372" s="9">
        <f t="shared" si="257"/>
        <v>-1.8214829495410661E-3</v>
      </c>
      <c r="J1372" s="9">
        <f t="shared" si="258"/>
        <v>59371.765714285713</v>
      </c>
      <c r="K1372" s="9">
        <f t="shared" si="249"/>
        <v>60784.924666666688</v>
      </c>
      <c r="L1372" s="9">
        <f t="shared" ref="L1372:L1435" si="260">AVERAGE(C1283:C1372)</f>
        <v>64454.620555555528</v>
      </c>
      <c r="M1372" s="9">
        <f t="shared" si="259"/>
        <v>3.0108207422264656E-3</v>
      </c>
      <c r="N1372" s="9">
        <f t="shared" si="250"/>
        <v>8.2803497682277082E-3</v>
      </c>
    </row>
    <row r="1373" spans="1:14" x14ac:dyDescent="0.35">
      <c r="A1373" s="1">
        <v>44377</v>
      </c>
      <c r="B1373" s="2" t="s">
        <v>1373</v>
      </c>
      <c r="C1373">
        <f t="shared" si="251"/>
        <v>58947.48</v>
      </c>
      <c r="D1373">
        <f t="shared" si="252"/>
        <v>2021</v>
      </c>
      <c r="E1373">
        <f t="shared" si="253"/>
        <v>6</v>
      </c>
      <c r="F1373" t="str">
        <f t="shared" si="255"/>
        <v>June</v>
      </c>
      <c r="G1373">
        <f t="shared" si="254"/>
        <v>30</v>
      </c>
      <c r="H1373" s="7">
        <f t="shared" si="256"/>
        <v>-0.79416863558129169</v>
      </c>
      <c r="I1373" s="9">
        <f t="shared" si="257"/>
        <v>-7.9733895094597617E-3</v>
      </c>
      <c r="J1373" s="9">
        <f t="shared" si="258"/>
        <v>59291.577142857139</v>
      </c>
      <c r="K1373" s="9">
        <f t="shared" si="249"/>
        <v>60629.732000000025</v>
      </c>
      <c r="L1373" s="9">
        <f t="shared" si="260"/>
        <v>64346.272777777755</v>
      </c>
      <c r="M1373" s="9">
        <f t="shared" si="259"/>
        <v>4.1835089836654562E-3</v>
      </c>
      <c r="N1373" s="9">
        <f t="shared" si="250"/>
        <v>8.2817239445346757E-3</v>
      </c>
    </row>
    <row r="1374" spans="1:14" x14ac:dyDescent="0.35">
      <c r="A1374" s="1">
        <v>44378</v>
      </c>
      <c r="B1374" s="2" t="s">
        <v>1374</v>
      </c>
      <c r="C1374">
        <f t="shared" si="251"/>
        <v>58281.98</v>
      </c>
      <c r="D1374">
        <f t="shared" si="252"/>
        <v>2021</v>
      </c>
      <c r="E1374">
        <f t="shared" si="253"/>
        <v>7</v>
      </c>
      <c r="F1374" t="str">
        <f t="shared" si="255"/>
        <v>July</v>
      </c>
      <c r="G1374">
        <f t="shared" si="254"/>
        <v>1</v>
      </c>
      <c r="H1374" s="7">
        <f t="shared" si="256"/>
        <v>-1.1289710773047463</v>
      </c>
      <c r="I1374" s="9">
        <f t="shared" si="257"/>
        <v>-1.1353923309135882E-2</v>
      </c>
      <c r="J1374" s="9">
        <f t="shared" si="258"/>
        <v>59130.05857142857</v>
      </c>
      <c r="K1374" s="9">
        <f t="shared" si="249"/>
        <v>60448.669000000024</v>
      </c>
      <c r="L1374" s="9">
        <f t="shared" si="260"/>
        <v>64240.260444444437</v>
      </c>
      <c r="M1374" s="9">
        <f t="shared" si="259"/>
        <v>5.6479982754428131E-3</v>
      </c>
      <c r="N1374" s="9">
        <f t="shared" si="250"/>
        <v>8.3930502373567254E-3</v>
      </c>
    </row>
    <row r="1375" spans="1:14" x14ac:dyDescent="0.35">
      <c r="A1375" s="1">
        <v>44379</v>
      </c>
      <c r="B1375" s="2" t="s">
        <v>1375</v>
      </c>
      <c r="C1375">
        <f t="shared" si="251"/>
        <v>57509.72</v>
      </c>
      <c r="D1375">
        <f t="shared" si="252"/>
        <v>2021</v>
      </c>
      <c r="E1375">
        <f t="shared" si="253"/>
        <v>7</v>
      </c>
      <c r="F1375" t="str">
        <f t="shared" si="255"/>
        <v>July</v>
      </c>
      <c r="G1375">
        <f t="shared" si="254"/>
        <v>2</v>
      </c>
      <c r="H1375" s="7">
        <f t="shared" si="256"/>
        <v>-1.325040775896773</v>
      </c>
      <c r="I1375" s="9">
        <f t="shared" si="257"/>
        <v>-1.3338977673588399E-2</v>
      </c>
      <c r="J1375" s="9">
        <f t="shared" si="258"/>
        <v>58876.765714285713</v>
      </c>
      <c r="K1375" s="9">
        <f t="shared" si="249"/>
        <v>60247.334666666684</v>
      </c>
      <c r="L1375" s="9">
        <f t="shared" si="260"/>
        <v>64125.788999999997</v>
      </c>
      <c r="M1375" s="9">
        <f t="shared" si="259"/>
        <v>6.8988125197464931E-3</v>
      </c>
      <c r="N1375" s="9">
        <f t="shared" si="250"/>
        <v>8.6030321231719449E-3</v>
      </c>
    </row>
    <row r="1376" spans="1:14" x14ac:dyDescent="0.35">
      <c r="A1376" s="1">
        <v>44382</v>
      </c>
      <c r="B1376" s="2" t="s">
        <v>1376</v>
      </c>
      <c r="C1376">
        <f t="shared" si="251"/>
        <v>57091.89</v>
      </c>
      <c r="D1376">
        <f t="shared" si="252"/>
        <v>2021</v>
      </c>
      <c r="E1376">
        <f t="shared" si="253"/>
        <v>7</v>
      </c>
      <c r="F1376" t="str">
        <f t="shared" si="255"/>
        <v>July</v>
      </c>
      <c r="G1376">
        <f t="shared" si="254"/>
        <v>5</v>
      </c>
      <c r="H1376" s="7">
        <f t="shared" si="256"/>
        <v>-0.72653805304564467</v>
      </c>
      <c r="I1376" s="9">
        <f t="shared" si="257"/>
        <v>-7.2919019444370771E-3</v>
      </c>
      <c r="J1376" s="9">
        <f t="shared" si="258"/>
        <v>58562.5</v>
      </c>
      <c r="K1376" s="9">
        <f t="shared" ref="K1376:K1439" si="261">AVERAGE(C1347:C1376)</f>
        <v>60020.905333333336</v>
      </c>
      <c r="L1376" s="9">
        <f t="shared" si="260"/>
        <v>64014.893444444439</v>
      </c>
      <c r="M1376" s="9">
        <f t="shared" si="259"/>
        <v>6.6610784886947929E-3</v>
      </c>
      <c r="N1376" s="9">
        <f t="shared" si="250"/>
        <v>8.4752637437152337E-3</v>
      </c>
    </row>
    <row r="1377" spans="1:14" x14ac:dyDescent="0.35">
      <c r="A1377" s="1">
        <v>44383</v>
      </c>
      <c r="B1377" s="2" t="s">
        <v>1377</v>
      </c>
      <c r="C1377">
        <f t="shared" si="251"/>
        <v>57822.5</v>
      </c>
      <c r="D1377">
        <f t="shared" si="252"/>
        <v>2021</v>
      </c>
      <c r="E1377">
        <f t="shared" si="253"/>
        <v>7</v>
      </c>
      <c r="F1377" t="str">
        <f t="shared" si="255"/>
        <v>July</v>
      </c>
      <c r="G1377">
        <f t="shared" si="254"/>
        <v>6</v>
      </c>
      <c r="H1377" s="7">
        <f t="shared" si="256"/>
        <v>1.2797089043645264</v>
      </c>
      <c r="I1377" s="9">
        <f t="shared" si="257"/>
        <v>1.2715898236627372E-2</v>
      </c>
      <c r="J1377" s="9">
        <f t="shared" si="258"/>
        <v>58371.520000000004</v>
      </c>
      <c r="K1377" s="9">
        <f t="shared" si="261"/>
        <v>59832.504333333338</v>
      </c>
      <c r="L1377" s="9">
        <f t="shared" si="260"/>
        <v>63919.698777777783</v>
      </c>
      <c r="M1377" s="9">
        <f t="shared" si="259"/>
        <v>9.5959270832639623E-3</v>
      </c>
      <c r="N1377" s="9">
        <f t="shared" ref="N1377:N1440" si="262">STDEV(I1348:I1377)</f>
        <v>8.9723948125787559E-3</v>
      </c>
    </row>
    <row r="1378" spans="1:14" x14ac:dyDescent="0.35">
      <c r="A1378" s="1">
        <v>44384</v>
      </c>
      <c r="B1378" s="2" t="s">
        <v>1378</v>
      </c>
      <c r="C1378">
        <f t="shared" si="251"/>
        <v>57923.69</v>
      </c>
      <c r="D1378">
        <f t="shared" si="252"/>
        <v>2021</v>
      </c>
      <c r="E1378">
        <f t="shared" si="253"/>
        <v>7</v>
      </c>
      <c r="F1378" t="str">
        <f t="shared" si="255"/>
        <v>July</v>
      </c>
      <c r="G1378">
        <f t="shared" si="254"/>
        <v>7</v>
      </c>
      <c r="H1378" s="7">
        <f t="shared" si="256"/>
        <v>0.17500108089411964</v>
      </c>
      <c r="I1378" s="9">
        <f t="shared" si="257"/>
        <v>1.7484813241754396E-3</v>
      </c>
      <c r="J1378" s="9">
        <f t="shared" si="258"/>
        <v>58142.375714285714</v>
      </c>
      <c r="K1378" s="9">
        <f t="shared" si="261"/>
        <v>59645.457333333332</v>
      </c>
      <c r="L1378" s="9">
        <f t="shared" si="260"/>
        <v>63816.725666666673</v>
      </c>
      <c r="M1378" s="9">
        <f t="shared" si="259"/>
        <v>8.9913512916840847E-3</v>
      </c>
      <c r="N1378" s="9">
        <f t="shared" si="262"/>
        <v>8.9859651961261642E-3</v>
      </c>
    </row>
    <row r="1379" spans="1:14" x14ac:dyDescent="0.35">
      <c r="A1379" s="1">
        <v>44385</v>
      </c>
      <c r="B1379" s="2" t="s">
        <v>1379</v>
      </c>
      <c r="C1379">
        <f t="shared" si="251"/>
        <v>57742.19</v>
      </c>
      <c r="D1379">
        <f t="shared" si="252"/>
        <v>2021</v>
      </c>
      <c r="E1379">
        <f t="shared" si="253"/>
        <v>7</v>
      </c>
      <c r="F1379" t="str">
        <f t="shared" si="255"/>
        <v>July</v>
      </c>
      <c r="G1379">
        <f t="shared" si="254"/>
        <v>8</v>
      </c>
      <c r="H1379" s="7">
        <f t="shared" si="256"/>
        <v>-0.31334329701716168</v>
      </c>
      <c r="I1379" s="9">
        <f t="shared" si="257"/>
        <v>-3.1383524505234632E-3</v>
      </c>
      <c r="J1379" s="9">
        <f t="shared" si="258"/>
        <v>57902.778571428571</v>
      </c>
      <c r="K1379" s="9">
        <f t="shared" si="261"/>
        <v>59444.866000000002</v>
      </c>
      <c r="L1379" s="9">
        <f t="shared" si="260"/>
        <v>63713.261444444455</v>
      </c>
      <c r="M1379" s="9">
        <f t="shared" si="259"/>
        <v>8.9542612955392734E-3</v>
      </c>
      <c r="N1379" s="9">
        <f t="shared" si="262"/>
        <v>8.8987524621329753E-3</v>
      </c>
    </row>
    <row r="1380" spans="1:14" x14ac:dyDescent="0.35">
      <c r="A1380" s="1">
        <v>44386</v>
      </c>
      <c r="B1380" s="2" t="s">
        <v>1380</v>
      </c>
      <c r="C1380">
        <f t="shared" si="251"/>
        <v>57761.919999999998</v>
      </c>
      <c r="D1380">
        <f t="shared" si="252"/>
        <v>2021</v>
      </c>
      <c r="E1380">
        <f t="shared" si="253"/>
        <v>7</v>
      </c>
      <c r="F1380" t="str">
        <f t="shared" si="255"/>
        <v>July</v>
      </c>
      <c r="G1380">
        <f t="shared" si="254"/>
        <v>9</v>
      </c>
      <c r="H1380" s="7">
        <f t="shared" si="256"/>
        <v>3.4169123131623381E-2</v>
      </c>
      <c r="I1380" s="9">
        <f t="shared" si="257"/>
        <v>3.4163286816195994E-4</v>
      </c>
      <c r="J1380" s="9">
        <f t="shared" si="258"/>
        <v>57733.412857142859</v>
      </c>
      <c r="K1380" s="9">
        <f t="shared" si="261"/>
        <v>59252.957333333325</v>
      </c>
      <c r="L1380" s="9">
        <f t="shared" si="260"/>
        <v>63608.83366666668</v>
      </c>
      <c r="M1380" s="9">
        <f t="shared" si="259"/>
        <v>8.9046756144693512E-3</v>
      </c>
      <c r="N1380" s="9">
        <f t="shared" si="262"/>
        <v>8.9229359069651435E-3</v>
      </c>
    </row>
    <row r="1381" spans="1:14" x14ac:dyDescent="0.35">
      <c r="A1381" s="1">
        <v>44389</v>
      </c>
      <c r="B1381" s="2" t="s">
        <v>1381</v>
      </c>
      <c r="C1381">
        <f t="shared" si="251"/>
        <v>57147.31</v>
      </c>
      <c r="D1381">
        <f t="shared" si="252"/>
        <v>2021</v>
      </c>
      <c r="E1381">
        <f t="shared" si="253"/>
        <v>7</v>
      </c>
      <c r="F1381" t="str">
        <f t="shared" si="255"/>
        <v>July</v>
      </c>
      <c r="G1381">
        <f t="shared" si="254"/>
        <v>12</v>
      </c>
      <c r="H1381" s="7">
        <f t="shared" si="256"/>
        <v>-1.0640401150100283</v>
      </c>
      <c r="I1381" s="9">
        <f t="shared" si="257"/>
        <v>-1.069741501265737E-2</v>
      </c>
      <c r="J1381" s="9">
        <f t="shared" si="258"/>
        <v>57571.317142857137</v>
      </c>
      <c r="K1381" s="9">
        <f t="shared" si="261"/>
        <v>59056.438333333332</v>
      </c>
      <c r="L1381" s="9">
        <f t="shared" si="260"/>
        <v>63487.538333333345</v>
      </c>
      <c r="M1381" s="9">
        <f t="shared" si="259"/>
        <v>8.8037112633140013E-3</v>
      </c>
      <c r="N1381" s="9">
        <f t="shared" si="262"/>
        <v>8.9948427786907866E-3</v>
      </c>
    </row>
    <row r="1382" spans="1:14" x14ac:dyDescent="0.35">
      <c r="A1382" s="1">
        <v>44390</v>
      </c>
      <c r="B1382" s="2" t="s">
        <v>1382</v>
      </c>
      <c r="C1382">
        <f t="shared" si="251"/>
        <v>56615.28</v>
      </c>
      <c r="D1382">
        <f t="shared" si="252"/>
        <v>2021</v>
      </c>
      <c r="E1382">
        <f t="shared" si="253"/>
        <v>7</v>
      </c>
      <c r="F1382" t="str">
        <f t="shared" si="255"/>
        <v>July</v>
      </c>
      <c r="G1382">
        <f t="shared" si="254"/>
        <v>13</v>
      </c>
      <c r="H1382" s="7">
        <f t="shared" si="256"/>
        <v>-0.93097995338713035</v>
      </c>
      <c r="I1382" s="9">
        <f t="shared" si="257"/>
        <v>-9.3534065771282964E-3</v>
      </c>
      <c r="J1382" s="9">
        <f t="shared" si="258"/>
        <v>57443.54</v>
      </c>
      <c r="K1382" s="9">
        <f t="shared" si="261"/>
        <v>58881.700333333334</v>
      </c>
      <c r="L1382" s="9">
        <f t="shared" si="260"/>
        <v>63369.526888888911</v>
      </c>
      <c r="M1382" s="9">
        <f t="shared" si="259"/>
        <v>8.1107836893425985E-3</v>
      </c>
      <c r="N1382" s="9">
        <f t="shared" si="262"/>
        <v>8.5769902712727886E-3</v>
      </c>
    </row>
    <row r="1383" spans="1:14" x14ac:dyDescent="0.35">
      <c r="A1383" s="1">
        <v>44391</v>
      </c>
      <c r="B1383" s="2" t="s">
        <v>1383</v>
      </c>
      <c r="C1383">
        <f t="shared" si="251"/>
        <v>56753.49</v>
      </c>
      <c r="D1383">
        <f t="shared" si="252"/>
        <v>2021</v>
      </c>
      <c r="E1383">
        <f t="shared" si="253"/>
        <v>7</v>
      </c>
      <c r="F1383" t="str">
        <f t="shared" si="255"/>
        <v>July</v>
      </c>
      <c r="G1383">
        <f t="shared" si="254"/>
        <v>14</v>
      </c>
      <c r="H1383" s="7">
        <f t="shared" si="256"/>
        <v>0.24412137500688705</v>
      </c>
      <c r="I1383" s="9">
        <f t="shared" si="257"/>
        <v>2.4382388284115634E-3</v>
      </c>
      <c r="J1383" s="9">
        <f t="shared" si="258"/>
        <v>57395.197142857141</v>
      </c>
      <c r="K1383" s="9">
        <f t="shared" si="261"/>
        <v>58742.770999999993</v>
      </c>
      <c r="L1383" s="9">
        <f t="shared" si="260"/>
        <v>63261.39577777779</v>
      </c>
      <c r="M1383" s="9">
        <f t="shared" si="259"/>
        <v>7.932362644534733E-3</v>
      </c>
      <c r="N1383" s="9">
        <f t="shared" si="262"/>
        <v>8.3062195256256698E-3</v>
      </c>
    </row>
    <row r="1384" spans="1:14" x14ac:dyDescent="0.35">
      <c r="A1384" s="1">
        <v>44392</v>
      </c>
      <c r="B1384" s="2" t="s">
        <v>1384</v>
      </c>
      <c r="C1384">
        <f t="shared" si="251"/>
        <v>57323.67</v>
      </c>
      <c r="D1384">
        <f t="shared" si="252"/>
        <v>2021</v>
      </c>
      <c r="E1384">
        <f t="shared" si="253"/>
        <v>7</v>
      </c>
      <c r="F1384" t="str">
        <f t="shared" si="255"/>
        <v>July</v>
      </c>
      <c r="G1384">
        <f t="shared" si="254"/>
        <v>15</v>
      </c>
      <c r="H1384" s="7">
        <f t="shared" si="256"/>
        <v>1.0046606825412858</v>
      </c>
      <c r="I1384" s="9">
        <f t="shared" si="257"/>
        <v>9.9964751601990202E-3</v>
      </c>
      <c r="J1384" s="9">
        <f t="shared" si="258"/>
        <v>57323.935714285712</v>
      </c>
      <c r="K1384" s="9">
        <f t="shared" si="261"/>
        <v>58637.57933333332</v>
      </c>
      <c r="L1384" s="9">
        <f t="shared" si="260"/>
        <v>63150.640333333344</v>
      </c>
      <c r="M1384" s="9">
        <f t="shared" si="259"/>
        <v>7.1890445596707337E-3</v>
      </c>
      <c r="N1384" s="9">
        <f t="shared" si="262"/>
        <v>8.5488443733987007E-3</v>
      </c>
    </row>
    <row r="1385" spans="1:14" x14ac:dyDescent="0.35">
      <c r="A1385" s="1">
        <v>44393</v>
      </c>
      <c r="B1385" s="2" t="s">
        <v>1385</v>
      </c>
      <c r="C1385">
        <f t="shared" si="251"/>
        <v>57053.01</v>
      </c>
      <c r="D1385">
        <f t="shared" si="252"/>
        <v>2021</v>
      </c>
      <c r="E1385">
        <f t="shared" si="253"/>
        <v>7</v>
      </c>
      <c r="F1385" t="str">
        <f t="shared" si="255"/>
        <v>July</v>
      </c>
      <c r="G1385">
        <f t="shared" si="254"/>
        <v>16</v>
      </c>
      <c r="H1385" s="7">
        <f t="shared" si="256"/>
        <v>-0.47216097643433552</v>
      </c>
      <c r="I1385" s="9">
        <f t="shared" si="257"/>
        <v>-4.7327917756735602E-3</v>
      </c>
      <c r="J1385" s="9">
        <f t="shared" si="258"/>
        <v>57199.552857142859</v>
      </c>
      <c r="K1385" s="9">
        <f t="shared" si="261"/>
        <v>58559.056999999993</v>
      </c>
      <c r="L1385" s="9">
        <f t="shared" si="260"/>
        <v>63039.125222222239</v>
      </c>
      <c r="M1385" s="9">
        <f t="shared" si="259"/>
        <v>7.1576386493704871E-3</v>
      </c>
      <c r="N1385" s="9">
        <f t="shared" si="262"/>
        <v>8.0169677021305844E-3</v>
      </c>
    </row>
    <row r="1386" spans="1:14" x14ac:dyDescent="0.35">
      <c r="A1386" s="1">
        <v>44396</v>
      </c>
      <c r="B1386" s="2" t="s">
        <v>1386</v>
      </c>
      <c r="C1386">
        <f t="shared" si="251"/>
        <v>57267</v>
      </c>
      <c r="D1386">
        <f t="shared" si="252"/>
        <v>2021</v>
      </c>
      <c r="E1386">
        <f t="shared" si="253"/>
        <v>7</v>
      </c>
      <c r="F1386" t="str">
        <f t="shared" si="255"/>
        <v>July</v>
      </c>
      <c r="G1386">
        <f t="shared" si="254"/>
        <v>19</v>
      </c>
      <c r="H1386" s="7">
        <f t="shared" si="256"/>
        <v>0.37507223545260443</v>
      </c>
      <c r="I1386" s="9">
        <f t="shared" si="257"/>
        <v>3.7437059343922267E-3</v>
      </c>
      <c r="J1386" s="9">
        <f t="shared" si="258"/>
        <v>57131.66857142857</v>
      </c>
      <c r="K1386" s="9">
        <f t="shared" si="261"/>
        <v>58480.125999999982</v>
      </c>
      <c r="L1386" s="9">
        <f t="shared" si="260"/>
        <v>62932.825333333349</v>
      </c>
      <c r="M1386" s="9">
        <f t="shared" si="259"/>
        <v>7.467391190237347E-3</v>
      </c>
      <c r="N1386" s="9">
        <f t="shared" si="262"/>
        <v>8.0157024372640735E-3</v>
      </c>
    </row>
    <row r="1387" spans="1:14" x14ac:dyDescent="0.35">
      <c r="A1387" s="1">
        <v>44397</v>
      </c>
      <c r="B1387" s="2" t="s">
        <v>1387</v>
      </c>
      <c r="C1387">
        <f t="shared" si="251"/>
        <v>57182.6</v>
      </c>
      <c r="D1387">
        <f t="shared" si="252"/>
        <v>2021</v>
      </c>
      <c r="E1387">
        <f t="shared" si="253"/>
        <v>7</v>
      </c>
      <c r="F1387" t="str">
        <f t="shared" si="255"/>
        <v>July</v>
      </c>
      <c r="G1387">
        <f t="shared" si="254"/>
        <v>20</v>
      </c>
      <c r="H1387" s="7">
        <f t="shared" si="256"/>
        <v>-0.1473798173468166</v>
      </c>
      <c r="I1387" s="9">
        <f t="shared" si="257"/>
        <v>-1.474885282246788E-3</v>
      </c>
      <c r="J1387" s="9">
        <f t="shared" si="258"/>
        <v>57048.908571428568</v>
      </c>
      <c r="K1387" s="9">
        <f t="shared" si="261"/>
        <v>58411.332666666662</v>
      </c>
      <c r="L1387" s="9">
        <f t="shared" si="260"/>
        <v>62848.369555555561</v>
      </c>
      <c r="M1387" s="9">
        <f t="shared" si="259"/>
        <v>7.4371806793724869E-3</v>
      </c>
      <c r="N1387" s="9">
        <f t="shared" si="262"/>
        <v>7.9558286296931725E-3</v>
      </c>
    </row>
    <row r="1388" spans="1:14" x14ac:dyDescent="0.35">
      <c r="A1388" s="1">
        <v>44398</v>
      </c>
      <c r="B1388" s="2" t="s">
        <v>1388</v>
      </c>
      <c r="C1388">
        <f t="shared" si="251"/>
        <v>57031.19</v>
      </c>
      <c r="D1388">
        <f t="shared" si="252"/>
        <v>2021</v>
      </c>
      <c r="E1388">
        <f t="shared" si="253"/>
        <v>7</v>
      </c>
      <c r="F1388" t="str">
        <f t="shared" si="255"/>
        <v>July</v>
      </c>
      <c r="G1388">
        <f t="shared" si="254"/>
        <v>21</v>
      </c>
      <c r="H1388" s="7">
        <f t="shared" si="256"/>
        <v>-0.26478334318480834</v>
      </c>
      <c r="I1388" s="9">
        <f t="shared" si="257"/>
        <v>-2.6513451431101911E-3</v>
      </c>
      <c r="J1388" s="9">
        <f t="shared" si="258"/>
        <v>57032.32</v>
      </c>
      <c r="K1388" s="9">
        <f t="shared" si="261"/>
        <v>58345.503333333319</v>
      </c>
      <c r="L1388" s="9">
        <f t="shared" si="260"/>
        <v>62756.970666666683</v>
      </c>
      <c r="M1388" s="9">
        <f t="shared" si="259"/>
        <v>6.3032965073424032E-3</v>
      </c>
      <c r="N1388" s="9">
        <f t="shared" si="262"/>
        <v>7.9423419353077777E-3</v>
      </c>
    </row>
    <row r="1389" spans="1:14" x14ac:dyDescent="0.35">
      <c r="A1389" s="1">
        <v>44399</v>
      </c>
      <c r="B1389" s="2" t="s">
        <v>1389</v>
      </c>
      <c r="C1389">
        <f t="shared" si="251"/>
        <v>57607.3</v>
      </c>
      <c r="D1389">
        <f t="shared" si="252"/>
        <v>2021</v>
      </c>
      <c r="E1389">
        <f t="shared" si="253"/>
        <v>7</v>
      </c>
      <c r="F1389" t="str">
        <f t="shared" si="255"/>
        <v>July</v>
      </c>
      <c r="G1389">
        <f t="shared" si="254"/>
        <v>22</v>
      </c>
      <c r="H1389" s="7">
        <f t="shared" si="256"/>
        <v>1.0101665422026098</v>
      </c>
      <c r="I1389" s="9">
        <f t="shared" si="257"/>
        <v>1.0050984621096793E-2</v>
      </c>
      <c r="J1389" s="9">
        <f t="shared" si="258"/>
        <v>57174.037142857145</v>
      </c>
      <c r="K1389" s="9">
        <f t="shared" si="261"/>
        <v>58293.219999999987</v>
      </c>
      <c r="L1389" s="9">
        <f t="shared" si="260"/>
        <v>62671.290444444465</v>
      </c>
      <c r="M1389" s="9">
        <f t="shared" si="259"/>
        <v>5.9077925096789712E-3</v>
      </c>
      <c r="N1389" s="9">
        <f t="shared" si="262"/>
        <v>8.1720483365364301E-3</v>
      </c>
    </row>
    <row r="1390" spans="1:14" x14ac:dyDescent="0.35">
      <c r="A1390" s="1">
        <v>44400</v>
      </c>
      <c r="B1390" s="2" t="s">
        <v>1390</v>
      </c>
      <c r="C1390">
        <f t="shared" si="251"/>
        <v>57672.12</v>
      </c>
      <c r="D1390">
        <f t="shared" si="252"/>
        <v>2021</v>
      </c>
      <c r="E1390">
        <f t="shared" si="253"/>
        <v>7</v>
      </c>
      <c r="F1390" t="str">
        <f t="shared" si="255"/>
        <v>July</v>
      </c>
      <c r="G1390">
        <f t="shared" si="254"/>
        <v>23</v>
      </c>
      <c r="H1390" s="7">
        <f t="shared" si="256"/>
        <v>0.11252046181647066</v>
      </c>
      <c r="I1390" s="9">
        <f t="shared" si="257"/>
        <v>1.1245720499163166E-3</v>
      </c>
      <c r="J1390" s="9">
        <f t="shared" si="258"/>
        <v>57305.27</v>
      </c>
      <c r="K1390" s="9">
        <f t="shared" si="261"/>
        <v>58249.4</v>
      </c>
      <c r="L1390" s="9">
        <f t="shared" si="260"/>
        <v>62579.744333333343</v>
      </c>
      <c r="M1390" s="9">
        <f t="shared" si="259"/>
        <v>5.9302175383127891E-3</v>
      </c>
      <c r="N1390" s="9">
        <f t="shared" si="262"/>
        <v>8.1681325340062332E-3</v>
      </c>
    </row>
    <row r="1391" spans="1:14" x14ac:dyDescent="0.35">
      <c r="A1391" s="1">
        <v>44403</v>
      </c>
      <c r="B1391" s="2" t="s">
        <v>1391</v>
      </c>
      <c r="C1391">
        <f t="shared" si="251"/>
        <v>57307.49</v>
      </c>
      <c r="D1391">
        <f t="shared" si="252"/>
        <v>2021</v>
      </c>
      <c r="E1391">
        <f t="shared" si="253"/>
        <v>7</v>
      </c>
      <c r="F1391" t="str">
        <f t="shared" si="255"/>
        <v>July</v>
      </c>
      <c r="G1391">
        <f t="shared" si="254"/>
        <v>26</v>
      </c>
      <c r="H1391" s="7">
        <f t="shared" si="256"/>
        <v>-0.63224656905278431</v>
      </c>
      <c r="I1391" s="9">
        <f t="shared" si="257"/>
        <v>-6.3425371220813421E-3</v>
      </c>
      <c r="J1391" s="9">
        <f t="shared" si="258"/>
        <v>57302.958571428571</v>
      </c>
      <c r="K1391" s="9">
        <f t="shared" si="261"/>
        <v>58205.658000000003</v>
      </c>
      <c r="L1391" s="9">
        <f t="shared" si="260"/>
        <v>62474.941555555568</v>
      </c>
      <c r="M1391" s="9">
        <f t="shared" si="259"/>
        <v>5.5994481362266219E-3</v>
      </c>
      <c r="N1391" s="9">
        <f t="shared" si="262"/>
        <v>8.1705141956604378E-3</v>
      </c>
    </row>
    <row r="1392" spans="1:14" x14ac:dyDescent="0.35">
      <c r="A1392" s="1">
        <v>44404</v>
      </c>
      <c r="B1392" s="2" t="s">
        <v>1392</v>
      </c>
      <c r="C1392">
        <f t="shared" si="251"/>
        <v>56387.040000000001</v>
      </c>
      <c r="D1392">
        <f t="shared" si="252"/>
        <v>2021</v>
      </c>
      <c r="E1392">
        <f t="shared" si="253"/>
        <v>7</v>
      </c>
      <c r="F1392" t="str">
        <f t="shared" si="255"/>
        <v>July</v>
      </c>
      <c r="G1392">
        <f t="shared" si="254"/>
        <v>27</v>
      </c>
      <c r="H1392" s="7">
        <f t="shared" si="256"/>
        <v>-1.606160032484405</v>
      </c>
      <c r="I1392" s="9">
        <f t="shared" si="257"/>
        <v>-1.6191985845610195E-2</v>
      </c>
      <c r="J1392" s="9">
        <f t="shared" si="258"/>
        <v>57207.82</v>
      </c>
      <c r="K1392" s="9">
        <f t="shared" si="261"/>
        <v>58128.063666666669</v>
      </c>
      <c r="L1392" s="9">
        <f t="shared" si="260"/>
        <v>62362.636555555568</v>
      </c>
      <c r="M1392" s="9">
        <f t="shared" si="259"/>
        <v>8.2484415772237397E-3</v>
      </c>
      <c r="N1392" s="9">
        <f t="shared" si="262"/>
        <v>8.6264420826412929E-3</v>
      </c>
    </row>
    <row r="1393" spans="1:14" x14ac:dyDescent="0.35">
      <c r="A1393" s="1">
        <v>44405</v>
      </c>
      <c r="B1393" s="2" t="s">
        <v>1393</v>
      </c>
      <c r="C1393">
        <f t="shared" si="251"/>
        <v>55225.24</v>
      </c>
      <c r="D1393">
        <f t="shared" si="252"/>
        <v>2021</v>
      </c>
      <c r="E1393">
        <f t="shared" si="253"/>
        <v>7</v>
      </c>
      <c r="F1393" t="str">
        <f t="shared" si="255"/>
        <v>July</v>
      </c>
      <c r="G1393">
        <f t="shared" si="254"/>
        <v>28</v>
      </c>
      <c r="H1393" s="7">
        <f t="shared" si="256"/>
        <v>-2.060402532213081</v>
      </c>
      <c r="I1393" s="9">
        <f t="shared" si="257"/>
        <v>-2.081924971024722E-2</v>
      </c>
      <c r="J1393" s="9">
        <f t="shared" si="258"/>
        <v>56916.14</v>
      </c>
      <c r="K1393" s="9">
        <f t="shared" si="261"/>
        <v>57975.967666666671</v>
      </c>
      <c r="L1393" s="9">
        <f t="shared" si="260"/>
        <v>62228.590666666678</v>
      </c>
      <c r="M1393" s="9">
        <f t="shared" si="259"/>
        <v>1.0480566665890648E-2</v>
      </c>
      <c r="N1393" s="9">
        <f t="shared" si="262"/>
        <v>8.5255178640391317E-3</v>
      </c>
    </row>
    <row r="1394" spans="1:14" x14ac:dyDescent="0.35">
      <c r="A1394" s="1">
        <v>44406</v>
      </c>
      <c r="B1394" s="2" t="s">
        <v>1394</v>
      </c>
      <c r="C1394">
        <f t="shared" si="251"/>
        <v>53656.21</v>
      </c>
      <c r="D1394">
        <f t="shared" si="252"/>
        <v>2021</v>
      </c>
      <c r="E1394">
        <f t="shared" si="253"/>
        <v>7</v>
      </c>
      <c r="F1394" t="str">
        <f t="shared" si="255"/>
        <v>July</v>
      </c>
      <c r="G1394">
        <f t="shared" si="254"/>
        <v>29</v>
      </c>
      <c r="H1394" s="7">
        <f t="shared" si="256"/>
        <v>-2.8411465482087519</v>
      </c>
      <c r="I1394" s="9">
        <f t="shared" si="257"/>
        <v>-2.8822882543434087E-2</v>
      </c>
      <c r="J1394" s="9">
        <f t="shared" si="258"/>
        <v>56412.37</v>
      </c>
      <c r="K1394" s="9">
        <f t="shared" si="261"/>
        <v>57746.364666666668</v>
      </c>
      <c r="L1394" s="9">
        <f t="shared" si="260"/>
        <v>62074.032777777793</v>
      </c>
      <c r="M1394" s="9">
        <f t="shared" si="259"/>
        <v>1.3522325282591773E-2</v>
      </c>
      <c r="N1394" s="9">
        <f t="shared" si="262"/>
        <v>9.2930733232401939E-3</v>
      </c>
    </row>
    <row r="1395" spans="1:14" x14ac:dyDescent="0.35">
      <c r="A1395" s="1">
        <v>44407</v>
      </c>
      <c r="B1395" s="2" t="s">
        <v>1395</v>
      </c>
      <c r="C1395">
        <f t="shared" si="251"/>
        <v>53187.81</v>
      </c>
      <c r="D1395">
        <f t="shared" si="252"/>
        <v>2021</v>
      </c>
      <c r="E1395">
        <f t="shared" si="253"/>
        <v>7</v>
      </c>
      <c r="F1395" t="str">
        <f t="shared" si="255"/>
        <v>July</v>
      </c>
      <c r="G1395">
        <f t="shared" si="254"/>
        <v>30</v>
      </c>
      <c r="H1395" s="7">
        <f t="shared" si="256"/>
        <v>-0.87296512370143453</v>
      </c>
      <c r="I1395" s="9">
        <f t="shared" si="257"/>
        <v>-8.7679778574173469E-3</v>
      </c>
      <c r="J1395" s="9">
        <f t="shared" si="258"/>
        <v>55863.315714285716</v>
      </c>
      <c r="K1395" s="9">
        <f t="shared" si="261"/>
        <v>57536.682999999997</v>
      </c>
      <c r="L1395" s="9">
        <f t="shared" si="260"/>
        <v>61907.121111111104</v>
      </c>
      <c r="M1395" s="9">
        <f t="shared" si="259"/>
        <v>1.3231169909997394E-2</v>
      </c>
      <c r="N1395" s="9">
        <f t="shared" si="262"/>
        <v>8.9741336513226421E-3</v>
      </c>
    </row>
    <row r="1396" spans="1:14" x14ac:dyDescent="0.35">
      <c r="A1396" s="1">
        <v>44410</v>
      </c>
      <c r="B1396" s="2" t="s">
        <v>1396</v>
      </c>
      <c r="C1396">
        <f t="shared" si="251"/>
        <v>52618.04</v>
      </c>
      <c r="D1396">
        <f t="shared" si="252"/>
        <v>2021</v>
      </c>
      <c r="E1396">
        <f t="shared" si="253"/>
        <v>8</v>
      </c>
      <c r="F1396" t="str">
        <f t="shared" si="255"/>
        <v>August</v>
      </c>
      <c r="G1396">
        <f t="shared" si="254"/>
        <v>2</v>
      </c>
      <c r="H1396" s="7">
        <f t="shared" si="256"/>
        <v>-1.0712416999308616</v>
      </c>
      <c r="I1396" s="9">
        <f t="shared" si="257"/>
        <v>-1.0770208029927682E-2</v>
      </c>
      <c r="J1396" s="9">
        <f t="shared" si="258"/>
        <v>55150.564285714281</v>
      </c>
      <c r="K1396" s="9">
        <f t="shared" si="261"/>
        <v>57306.991000000009</v>
      </c>
      <c r="L1396" s="9">
        <f t="shared" si="260"/>
        <v>61727.598666666665</v>
      </c>
      <c r="M1396" s="9">
        <f t="shared" si="259"/>
        <v>9.9026629422309127E-3</v>
      </c>
      <c r="N1396" s="9">
        <f t="shared" si="262"/>
        <v>9.0266290316083422E-3</v>
      </c>
    </row>
    <row r="1397" spans="1:14" x14ac:dyDescent="0.35">
      <c r="A1397" s="1">
        <v>44411</v>
      </c>
      <c r="B1397" s="2" t="s">
        <v>1397</v>
      </c>
      <c r="C1397">
        <f t="shared" si="251"/>
        <v>51684.7</v>
      </c>
      <c r="D1397">
        <f t="shared" si="252"/>
        <v>2021</v>
      </c>
      <c r="E1397">
        <f t="shared" si="253"/>
        <v>8</v>
      </c>
      <c r="F1397" t="str">
        <f t="shared" si="255"/>
        <v>August</v>
      </c>
      <c r="G1397">
        <f t="shared" si="254"/>
        <v>3</v>
      </c>
      <c r="H1397" s="7">
        <f t="shared" si="256"/>
        <v>-1.7738022929018333</v>
      </c>
      <c r="I1397" s="9">
        <f t="shared" si="257"/>
        <v>-1.7897227112200161E-2</v>
      </c>
      <c r="J1397" s="9">
        <f t="shared" si="258"/>
        <v>54295.218571428566</v>
      </c>
      <c r="K1397" s="9">
        <f t="shared" si="261"/>
        <v>57049.394000000008</v>
      </c>
      <c r="L1397" s="9">
        <f t="shared" si="260"/>
        <v>61540.573222222221</v>
      </c>
      <c r="M1397" s="9">
        <f t="shared" si="259"/>
        <v>7.7823804063480335E-3</v>
      </c>
      <c r="N1397" s="9">
        <f t="shared" si="262"/>
        <v>9.355466394465918E-3</v>
      </c>
    </row>
    <row r="1398" spans="1:14" x14ac:dyDescent="0.35">
      <c r="A1398" s="1">
        <v>44412</v>
      </c>
      <c r="B1398" s="2" t="s">
        <v>1398</v>
      </c>
      <c r="C1398">
        <f t="shared" si="251"/>
        <v>51896.97</v>
      </c>
      <c r="D1398">
        <f t="shared" si="252"/>
        <v>2021</v>
      </c>
      <c r="E1398">
        <f t="shared" si="253"/>
        <v>8</v>
      </c>
      <c r="F1398" t="str">
        <f t="shared" si="255"/>
        <v>August</v>
      </c>
      <c r="G1398">
        <f t="shared" si="254"/>
        <v>4</v>
      </c>
      <c r="H1398" s="7">
        <f t="shared" si="256"/>
        <v>0.41070181310910986</v>
      </c>
      <c r="I1398" s="9">
        <f t="shared" si="257"/>
        <v>4.0986073530740481E-3</v>
      </c>
      <c r="J1398" s="9">
        <f t="shared" si="258"/>
        <v>53522.287142857145</v>
      </c>
      <c r="K1398" s="9">
        <f t="shared" si="261"/>
        <v>56803.200666666664</v>
      </c>
      <c r="L1398" s="9">
        <f t="shared" si="260"/>
        <v>61354.362222222218</v>
      </c>
      <c r="M1398" s="9">
        <f t="shared" si="259"/>
        <v>1.0419393204900559E-2</v>
      </c>
      <c r="N1398" s="9">
        <f t="shared" si="262"/>
        <v>9.4819448145151836E-3</v>
      </c>
    </row>
    <row r="1399" spans="1:14" x14ac:dyDescent="0.35">
      <c r="A1399" s="1">
        <v>44413</v>
      </c>
      <c r="B1399" s="2" t="s">
        <v>1399</v>
      </c>
      <c r="C1399">
        <f t="shared" si="251"/>
        <v>52308.14</v>
      </c>
      <c r="D1399">
        <f t="shared" si="252"/>
        <v>2021</v>
      </c>
      <c r="E1399">
        <f t="shared" si="253"/>
        <v>8</v>
      </c>
      <c r="F1399" t="str">
        <f t="shared" si="255"/>
        <v>August</v>
      </c>
      <c r="G1399">
        <f t="shared" si="254"/>
        <v>5</v>
      </c>
      <c r="H1399" s="7">
        <f t="shared" si="256"/>
        <v>0.79228132201166701</v>
      </c>
      <c r="I1399" s="9">
        <f t="shared" si="257"/>
        <v>7.89159253083189E-3</v>
      </c>
      <c r="J1399" s="9">
        <f t="shared" si="258"/>
        <v>52939.587142857141</v>
      </c>
      <c r="K1399" s="9">
        <f t="shared" si="261"/>
        <v>56570.413666666667</v>
      </c>
      <c r="L1399" s="9">
        <f t="shared" si="260"/>
        <v>61175.272999999994</v>
      </c>
      <c r="M1399" s="9">
        <f t="shared" si="259"/>
        <v>1.3235160757081966E-2</v>
      </c>
      <c r="N1399" s="9">
        <f t="shared" si="262"/>
        <v>9.7135304812582327E-3</v>
      </c>
    </row>
    <row r="1400" spans="1:14" x14ac:dyDescent="0.35">
      <c r="A1400" s="1">
        <v>44414</v>
      </c>
      <c r="B1400" s="2" t="s">
        <v>1400</v>
      </c>
      <c r="C1400">
        <f t="shared" si="251"/>
        <v>54079.43</v>
      </c>
      <c r="D1400">
        <f t="shared" si="252"/>
        <v>2021</v>
      </c>
      <c r="E1400">
        <f t="shared" si="253"/>
        <v>8</v>
      </c>
      <c r="F1400" t="str">
        <f t="shared" si="255"/>
        <v>August</v>
      </c>
      <c r="G1400">
        <f t="shared" si="254"/>
        <v>6</v>
      </c>
      <c r="H1400" s="7">
        <f t="shared" si="256"/>
        <v>3.3862607234743978</v>
      </c>
      <c r="I1400" s="9">
        <f t="shared" si="257"/>
        <v>3.3301892242816065E-2</v>
      </c>
      <c r="J1400" s="9">
        <f t="shared" si="258"/>
        <v>52775.9</v>
      </c>
      <c r="K1400" s="9">
        <f t="shared" si="261"/>
        <v>56401.082666666669</v>
      </c>
      <c r="L1400" s="9">
        <f t="shared" si="260"/>
        <v>61017.586777777775</v>
      </c>
      <c r="M1400" s="9">
        <f t="shared" si="259"/>
        <v>2.0286442810095156E-2</v>
      </c>
      <c r="N1400" s="9">
        <f t="shared" si="262"/>
        <v>1.1883120116737669E-2</v>
      </c>
    </row>
    <row r="1401" spans="1:14" x14ac:dyDescent="0.35">
      <c r="A1401" s="1">
        <v>44418</v>
      </c>
      <c r="B1401" s="2" t="s">
        <v>1401</v>
      </c>
      <c r="C1401">
        <f t="shared" si="251"/>
        <v>54890.879999999997</v>
      </c>
      <c r="D1401">
        <f t="shared" si="252"/>
        <v>2021</v>
      </c>
      <c r="E1401">
        <f t="shared" si="253"/>
        <v>8</v>
      </c>
      <c r="F1401" t="str">
        <f t="shared" si="255"/>
        <v>August</v>
      </c>
      <c r="G1401">
        <f t="shared" si="254"/>
        <v>10</v>
      </c>
      <c r="H1401" s="7">
        <f t="shared" si="256"/>
        <v>1.5004780930568185</v>
      </c>
      <c r="I1401" s="9">
        <f t="shared" si="257"/>
        <v>1.4893322759079237E-2</v>
      </c>
      <c r="J1401" s="9">
        <f t="shared" si="258"/>
        <v>52952.281428571427</v>
      </c>
      <c r="K1401" s="9">
        <f t="shared" si="261"/>
        <v>56246.521999999997</v>
      </c>
      <c r="L1401" s="9">
        <f t="shared" si="260"/>
        <v>60874.779444444437</v>
      </c>
      <c r="M1401" s="9">
        <f t="shared" si="259"/>
        <v>1.7555393033797724E-2</v>
      </c>
      <c r="N1401" s="9">
        <f t="shared" si="262"/>
        <v>1.2216169635119269E-2</v>
      </c>
    </row>
    <row r="1402" spans="1:14" x14ac:dyDescent="0.35">
      <c r="A1402" s="1">
        <v>44419</v>
      </c>
      <c r="B1402" s="2" t="s">
        <v>1402</v>
      </c>
      <c r="C1402">
        <f t="shared" si="251"/>
        <v>55339.58</v>
      </c>
      <c r="D1402">
        <f t="shared" si="252"/>
        <v>2021</v>
      </c>
      <c r="E1402">
        <f t="shared" si="253"/>
        <v>8</v>
      </c>
      <c r="F1402" t="str">
        <f t="shared" si="255"/>
        <v>August</v>
      </c>
      <c r="G1402">
        <f t="shared" si="254"/>
        <v>11</v>
      </c>
      <c r="H1402" s="7">
        <f t="shared" si="256"/>
        <v>0.8174399827439538</v>
      </c>
      <c r="I1402" s="9">
        <f t="shared" si="257"/>
        <v>8.1411703855113916E-3</v>
      </c>
      <c r="J1402" s="9">
        <f t="shared" si="258"/>
        <v>53259.677142857145</v>
      </c>
      <c r="K1402" s="9">
        <f t="shared" si="261"/>
        <v>56110.528999999995</v>
      </c>
      <c r="L1402" s="9">
        <f t="shared" si="260"/>
        <v>60730.477111111104</v>
      </c>
      <c r="M1402" s="9">
        <f t="shared" si="259"/>
        <v>1.6771985972651639E-2</v>
      </c>
      <c r="N1402" s="9">
        <f t="shared" si="262"/>
        <v>1.2375340755633376E-2</v>
      </c>
    </row>
    <row r="1403" spans="1:14" x14ac:dyDescent="0.35">
      <c r="A1403" s="1">
        <v>44420</v>
      </c>
      <c r="B1403" s="2" t="s">
        <v>1403</v>
      </c>
      <c r="C1403">
        <f t="shared" si="251"/>
        <v>54796.42</v>
      </c>
      <c r="D1403">
        <f t="shared" si="252"/>
        <v>2021</v>
      </c>
      <c r="E1403">
        <f t="shared" si="253"/>
        <v>8</v>
      </c>
      <c r="F1403" t="str">
        <f t="shared" si="255"/>
        <v>August</v>
      </c>
      <c r="G1403">
        <f t="shared" si="254"/>
        <v>12</v>
      </c>
      <c r="H1403" s="7">
        <f t="shared" si="256"/>
        <v>-0.98150365434649756</v>
      </c>
      <c r="I1403" s="9">
        <f t="shared" si="257"/>
        <v>-9.8635215301059887E-3</v>
      </c>
      <c r="J1403" s="9">
        <f t="shared" si="258"/>
        <v>53570.874285714286</v>
      </c>
      <c r="K1403" s="9">
        <f t="shared" si="261"/>
        <v>55972.160333333319</v>
      </c>
      <c r="L1403" s="9">
        <f t="shared" si="260"/>
        <v>60578.095666666646</v>
      </c>
      <c r="M1403" s="9">
        <f t="shared" si="259"/>
        <v>1.6626773006017944E-2</v>
      </c>
      <c r="N1403" s="9">
        <f t="shared" si="262"/>
        <v>1.2409610420024501E-2</v>
      </c>
    </row>
    <row r="1404" spans="1:14" x14ac:dyDescent="0.35">
      <c r="A1404" s="1">
        <v>44421</v>
      </c>
      <c r="B1404" s="2" t="s">
        <v>1404</v>
      </c>
      <c r="C1404">
        <f t="shared" si="251"/>
        <v>55345.49</v>
      </c>
      <c r="D1404">
        <f t="shared" si="252"/>
        <v>2021</v>
      </c>
      <c r="E1404">
        <f t="shared" si="253"/>
        <v>8</v>
      </c>
      <c r="F1404" t="str">
        <f t="shared" si="255"/>
        <v>August</v>
      </c>
      <c r="G1404">
        <f t="shared" si="254"/>
        <v>13</v>
      </c>
      <c r="H1404" s="7">
        <f t="shared" si="256"/>
        <v>1.0020180150455078</v>
      </c>
      <c r="I1404" s="9">
        <f t="shared" si="257"/>
        <v>9.9703110005488933E-3</v>
      </c>
      <c r="J1404" s="9">
        <f t="shared" si="258"/>
        <v>54093.84428571428</v>
      </c>
      <c r="K1404" s="9">
        <f t="shared" si="261"/>
        <v>55874.277333333324</v>
      </c>
      <c r="L1404" s="9">
        <f t="shared" si="260"/>
        <v>60442.634888888882</v>
      </c>
      <c r="M1404" s="9">
        <f t="shared" si="259"/>
        <v>1.2934834151193316E-2</v>
      </c>
      <c r="N1404" s="9">
        <f t="shared" si="262"/>
        <v>1.249151687844572E-2</v>
      </c>
    </row>
    <row r="1405" spans="1:14" x14ac:dyDescent="0.35">
      <c r="A1405" s="1">
        <v>44424</v>
      </c>
      <c r="B1405" s="2" t="s">
        <v>1405</v>
      </c>
      <c r="C1405">
        <f t="shared" si="251"/>
        <v>55271.75</v>
      </c>
      <c r="D1405">
        <f t="shared" si="252"/>
        <v>2021</v>
      </c>
      <c r="E1405">
        <f t="shared" si="253"/>
        <v>8</v>
      </c>
      <c r="F1405" t="str">
        <f t="shared" si="255"/>
        <v>August</v>
      </c>
      <c r="G1405">
        <f t="shared" si="254"/>
        <v>16</v>
      </c>
      <c r="H1405" s="7">
        <f t="shared" si="256"/>
        <v>-0.13323578849875206</v>
      </c>
      <c r="I1405" s="9">
        <f t="shared" si="257"/>
        <v>-1.3332462629336273E-3</v>
      </c>
      <c r="J1405" s="9">
        <f t="shared" si="258"/>
        <v>54575.955714285716</v>
      </c>
      <c r="K1405" s="9">
        <f t="shared" si="261"/>
        <v>55799.67833333333</v>
      </c>
      <c r="L1405" s="9">
        <f t="shared" si="260"/>
        <v>60321.898222222211</v>
      </c>
      <c r="M1405" s="9">
        <f t="shared" si="259"/>
        <v>1.3483504126048484E-2</v>
      </c>
      <c r="N1405" s="9">
        <f t="shared" si="262"/>
        <v>1.2297356648223149E-2</v>
      </c>
    </row>
    <row r="1406" spans="1:14" x14ac:dyDescent="0.35">
      <c r="A1406" s="1">
        <v>44425</v>
      </c>
      <c r="B1406" s="2" t="s">
        <v>1406</v>
      </c>
      <c r="C1406">
        <f t="shared" si="251"/>
        <v>55161.03</v>
      </c>
      <c r="D1406">
        <f t="shared" si="252"/>
        <v>2021</v>
      </c>
      <c r="E1406">
        <f t="shared" si="253"/>
        <v>8</v>
      </c>
      <c r="F1406" t="str">
        <f t="shared" si="255"/>
        <v>August</v>
      </c>
      <c r="G1406">
        <f t="shared" si="254"/>
        <v>17</v>
      </c>
      <c r="H1406" s="7">
        <f t="shared" si="256"/>
        <v>-0.20031933130396842</v>
      </c>
      <c r="I1406" s="9">
        <f t="shared" si="257"/>
        <v>-2.0052023882567611E-3</v>
      </c>
      <c r="J1406" s="9">
        <f t="shared" si="258"/>
        <v>54983.511428571423</v>
      </c>
      <c r="K1406" s="9">
        <f t="shared" si="261"/>
        <v>55735.316333333329</v>
      </c>
      <c r="L1406" s="9">
        <f t="shared" si="260"/>
        <v>60184.978999999992</v>
      </c>
      <c r="M1406" s="9">
        <f t="shared" si="259"/>
        <v>1.4122837005910082E-2</v>
      </c>
      <c r="N1406" s="9">
        <f t="shared" si="262"/>
        <v>1.2246647855976208E-2</v>
      </c>
    </row>
    <row r="1407" spans="1:14" x14ac:dyDescent="0.35">
      <c r="A1407" s="1">
        <v>44426</v>
      </c>
      <c r="B1407" s="2" t="s">
        <v>1407</v>
      </c>
      <c r="C1407">
        <f t="shared" si="251"/>
        <v>55047.26</v>
      </c>
      <c r="D1407">
        <f t="shared" si="252"/>
        <v>2021</v>
      </c>
      <c r="E1407">
        <f t="shared" si="253"/>
        <v>8</v>
      </c>
      <c r="F1407" t="str">
        <f t="shared" si="255"/>
        <v>August</v>
      </c>
      <c r="G1407">
        <f t="shared" si="254"/>
        <v>18</v>
      </c>
      <c r="H1407" s="7">
        <f t="shared" si="256"/>
        <v>-0.2062506809608102</v>
      </c>
      <c r="I1407" s="9">
        <f t="shared" si="257"/>
        <v>-2.0646367058988879E-3</v>
      </c>
      <c r="J1407" s="9">
        <f t="shared" si="258"/>
        <v>55121.77285714286</v>
      </c>
      <c r="K1407" s="9">
        <f t="shared" si="261"/>
        <v>55642.808333333327</v>
      </c>
      <c r="L1407" s="9">
        <f t="shared" si="260"/>
        <v>60061.051222222217</v>
      </c>
      <c r="M1407" s="9">
        <f t="shared" si="259"/>
        <v>8.659271444609604E-3</v>
      </c>
      <c r="N1407" s="9">
        <f t="shared" si="262"/>
        <v>1.1963760911550051E-2</v>
      </c>
    </row>
    <row r="1408" spans="1:14" x14ac:dyDescent="0.35">
      <c r="A1408" s="1">
        <v>44427</v>
      </c>
      <c r="B1408" s="2" t="s">
        <v>1408</v>
      </c>
      <c r="C1408">
        <f t="shared" si="251"/>
        <v>54843.96</v>
      </c>
      <c r="D1408">
        <f t="shared" si="252"/>
        <v>2021</v>
      </c>
      <c r="E1408">
        <f t="shared" si="253"/>
        <v>8</v>
      </c>
      <c r="F1408" t="str">
        <f t="shared" si="255"/>
        <v>August</v>
      </c>
      <c r="G1408">
        <f t="shared" si="254"/>
        <v>19</v>
      </c>
      <c r="H1408" s="7">
        <f t="shared" si="256"/>
        <v>-0.3693190178766444</v>
      </c>
      <c r="I1408" s="9">
        <f t="shared" si="257"/>
        <v>-3.7000268435409644E-3</v>
      </c>
      <c r="J1408" s="9">
        <f t="shared" si="258"/>
        <v>55115.070000000007</v>
      </c>
      <c r="K1408" s="9">
        <f t="shared" si="261"/>
        <v>55540.150666666654</v>
      </c>
      <c r="L1408" s="9">
        <f t="shared" si="260"/>
        <v>59937.96633333333</v>
      </c>
      <c r="M1408" s="9">
        <f t="shared" si="259"/>
        <v>6.9116043710610777E-3</v>
      </c>
      <c r="N1408" s="9">
        <f t="shared" si="262"/>
        <v>1.1951905302089861E-2</v>
      </c>
    </row>
    <row r="1409" spans="1:14" x14ac:dyDescent="0.35">
      <c r="A1409" s="1">
        <v>44428</v>
      </c>
      <c r="B1409" s="2" t="s">
        <v>1409</v>
      </c>
      <c r="C1409">
        <f t="shared" si="251"/>
        <v>55394.23</v>
      </c>
      <c r="D1409">
        <f t="shared" si="252"/>
        <v>2021</v>
      </c>
      <c r="E1409">
        <f t="shared" si="253"/>
        <v>8</v>
      </c>
      <c r="F1409" t="str">
        <f t="shared" si="255"/>
        <v>August</v>
      </c>
      <c r="G1409">
        <f t="shared" si="254"/>
        <v>20</v>
      </c>
      <c r="H1409" s="7">
        <f t="shared" si="256"/>
        <v>1.0033374687021215</v>
      </c>
      <c r="I1409" s="9">
        <f t="shared" si="257"/>
        <v>9.9833745517944519E-3</v>
      </c>
      <c r="J1409" s="9">
        <f t="shared" si="258"/>
        <v>55122.877142857142</v>
      </c>
      <c r="K1409" s="9">
        <f t="shared" si="261"/>
        <v>55461.885333333317</v>
      </c>
      <c r="L1409" s="9">
        <f t="shared" si="260"/>
        <v>59804.981999999996</v>
      </c>
      <c r="M1409" s="9">
        <f t="shared" si="259"/>
        <v>7.3026941356784747E-3</v>
      </c>
      <c r="N1409" s="9">
        <f t="shared" si="262"/>
        <v>1.2140649203928697E-2</v>
      </c>
    </row>
    <row r="1410" spans="1:14" x14ac:dyDescent="0.35">
      <c r="A1410" s="1">
        <v>44431</v>
      </c>
      <c r="B1410" s="2" t="s">
        <v>1410</v>
      </c>
      <c r="C1410">
        <f t="shared" si="251"/>
        <v>55054.53</v>
      </c>
      <c r="D1410">
        <f t="shared" si="252"/>
        <v>2021</v>
      </c>
      <c r="E1410">
        <f t="shared" si="253"/>
        <v>8</v>
      </c>
      <c r="F1410" t="str">
        <f t="shared" si="255"/>
        <v>August</v>
      </c>
      <c r="G1410">
        <f t="shared" si="254"/>
        <v>23</v>
      </c>
      <c r="H1410" s="7">
        <f t="shared" si="256"/>
        <v>-0.61324076532881555</v>
      </c>
      <c r="I1410" s="9">
        <f t="shared" si="257"/>
        <v>-6.1512880930454537E-3</v>
      </c>
      <c r="J1410" s="9">
        <f t="shared" si="258"/>
        <v>55159.75</v>
      </c>
      <c r="K1410" s="9">
        <f t="shared" si="261"/>
        <v>55371.638999999988</v>
      </c>
      <c r="L1410" s="9">
        <f t="shared" si="260"/>
        <v>59667.089444444442</v>
      </c>
      <c r="M1410" s="9">
        <f t="shared" si="259"/>
        <v>6.5512055521013569E-3</v>
      </c>
      <c r="N1410" s="9">
        <f t="shared" si="262"/>
        <v>1.2166676740149566E-2</v>
      </c>
    </row>
    <row r="1411" spans="1:14" x14ac:dyDescent="0.35">
      <c r="A1411" s="1">
        <v>44432</v>
      </c>
      <c r="B1411" s="2" t="s">
        <v>1411</v>
      </c>
      <c r="C1411">
        <f t="shared" ref="C1411:C1474" si="263">_xlfn.NUMBERVALUE(B1411,".",",")</f>
        <v>55552.35</v>
      </c>
      <c r="D1411">
        <f t="shared" ref="D1411:D1474" si="264">YEAR(A1411)</f>
        <v>2021</v>
      </c>
      <c r="E1411">
        <f t="shared" ref="E1411:E1474" si="265">MONTH(A1411)</f>
        <v>8</v>
      </c>
      <c r="F1411" t="str">
        <f t="shared" si="255"/>
        <v>August</v>
      </c>
      <c r="G1411">
        <f t="shared" ref="G1411:G1474" si="266">DAY(A1411)</f>
        <v>24</v>
      </c>
      <c r="H1411" s="7">
        <f t="shared" si="256"/>
        <v>0.90423076902118626</v>
      </c>
      <c r="I1411" s="9">
        <f t="shared" si="257"/>
        <v>9.0016708097764887E-3</v>
      </c>
      <c r="J1411" s="9">
        <f t="shared" si="258"/>
        <v>55189.301428571423</v>
      </c>
      <c r="K1411" s="9">
        <f t="shared" si="261"/>
        <v>55318.473666666665</v>
      </c>
      <c r="L1411" s="9">
        <f t="shared" si="260"/>
        <v>59544.610555555548</v>
      </c>
      <c r="M1411" s="9">
        <f t="shared" si="259"/>
        <v>6.3284970693158367E-3</v>
      </c>
      <c r="N1411" s="9">
        <f t="shared" si="262"/>
        <v>1.2190325915522217E-2</v>
      </c>
    </row>
    <row r="1412" spans="1:14" x14ac:dyDescent="0.35">
      <c r="A1412" s="1">
        <v>44433</v>
      </c>
      <c r="B1412" s="2" t="s">
        <v>1412</v>
      </c>
      <c r="C1412">
        <f t="shared" si="263"/>
        <v>55182.99</v>
      </c>
      <c r="D1412">
        <f t="shared" si="264"/>
        <v>2021</v>
      </c>
      <c r="E1412">
        <f t="shared" si="265"/>
        <v>8</v>
      </c>
      <c r="F1412" t="str">
        <f t="shared" ref="F1412:F1475" si="267">TEXT(A1412,"mmmm")</f>
        <v>August</v>
      </c>
      <c r="G1412">
        <f t="shared" si="266"/>
        <v>25</v>
      </c>
      <c r="H1412" s="7">
        <f t="shared" ref="H1412:H1475" si="268">((C1412-C1411)/C1411)*100</f>
        <v>-0.66488636394320066</v>
      </c>
      <c r="I1412" s="9">
        <f t="shared" ref="I1412:I1475" si="269">LN(C1412/C1411)</f>
        <v>-6.6710658007639138E-3</v>
      </c>
      <c r="J1412" s="9">
        <f t="shared" si="258"/>
        <v>55176.621428571423</v>
      </c>
      <c r="K1412" s="9">
        <f t="shared" si="261"/>
        <v>55270.730666666663</v>
      </c>
      <c r="L1412" s="9">
        <f t="shared" si="260"/>
        <v>59412.087444444434</v>
      </c>
      <c r="M1412" s="9">
        <f t="shared" si="259"/>
        <v>6.8877193555174207E-3</v>
      </c>
      <c r="N1412" s="9">
        <f t="shared" si="262"/>
        <v>1.213623279878785E-2</v>
      </c>
    </row>
    <row r="1413" spans="1:14" x14ac:dyDescent="0.35">
      <c r="A1413" s="1">
        <v>44434</v>
      </c>
      <c r="B1413" s="2" t="s">
        <v>1413</v>
      </c>
      <c r="C1413">
        <f t="shared" si="263"/>
        <v>54554.85</v>
      </c>
      <c r="D1413">
        <f t="shared" si="264"/>
        <v>2021</v>
      </c>
      <c r="E1413">
        <f t="shared" si="265"/>
        <v>8</v>
      </c>
      <c r="F1413" t="str">
        <f t="shared" si="267"/>
        <v>August</v>
      </c>
      <c r="G1413">
        <f t="shared" si="266"/>
        <v>26</v>
      </c>
      <c r="H1413" s="7">
        <f t="shared" si="268"/>
        <v>-1.1382855477747751</v>
      </c>
      <c r="I1413" s="9">
        <f t="shared" si="269"/>
        <v>-1.1448136036051453E-2</v>
      </c>
      <c r="J1413" s="9">
        <f t="shared" si="258"/>
        <v>55090.02428571428</v>
      </c>
      <c r="K1413" s="9">
        <f t="shared" si="261"/>
        <v>55197.44266666667</v>
      </c>
      <c r="L1413" s="9">
        <f t="shared" si="260"/>
        <v>59271.285111111094</v>
      </c>
      <c r="M1413" s="9">
        <f t="shared" si="259"/>
        <v>8.1097523119849357E-3</v>
      </c>
      <c r="N1413" s="9">
        <f t="shared" si="262"/>
        <v>1.2270403932229683E-2</v>
      </c>
    </row>
    <row r="1414" spans="1:14" x14ac:dyDescent="0.35">
      <c r="A1414" s="1">
        <v>44435</v>
      </c>
      <c r="B1414" s="2" t="s">
        <v>1414</v>
      </c>
      <c r="C1414">
        <f t="shared" si="263"/>
        <v>54749.77</v>
      </c>
      <c r="D1414">
        <f t="shared" si="264"/>
        <v>2021</v>
      </c>
      <c r="E1414">
        <f t="shared" si="265"/>
        <v>8</v>
      </c>
      <c r="F1414" t="str">
        <f t="shared" si="267"/>
        <v>August</v>
      </c>
      <c r="G1414">
        <f t="shared" si="266"/>
        <v>27</v>
      </c>
      <c r="H1414" s="7">
        <f t="shared" si="268"/>
        <v>0.35729178982253318</v>
      </c>
      <c r="I1414" s="9">
        <f t="shared" si="269"/>
        <v>3.5665501900963934E-3</v>
      </c>
      <c r="J1414" s="9">
        <f t="shared" si="258"/>
        <v>55047.525714285715</v>
      </c>
      <c r="K1414" s="9">
        <f t="shared" si="261"/>
        <v>55111.646000000015</v>
      </c>
      <c r="L1414" s="9">
        <f t="shared" si="260"/>
        <v>59133.784444444427</v>
      </c>
      <c r="M1414" s="9">
        <f t="shared" si="259"/>
        <v>8.3298124064473331E-3</v>
      </c>
      <c r="N1414" s="9">
        <f t="shared" si="262"/>
        <v>1.2121223263965386E-2</v>
      </c>
    </row>
    <row r="1415" spans="1:14" x14ac:dyDescent="0.35">
      <c r="A1415" s="1">
        <v>44438</v>
      </c>
      <c r="B1415" s="2" t="s">
        <v>1415</v>
      </c>
      <c r="C1415">
        <f t="shared" si="263"/>
        <v>54203.83</v>
      </c>
      <c r="D1415">
        <f t="shared" si="264"/>
        <v>2021</v>
      </c>
      <c r="E1415">
        <f t="shared" si="265"/>
        <v>8</v>
      </c>
      <c r="F1415" t="str">
        <f t="shared" si="267"/>
        <v>August</v>
      </c>
      <c r="G1415">
        <f t="shared" si="266"/>
        <v>30</v>
      </c>
      <c r="H1415" s="7">
        <f t="shared" si="268"/>
        <v>-0.99715487389261204</v>
      </c>
      <c r="I1415" s="9">
        <f t="shared" si="269"/>
        <v>-1.0021597618899107E-2</v>
      </c>
      <c r="J1415" s="9">
        <f t="shared" si="258"/>
        <v>54956.078571428581</v>
      </c>
      <c r="K1415" s="9">
        <f t="shared" si="261"/>
        <v>55016.67333333334</v>
      </c>
      <c r="L1415" s="9">
        <f t="shared" si="260"/>
        <v>59001.246555555539</v>
      </c>
      <c r="M1415" s="9">
        <f t="shared" si="259"/>
        <v>9.0144376719427897E-3</v>
      </c>
      <c r="N1415" s="9">
        <f t="shared" si="262"/>
        <v>1.2207544665723232E-2</v>
      </c>
    </row>
    <row r="1416" spans="1:14" x14ac:dyDescent="0.35">
      <c r="A1416" s="1">
        <v>44439</v>
      </c>
      <c r="B1416" s="2" t="s">
        <v>1416</v>
      </c>
      <c r="C1416">
        <f t="shared" si="263"/>
        <v>54524.05</v>
      </c>
      <c r="D1416">
        <f t="shared" si="264"/>
        <v>2021</v>
      </c>
      <c r="E1416">
        <f t="shared" si="265"/>
        <v>8</v>
      </c>
      <c r="F1416" t="str">
        <f t="shared" si="267"/>
        <v>August</v>
      </c>
      <c r="G1416">
        <f t="shared" si="266"/>
        <v>31</v>
      </c>
      <c r="H1416" s="7">
        <f t="shared" si="268"/>
        <v>0.59077006182035696</v>
      </c>
      <c r="I1416" s="9">
        <f t="shared" si="269"/>
        <v>5.8903185798950888E-3</v>
      </c>
      <c r="J1416" s="9">
        <f t="shared" si="258"/>
        <v>54831.767142857141</v>
      </c>
      <c r="K1416" s="9">
        <f t="shared" si="261"/>
        <v>54925.241666666676</v>
      </c>
      <c r="L1416" s="9">
        <f t="shared" si="260"/>
        <v>58875.039111111095</v>
      </c>
      <c r="M1416" s="9">
        <f t="shared" si="259"/>
        <v>8.2306890073536674E-3</v>
      </c>
      <c r="N1416" s="9">
        <f t="shared" si="262"/>
        <v>1.2246827132330895E-2</v>
      </c>
    </row>
    <row r="1417" spans="1:14" x14ac:dyDescent="0.35">
      <c r="A1417" s="1">
        <v>44440</v>
      </c>
      <c r="B1417" s="2" t="s">
        <v>1417</v>
      </c>
      <c r="C1417">
        <f t="shared" si="263"/>
        <v>54219.24</v>
      </c>
      <c r="D1417">
        <f t="shared" si="264"/>
        <v>2021</v>
      </c>
      <c r="E1417">
        <f t="shared" si="265"/>
        <v>9</v>
      </c>
      <c r="F1417" t="str">
        <f t="shared" si="267"/>
        <v>September</v>
      </c>
      <c r="G1417">
        <f t="shared" si="266"/>
        <v>1</v>
      </c>
      <c r="H1417" s="7">
        <f t="shared" si="268"/>
        <v>-0.55903770904766781</v>
      </c>
      <c r="I1417" s="9">
        <f t="shared" si="269"/>
        <v>-5.6060617311680279E-3</v>
      </c>
      <c r="J1417" s="9">
        <f t="shared" ref="J1417:J1480" si="270">AVERAGE(C1411:C1417)</f>
        <v>54712.439999999995</v>
      </c>
      <c r="K1417" s="9">
        <f t="shared" si="261"/>
        <v>54826.463000000011</v>
      </c>
      <c r="L1417" s="9">
        <f t="shared" si="260"/>
        <v>58742.465999999993</v>
      </c>
      <c r="M1417" s="9">
        <f t="shared" si="259"/>
        <v>8.1902289181572593E-3</v>
      </c>
      <c r="N1417" s="9">
        <f t="shared" si="262"/>
        <v>1.226815935347041E-2</v>
      </c>
    </row>
    <row r="1418" spans="1:14" x14ac:dyDescent="0.35">
      <c r="A1418" s="1">
        <v>44441</v>
      </c>
      <c r="B1418" s="2" t="s">
        <v>1418</v>
      </c>
      <c r="C1418">
        <f t="shared" si="263"/>
        <v>54446.78</v>
      </c>
      <c r="D1418">
        <f t="shared" si="264"/>
        <v>2021</v>
      </c>
      <c r="E1418">
        <f t="shared" si="265"/>
        <v>9</v>
      </c>
      <c r="F1418" t="str">
        <f t="shared" si="267"/>
        <v>September</v>
      </c>
      <c r="G1418">
        <f t="shared" si="266"/>
        <v>2</v>
      </c>
      <c r="H1418" s="7">
        <f t="shared" si="268"/>
        <v>0.41966652428178791</v>
      </c>
      <c r="I1418" s="9">
        <f t="shared" si="269"/>
        <v>4.1878838031730601E-3</v>
      </c>
      <c r="J1418" s="9">
        <f t="shared" si="270"/>
        <v>54554.501428571428</v>
      </c>
      <c r="K1418" s="9">
        <f t="shared" si="261"/>
        <v>54740.316000000013</v>
      </c>
      <c r="L1418" s="9">
        <f t="shared" si="260"/>
        <v>58623.400333333338</v>
      </c>
      <c r="M1418" s="9">
        <f t="shared" ref="M1418:M1481" si="271">STDEV(I1412:I1418)</f>
        <v>7.2416614596677205E-3</v>
      </c>
      <c r="N1418" s="9">
        <f t="shared" si="262"/>
        <v>1.2314746732920559E-2</v>
      </c>
    </row>
    <row r="1419" spans="1:14" x14ac:dyDescent="0.35">
      <c r="A1419" s="1">
        <v>44442</v>
      </c>
      <c r="B1419" s="2" t="s">
        <v>1419</v>
      </c>
      <c r="C1419">
        <f t="shared" si="263"/>
        <v>54264.959999999999</v>
      </c>
      <c r="D1419">
        <f t="shared" si="264"/>
        <v>2021</v>
      </c>
      <c r="E1419">
        <f t="shared" si="265"/>
        <v>9</v>
      </c>
      <c r="F1419" t="str">
        <f t="shared" si="267"/>
        <v>September</v>
      </c>
      <c r="G1419">
        <f t="shared" si="266"/>
        <v>3</v>
      </c>
      <c r="H1419" s="7">
        <f t="shared" si="268"/>
        <v>-0.33394077666300875</v>
      </c>
      <c r="I1419" s="9">
        <f t="shared" si="269"/>
        <v>-3.3449960332148912E-3</v>
      </c>
      <c r="J1419" s="9">
        <f t="shared" si="270"/>
        <v>54423.354285714289</v>
      </c>
      <c r="K1419" s="9">
        <f t="shared" si="261"/>
        <v>54628.904666666676</v>
      </c>
      <c r="L1419" s="9">
        <f t="shared" si="260"/>
        <v>58503.464777777779</v>
      </c>
      <c r="M1419" s="9">
        <f t="shared" si="271"/>
        <v>7.0576034604507712E-3</v>
      </c>
      <c r="N1419" s="9">
        <f t="shared" si="262"/>
        <v>1.212109309852397E-2</v>
      </c>
    </row>
    <row r="1420" spans="1:14" x14ac:dyDescent="0.35">
      <c r="A1420" s="1">
        <v>44445</v>
      </c>
      <c r="B1420" s="2" t="s">
        <v>1420</v>
      </c>
      <c r="C1420">
        <f t="shared" si="263"/>
        <v>54506.879999999997</v>
      </c>
      <c r="D1420">
        <f t="shared" si="264"/>
        <v>2021</v>
      </c>
      <c r="E1420">
        <f t="shared" si="265"/>
        <v>9</v>
      </c>
      <c r="F1420" t="str">
        <f t="shared" si="267"/>
        <v>September</v>
      </c>
      <c r="G1420">
        <f t="shared" si="266"/>
        <v>6</v>
      </c>
      <c r="H1420" s="7">
        <f t="shared" si="268"/>
        <v>0.44581254643880369</v>
      </c>
      <c r="I1420" s="9">
        <f t="shared" si="269"/>
        <v>4.4482174595649321E-3</v>
      </c>
      <c r="J1420" s="9">
        <f t="shared" si="270"/>
        <v>54416.501428571435</v>
      </c>
      <c r="K1420" s="9">
        <f t="shared" si="261"/>
        <v>54523.396666666675</v>
      </c>
      <c r="L1420" s="9">
        <f t="shared" si="260"/>
        <v>58394.769222222225</v>
      </c>
      <c r="M1420" s="9">
        <f t="shared" si="271"/>
        <v>6.1600857475754721E-3</v>
      </c>
      <c r="N1420" s="9">
        <f t="shared" si="262"/>
        <v>1.2165671803732713E-2</v>
      </c>
    </row>
    <row r="1421" spans="1:14" x14ac:dyDescent="0.35">
      <c r="A1421" s="1">
        <v>44446</v>
      </c>
      <c r="B1421" s="2" t="s">
        <v>1421</v>
      </c>
      <c r="C1421">
        <f t="shared" si="263"/>
        <v>54718.8</v>
      </c>
      <c r="D1421">
        <f t="shared" si="264"/>
        <v>2021</v>
      </c>
      <c r="E1421">
        <f t="shared" si="265"/>
        <v>9</v>
      </c>
      <c r="F1421" t="str">
        <f t="shared" si="267"/>
        <v>September</v>
      </c>
      <c r="G1421">
        <f t="shared" si="266"/>
        <v>7</v>
      </c>
      <c r="H1421" s="7">
        <f t="shared" si="268"/>
        <v>0.38879495579274681</v>
      </c>
      <c r="I1421" s="9">
        <f t="shared" si="269"/>
        <v>3.8804110153759959E-3</v>
      </c>
      <c r="J1421" s="9">
        <f t="shared" si="270"/>
        <v>54412.077142857139</v>
      </c>
      <c r="K1421" s="9">
        <f t="shared" si="261"/>
        <v>54437.107000000004</v>
      </c>
      <c r="L1421" s="9">
        <f t="shared" si="260"/>
        <v>58294.020222222229</v>
      </c>
      <c r="M1421" s="9">
        <f t="shared" si="271"/>
        <v>6.1924962736887553E-3</v>
      </c>
      <c r="N1421" s="9">
        <f t="shared" si="262"/>
        <v>1.2179575902635085E-2</v>
      </c>
    </row>
    <row r="1422" spans="1:14" x14ac:dyDescent="0.35">
      <c r="A1422" s="1">
        <v>44447</v>
      </c>
      <c r="B1422" s="2" t="s">
        <v>1422</v>
      </c>
      <c r="C1422">
        <f t="shared" si="263"/>
        <v>53587.11</v>
      </c>
      <c r="D1422">
        <f t="shared" si="264"/>
        <v>2021</v>
      </c>
      <c r="E1422">
        <f t="shared" si="265"/>
        <v>9</v>
      </c>
      <c r="F1422" t="str">
        <f t="shared" si="267"/>
        <v>September</v>
      </c>
      <c r="G1422">
        <f t="shared" si="266"/>
        <v>8</v>
      </c>
      <c r="H1422" s="7">
        <f t="shared" si="268"/>
        <v>-2.068192284918533</v>
      </c>
      <c r="I1422" s="9">
        <f t="shared" si="269"/>
        <v>-2.089878916831452E-2</v>
      </c>
      <c r="J1422" s="9">
        <f t="shared" si="270"/>
        <v>54323.974285714277</v>
      </c>
      <c r="K1422" s="9">
        <f t="shared" si="261"/>
        <v>54343.776000000005</v>
      </c>
      <c r="L1422" s="9">
        <f t="shared" si="260"/>
        <v>58189.31466666668</v>
      </c>
      <c r="M1422" s="9">
        <f t="shared" si="271"/>
        <v>9.5546557508927338E-3</v>
      </c>
      <c r="N1422" s="9">
        <f t="shared" si="262"/>
        <v>1.2403080875861902E-2</v>
      </c>
    </row>
    <row r="1423" spans="1:14" x14ac:dyDescent="0.35">
      <c r="A1423" s="1">
        <v>44448</v>
      </c>
      <c r="B1423" s="2" t="s">
        <v>1423</v>
      </c>
      <c r="C1423">
        <f t="shared" si="263"/>
        <v>54247.81</v>
      </c>
      <c r="D1423">
        <f t="shared" si="264"/>
        <v>2021</v>
      </c>
      <c r="E1423">
        <f t="shared" si="265"/>
        <v>9</v>
      </c>
      <c r="F1423" t="str">
        <f t="shared" si="267"/>
        <v>September</v>
      </c>
      <c r="G1423">
        <f t="shared" si="266"/>
        <v>9</v>
      </c>
      <c r="H1423" s="7">
        <f t="shared" si="268"/>
        <v>1.2329457587841499</v>
      </c>
      <c r="I1423" s="9">
        <f t="shared" si="269"/>
        <v>1.2254068861180864E-2</v>
      </c>
      <c r="J1423" s="9">
        <f t="shared" si="270"/>
        <v>54284.511428571423</v>
      </c>
      <c r="K1423" s="9">
        <f t="shared" si="261"/>
        <v>54311.195000000014</v>
      </c>
      <c r="L1423" s="9">
        <f t="shared" si="260"/>
        <v>58095.027555555564</v>
      </c>
      <c r="M1423" s="9">
        <f t="shared" si="271"/>
        <v>1.0631992247589485E-2</v>
      </c>
      <c r="N1423" s="9">
        <f t="shared" si="262"/>
        <v>1.2111283269907076E-2</v>
      </c>
    </row>
    <row r="1424" spans="1:14" x14ac:dyDescent="0.35">
      <c r="A1424" s="1">
        <v>44449</v>
      </c>
      <c r="B1424" s="2" t="s">
        <v>1424</v>
      </c>
      <c r="C1424">
        <f t="shared" si="263"/>
        <v>53265.33</v>
      </c>
      <c r="D1424">
        <f t="shared" si="264"/>
        <v>2021</v>
      </c>
      <c r="E1424">
        <f t="shared" si="265"/>
        <v>9</v>
      </c>
      <c r="F1424" t="str">
        <f t="shared" si="267"/>
        <v>September</v>
      </c>
      <c r="G1424">
        <f t="shared" si="266"/>
        <v>10</v>
      </c>
      <c r="H1424" s="7">
        <f t="shared" si="268"/>
        <v>-1.8110961530059848</v>
      </c>
      <c r="I1424" s="9">
        <f t="shared" si="269"/>
        <v>-1.8276972460263895E-2</v>
      </c>
      <c r="J1424" s="9">
        <f t="shared" si="270"/>
        <v>54148.23857142857</v>
      </c>
      <c r="K1424" s="9">
        <f t="shared" si="261"/>
        <v>54298.165666666675</v>
      </c>
      <c r="L1424" s="9">
        <f t="shared" si="260"/>
        <v>57989.124000000011</v>
      </c>
      <c r="M1424" s="9">
        <f t="shared" si="271"/>
        <v>1.2513533262693886E-2</v>
      </c>
      <c r="N1424" s="9">
        <f t="shared" si="262"/>
        <v>1.1395627010901811E-2</v>
      </c>
    </row>
    <row r="1425" spans="1:14" x14ac:dyDescent="0.35">
      <c r="A1425" s="1">
        <v>44452</v>
      </c>
      <c r="B1425" s="2" t="s">
        <v>1425</v>
      </c>
      <c r="C1425">
        <f t="shared" si="263"/>
        <v>53319.08</v>
      </c>
      <c r="D1425">
        <f t="shared" si="264"/>
        <v>2021</v>
      </c>
      <c r="E1425">
        <f t="shared" si="265"/>
        <v>9</v>
      </c>
      <c r="F1425" t="str">
        <f t="shared" si="267"/>
        <v>September</v>
      </c>
      <c r="G1425">
        <f t="shared" si="266"/>
        <v>13</v>
      </c>
      <c r="H1425" s="7">
        <f t="shared" si="268"/>
        <v>0.10090991645034396</v>
      </c>
      <c r="I1425" s="9">
        <f t="shared" si="269"/>
        <v>1.0085903661981631E-3</v>
      </c>
      <c r="J1425" s="9">
        <f t="shared" si="270"/>
        <v>53987.138571428579</v>
      </c>
      <c r="K1425" s="9">
        <f t="shared" si="261"/>
        <v>54302.541333333342</v>
      </c>
      <c r="L1425" s="9">
        <f t="shared" si="260"/>
        <v>57887.423777777796</v>
      </c>
      <c r="M1425" s="9">
        <f t="shared" si="271"/>
        <v>1.2284422829180342E-2</v>
      </c>
      <c r="N1425" s="9">
        <f t="shared" si="262"/>
        <v>1.1282681840420361E-2</v>
      </c>
    </row>
    <row r="1426" spans="1:14" x14ac:dyDescent="0.35">
      <c r="A1426" s="1">
        <v>44453</v>
      </c>
      <c r="B1426" s="2" t="s">
        <v>1426</v>
      </c>
      <c r="C1426">
        <f t="shared" si="263"/>
        <v>54673.65</v>
      </c>
      <c r="D1426">
        <f t="shared" si="264"/>
        <v>2021</v>
      </c>
      <c r="E1426">
        <f t="shared" si="265"/>
        <v>9</v>
      </c>
      <c r="F1426" t="str">
        <f t="shared" si="267"/>
        <v>September</v>
      </c>
      <c r="G1426">
        <f t="shared" si="266"/>
        <v>14</v>
      </c>
      <c r="H1426" s="7">
        <f t="shared" si="268"/>
        <v>2.5404976980097924</v>
      </c>
      <c r="I1426" s="9">
        <f t="shared" si="269"/>
        <v>2.5087634051898088E-2</v>
      </c>
      <c r="J1426" s="9">
        <f t="shared" si="270"/>
        <v>54045.52285714286</v>
      </c>
      <c r="K1426" s="9">
        <f t="shared" si="261"/>
        <v>54371.061666666668</v>
      </c>
      <c r="L1426" s="9">
        <f t="shared" si="260"/>
        <v>57792.61188888891</v>
      </c>
      <c r="M1426" s="9">
        <f t="shared" si="271"/>
        <v>1.6218187796030625E-2</v>
      </c>
      <c r="N1426" s="9">
        <f t="shared" si="262"/>
        <v>1.1971673793695249E-2</v>
      </c>
    </row>
    <row r="1427" spans="1:14" x14ac:dyDescent="0.35">
      <c r="A1427" s="1">
        <v>44454</v>
      </c>
      <c r="B1427" s="2" t="s">
        <v>1427</v>
      </c>
      <c r="C1427">
        <f t="shared" si="263"/>
        <v>55035.6</v>
      </c>
      <c r="D1427">
        <f t="shared" si="264"/>
        <v>2021</v>
      </c>
      <c r="E1427">
        <f t="shared" si="265"/>
        <v>9</v>
      </c>
      <c r="F1427" t="str">
        <f t="shared" si="267"/>
        <v>September</v>
      </c>
      <c r="G1427">
        <f t="shared" si="266"/>
        <v>15</v>
      </c>
      <c r="H1427" s="7">
        <f t="shared" si="268"/>
        <v>0.662019089634581</v>
      </c>
      <c r="I1427" s="9">
        <f t="shared" si="269"/>
        <v>6.5983736691320747E-3</v>
      </c>
      <c r="J1427" s="9">
        <f t="shared" si="270"/>
        <v>54121.054285714286</v>
      </c>
      <c r="K1427" s="9">
        <f t="shared" si="261"/>
        <v>54482.758333333339</v>
      </c>
      <c r="L1427" s="9">
        <f t="shared" si="260"/>
        <v>57706.512777777782</v>
      </c>
      <c r="M1427" s="9">
        <f t="shared" si="271"/>
        <v>1.6312876901276301E-2</v>
      </c>
      <c r="N1427" s="9">
        <f t="shared" si="262"/>
        <v>1.1442437845293781E-2</v>
      </c>
    </row>
    <row r="1428" spans="1:14" x14ac:dyDescent="0.35">
      <c r="A1428" s="1">
        <v>44455</v>
      </c>
      <c r="B1428" s="2" t="s">
        <v>1428</v>
      </c>
      <c r="C1428">
        <f t="shared" si="263"/>
        <v>55960.74</v>
      </c>
      <c r="D1428">
        <f t="shared" si="264"/>
        <v>2021</v>
      </c>
      <c r="E1428">
        <f t="shared" si="265"/>
        <v>9</v>
      </c>
      <c r="F1428" t="str">
        <f t="shared" si="267"/>
        <v>September</v>
      </c>
      <c r="G1428">
        <f t="shared" si="266"/>
        <v>16</v>
      </c>
      <c r="H1428" s="7">
        <f t="shared" si="268"/>
        <v>1.6809846717397456</v>
      </c>
      <c r="I1428" s="9">
        <f t="shared" si="269"/>
        <v>1.6670124871981905E-2</v>
      </c>
      <c r="J1428" s="9">
        <f t="shared" si="270"/>
        <v>54298.474285714285</v>
      </c>
      <c r="K1428" s="9">
        <f t="shared" si="261"/>
        <v>54618.217333333334</v>
      </c>
      <c r="L1428" s="9">
        <f t="shared" si="260"/>
        <v>57618.036222222232</v>
      </c>
      <c r="M1428" s="9">
        <f t="shared" si="271"/>
        <v>1.7324606258641014E-2</v>
      </c>
      <c r="N1428" s="9">
        <f t="shared" si="262"/>
        <v>1.174459566878708E-2</v>
      </c>
    </row>
    <row r="1429" spans="1:14" x14ac:dyDescent="0.35">
      <c r="A1429" s="1">
        <v>44456</v>
      </c>
      <c r="B1429" s="2" t="s">
        <v>1429</v>
      </c>
      <c r="C1429">
        <f t="shared" si="263"/>
        <v>56130.78</v>
      </c>
      <c r="D1429">
        <f t="shared" si="264"/>
        <v>2021</v>
      </c>
      <c r="E1429">
        <f t="shared" si="265"/>
        <v>9</v>
      </c>
      <c r="F1429" t="str">
        <f t="shared" si="267"/>
        <v>September</v>
      </c>
      <c r="G1429">
        <f t="shared" si="266"/>
        <v>17</v>
      </c>
      <c r="H1429" s="7">
        <f t="shared" si="268"/>
        <v>0.30385588182000611</v>
      </c>
      <c r="I1429" s="9">
        <f t="shared" si="269"/>
        <v>3.0339517286033638E-3</v>
      </c>
      <c r="J1429" s="9">
        <f t="shared" si="270"/>
        <v>54661.85571428571</v>
      </c>
      <c r="K1429" s="9">
        <f t="shared" si="261"/>
        <v>54745.63866666668</v>
      </c>
      <c r="L1429" s="9">
        <f t="shared" si="260"/>
        <v>57524.379888888907</v>
      </c>
      <c r="M1429" s="9">
        <f t="shared" si="271"/>
        <v>1.3772003196233487E-2</v>
      </c>
      <c r="N1429" s="9">
        <f t="shared" si="262"/>
        <v>1.170129061803612E-2</v>
      </c>
    </row>
    <row r="1430" spans="1:14" x14ac:dyDescent="0.35">
      <c r="A1430" s="1">
        <v>44459</v>
      </c>
      <c r="B1430" s="2" t="s">
        <v>1430</v>
      </c>
      <c r="C1430">
        <f t="shared" si="263"/>
        <v>56327.05</v>
      </c>
      <c r="D1430">
        <f t="shared" si="264"/>
        <v>2021</v>
      </c>
      <c r="E1430">
        <f t="shared" si="265"/>
        <v>9</v>
      </c>
      <c r="F1430" t="str">
        <f t="shared" si="267"/>
        <v>September</v>
      </c>
      <c r="G1430">
        <f t="shared" si="266"/>
        <v>20</v>
      </c>
      <c r="H1430" s="7">
        <f t="shared" si="268"/>
        <v>0.34966554891986906</v>
      </c>
      <c r="I1430" s="9">
        <f t="shared" si="269"/>
        <v>3.4905564028609214E-3</v>
      </c>
      <c r="J1430" s="9">
        <f t="shared" si="270"/>
        <v>54958.890000000007</v>
      </c>
      <c r="K1430" s="9">
        <f t="shared" si="261"/>
        <v>54820.559333333345</v>
      </c>
      <c r="L1430" s="9">
        <f t="shared" si="260"/>
        <v>57439.259111111125</v>
      </c>
      <c r="M1430" s="9">
        <f t="shared" si="271"/>
        <v>1.3571891148689777E-2</v>
      </c>
      <c r="N1430" s="9">
        <f t="shared" si="262"/>
        <v>1.0144486329542865E-2</v>
      </c>
    </row>
    <row r="1431" spans="1:14" x14ac:dyDescent="0.35">
      <c r="A1431" s="1">
        <v>44460</v>
      </c>
      <c r="B1431" s="2" t="s">
        <v>1431</v>
      </c>
      <c r="C1431">
        <f t="shared" si="263"/>
        <v>56087.839999999997</v>
      </c>
      <c r="D1431">
        <f t="shared" si="264"/>
        <v>2021</v>
      </c>
      <c r="E1431">
        <f t="shared" si="265"/>
        <v>9</v>
      </c>
      <c r="F1431" t="str">
        <f t="shared" si="267"/>
        <v>September</v>
      </c>
      <c r="G1431">
        <f t="shared" si="266"/>
        <v>21</v>
      </c>
      <c r="H1431" s="7">
        <f t="shared" si="268"/>
        <v>-0.42468050430478144</v>
      </c>
      <c r="I1431" s="9">
        <f t="shared" si="269"/>
        <v>-4.2558483320565667E-3</v>
      </c>
      <c r="J1431" s="9">
        <f t="shared" si="270"/>
        <v>55362.10571428571</v>
      </c>
      <c r="K1431" s="9">
        <f t="shared" si="261"/>
        <v>54860.458000000013</v>
      </c>
      <c r="L1431" s="9">
        <f t="shared" si="260"/>
        <v>57349.403111111125</v>
      </c>
      <c r="M1431" s="9">
        <f t="shared" si="271"/>
        <v>1.0086965983914993E-2</v>
      </c>
      <c r="N1431" s="9">
        <f t="shared" si="262"/>
        <v>9.8619270009862574E-3</v>
      </c>
    </row>
    <row r="1432" spans="1:14" x14ac:dyDescent="0.35">
      <c r="A1432" s="1">
        <v>44461</v>
      </c>
      <c r="B1432" s="2" t="s">
        <v>1432</v>
      </c>
      <c r="C1432">
        <f t="shared" si="263"/>
        <v>55953.96</v>
      </c>
      <c r="D1432">
        <f t="shared" si="264"/>
        <v>2021</v>
      </c>
      <c r="E1432">
        <f t="shared" si="265"/>
        <v>9</v>
      </c>
      <c r="F1432" t="str">
        <f t="shared" si="267"/>
        <v>September</v>
      </c>
      <c r="G1432">
        <f t="shared" si="266"/>
        <v>22</v>
      </c>
      <c r="H1432" s="7">
        <f t="shared" si="268"/>
        <v>-0.23869701525321246</v>
      </c>
      <c r="I1432" s="9">
        <f t="shared" si="269"/>
        <v>-2.3898235072726971E-3</v>
      </c>
      <c r="J1432" s="9">
        <f t="shared" si="270"/>
        <v>55738.517142857148</v>
      </c>
      <c r="K1432" s="9">
        <f t="shared" si="261"/>
        <v>54880.937333333342</v>
      </c>
      <c r="L1432" s="9">
        <f t="shared" si="260"/>
        <v>57258.797000000013</v>
      </c>
      <c r="M1432" s="9">
        <f t="shared" si="271"/>
        <v>1.0517130109151359E-2</v>
      </c>
      <c r="N1432" s="9">
        <f t="shared" si="262"/>
        <v>9.7756757249659529E-3</v>
      </c>
    </row>
    <row r="1433" spans="1:14" x14ac:dyDescent="0.35">
      <c r="A1433" s="1">
        <v>44462</v>
      </c>
      <c r="B1433" s="2" t="s">
        <v>1433</v>
      </c>
      <c r="C1433">
        <f t="shared" si="263"/>
        <v>55211.34</v>
      </c>
      <c r="D1433">
        <f t="shared" si="264"/>
        <v>2021</v>
      </c>
      <c r="E1433">
        <f t="shared" si="265"/>
        <v>9</v>
      </c>
      <c r="F1433" t="str">
        <f t="shared" si="267"/>
        <v>September</v>
      </c>
      <c r="G1433">
        <f t="shared" si="266"/>
        <v>23</v>
      </c>
      <c r="H1433" s="7">
        <f t="shared" si="268"/>
        <v>-1.3271982894508318</v>
      </c>
      <c r="I1433" s="9">
        <f t="shared" si="269"/>
        <v>-1.336084276639651E-2</v>
      </c>
      <c r="J1433" s="9">
        <f t="shared" si="270"/>
        <v>55815.330000000009</v>
      </c>
      <c r="K1433" s="9">
        <f t="shared" si="261"/>
        <v>54894.768000000011</v>
      </c>
      <c r="L1433" s="9">
        <f t="shared" si="260"/>
        <v>57165.553444444464</v>
      </c>
      <c r="M1433" s="9">
        <f t="shared" si="271"/>
        <v>9.4116405089146211E-3</v>
      </c>
      <c r="N1433" s="9">
        <f t="shared" si="262"/>
        <v>9.9216600654647245E-3</v>
      </c>
    </row>
    <row r="1434" spans="1:14" x14ac:dyDescent="0.35">
      <c r="A1434" s="1">
        <v>44466</v>
      </c>
      <c r="B1434" s="2" t="s">
        <v>1434</v>
      </c>
      <c r="C1434">
        <f t="shared" si="263"/>
        <v>54438.82</v>
      </c>
      <c r="D1434">
        <f t="shared" si="264"/>
        <v>2021</v>
      </c>
      <c r="E1434">
        <f t="shared" si="265"/>
        <v>9</v>
      </c>
      <c r="F1434" t="str">
        <f t="shared" si="267"/>
        <v>September</v>
      </c>
      <c r="G1434">
        <f t="shared" si="266"/>
        <v>27</v>
      </c>
      <c r="H1434" s="7">
        <f t="shared" si="268"/>
        <v>-1.3992053081848708</v>
      </c>
      <c r="I1434" s="9">
        <f t="shared" si="269"/>
        <v>-1.4090864657263939E-2</v>
      </c>
      <c r="J1434" s="9">
        <f t="shared" si="270"/>
        <v>55730.075714285711</v>
      </c>
      <c r="K1434" s="9">
        <f t="shared" si="261"/>
        <v>54864.54566666668</v>
      </c>
      <c r="L1434" s="9">
        <f t="shared" si="260"/>
        <v>57062.497333333355</v>
      </c>
      <c r="M1434" s="9">
        <f t="shared" si="271"/>
        <v>1.0670743391179913E-2</v>
      </c>
      <c r="N1434" s="9">
        <f t="shared" si="262"/>
        <v>1.0080176082480262E-2</v>
      </c>
    </row>
    <row r="1435" spans="1:14" x14ac:dyDescent="0.35">
      <c r="A1435" s="1">
        <v>44467</v>
      </c>
      <c r="B1435" s="2" t="s">
        <v>1435</v>
      </c>
      <c r="C1435">
        <f t="shared" si="263"/>
        <v>54400.28</v>
      </c>
      <c r="D1435">
        <f t="shared" si="264"/>
        <v>2021</v>
      </c>
      <c r="E1435">
        <f t="shared" si="265"/>
        <v>9</v>
      </c>
      <c r="F1435" t="str">
        <f t="shared" si="267"/>
        <v>September</v>
      </c>
      <c r="G1435">
        <f t="shared" si="266"/>
        <v>28</v>
      </c>
      <c r="H1435" s="7">
        <f t="shared" si="268"/>
        <v>-7.0795068666074823E-2</v>
      </c>
      <c r="I1435" s="9">
        <f t="shared" si="269"/>
        <v>-7.0820140208453395E-4</v>
      </c>
      <c r="J1435" s="9">
        <f t="shared" si="270"/>
        <v>55507.15285714285</v>
      </c>
      <c r="K1435" s="9">
        <f t="shared" si="261"/>
        <v>54835.496666666673</v>
      </c>
      <c r="L1435" s="9">
        <f t="shared" si="260"/>
        <v>56960.836555555565</v>
      </c>
      <c r="M1435" s="9">
        <f t="shared" si="271"/>
        <v>7.1707579529891614E-3</v>
      </c>
      <c r="N1435" s="9">
        <f t="shared" si="262"/>
        <v>1.0079148521133629E-2</v>
      </c>
    </row>
    <row r="1436" spans="1:14" x14ac:dyDescent="0.35">
      <c r="A1436" s="1">
        <v>44468</v>
      </c>
      <c r="B1436" s="2" t="s">
        <v>1436</v>
      </c>
      <c r="C1436">
        <f t="shared" si="263"/>
        <v>53878.95</v>
      </c>
      <c r="D1436">
        <f t="shared" si="264"/>
        <v>2021</v>
      </c>
      <c r="E1436">
        <f t="shared" si="265"/>
        <v>9</v>
      </c>
      <c r="F1436" t="str">
        <f t="shared" si="267"/>
        <v>September</v>
      </c>
      <c r="G1436">
        <f t="shared" si="266"/>
        <v>29</v>
      </c>
      <c r="H1436" s="7">
        <f t="shared" si="268"/>
        <v>-0.95832227334124342</v>
      </c>
      <c r="I1436" s="9">
        <f t="shared" si="269"/>
        <v>-9.6294373057566329E-3</v>
      </c>
      <c r="J1436" s="9">
        <f t="shared" si="270"/>
        <v>55185.462857142862</v>
      </c>
      <c r="K1436" s="9">
        <f t="shared" si="261"/>
        <v>54792.760666666676</v>
      </c>
      <c r="L1436" s="9">
        <f t="shared" ref="L1436:L1499" si="272">AVERAGE(C1347:C1436)</f>
        <v>56849.660777777797</v>
      </c>
      <c r="M1436" s="9">
        <f t="shared" si="271"/>
        <v>6.6684203397402129E-3</v>
      </c>
      <c r="N1436" s="9">
        <f t="shared" si="262"/>
        <v>1.0212867922976678E-2</v>
      </c>
    </row>
    <row r="1437" spans="1:14" x14ac:dyDescent="0.35">
      <c r="A1437" s="1">
        <v>44469</v>
      </c>
      <c r="B1437" s="2" t="s">
        <v>1437</v>
      </c>
      <c r="C1437">
        <f t="shared" si="263"/>
        <v>54522.35</v>
      </c>
      <c r="D1437">
        <f t="shared" si="264"/>
        <v>2021</v>
      </c>
      <c r="E1437">
        <f t="shared" si="265"/>
        <v>9</v>
      </c>
      <c r="F1437" t="str">
        <f t="shared" si="267"/>
        <v>September</v>
      </c>
      <c r="G1437">
        <f t="shared" si="266"/>
        <v>30</v>
      </c>
      <c r="H1437" s="7">
        <f t="shared" si="268"/>
        <v>1.1941583865312919</v>
      </c>
      <c r="I1437" s="9">
        <f t="shared" si="269"/>
        <v>1.1870845745963102E-2</v>
      </c>
      <c r="J1437" s="9">
        <f t="shared" si="270"/>
        <v>54927.648571428566</v>
      </c>
      <c r="K1437" s="9">
        <f t="shared" si="261"/>
        <v>54775.26366666668</v>
      </c>
      <c r="L1437" s="9">
        <f t="shared" si="272"/>
        <v>56750.192111111122</v>
      </c>
      <c r="M1437" s="9">
        <f t="shared" si="271"/>
        <v>8.9772244042961025E-3</v>
      </c>
      <c r="N1437" s="9">
        <f t="shared" si="262"/>
        <v>1.046637701159964E-2</v>
      </c>
    </row>
    <row r="1438" spans="1:14" x14ac:dyDescent="0.35">
      <c r="A1438" s="1">
        <v>44470</v>
      </c>
      <c r="B1438" s="2" t="s">
        <v>1438</v>
      </c>
      <c r="C1438">
        <f t="shared" si="263"/>
        <v>55861.88</v>
      </c>
      <c r="D1438">
        <f t="shared" si="264"/>
        <v>2021</v>
      </c>
      <c r="E1438">
        <f t="shared" si="265"/>
        <v>10</v>
      </c>
      <c r="F1438" t="str">
        <f t="shared" si="267"/>
        <v>October</v>
      </c>
      <c r="G1438">
        <f t="shared" si="266"/>
        <v>1</v>
      </c>
      <c r="H1438" s="7">
        <f t="shared" si="268"/>
        <v>2.4568456788821447</v>
      </c>
      <c r="I1438" s="9">
        <f t="shared" si="269"/>
        <v>2.4271506170504054E-2</v>
      </c>
      <c r="J1438" s="9">
        <f t="shared" si="270"/>
        <v>54895.368571428568</v>
      </c>
      <c r="K1438" s="9">
        <f t="shared" si="261"/>
        <v>54809.194333333333</v>
      </c>
      <c r="L1438" s="9">
        <f t="shared" si="272"/>
        <v>56664.934111111113</v>
      </c>
      <c r="M1438" s="9">
        <f t="shared" si="271"/>
        <v>1.4163912241105419E-2</v>
      </c>
      <c r="N1438" s="9">
        <f t="shared" si="262"/>
        <v>1.1362383544210658E-2</v>
      </c>
    </row>
    <row r="1439" spans="1:14" x14ac:dyDescent="0.35">
      <c r="A1439" s="1">
        <v>44473</v>
      </c>
      <c r="B1439" s="2" t="s">
        <v>1439</v>
      </c>
      <c r="C1439">
        <f t="shared" si="263"/>
        <v>55927.69</v>
      </c>
      <c r="D1439">
        <f t="shared" si="264"/>
        <v>2021</v>
      </c>
      <c r="E1439">
        <f t="shared" si="265"/>
        <v>10</v>
      </c>
      <c r="F1439" t="str">
        <f t="shared" si="267"/>
        <v>October</v>
      </c>
      <c r="G1439">
        <f t="shared" si="266"/>
        <v>4</v>
      </c>
      <c r="H1439" s="7">
        <f t="shared" si="268"/>
        <v>0.11780842320381081</v>
      </c>
      <c r="I1439" s="9">
        <f t="shared" si="269"/>
        <v>1.1773908353422916E-3</v>
      </c>
      <c r="J1439" s="9">
        <f t="shared" si="270"/>
        <v>54891.615714285712</v>
      </c>
      <c r="K1439" s="9">
        <f t="shared" si="261"/>
        <v>54826.976333333332</v>
      </c>
      <c r="L1439" s="9">
        <f t="shared" si="272"/>
        <v>56577.909222222232</v>
      </c>
      <c r="M1439" s="9">
        <f t="shared" si="271"/>
        <v>1.4151972383456181E-2</v>
      </c>
      <c r="N1439" s="9">
        <f t="shared" si="262"/>
        <v>1.1224878307001184E-2</v>
      </c>
    </row>
    <row r="1440" spans="1:14" x14ac:dyDescent="0.35">
      <c r="A1440" s="1">
        <v>44474</v>
      </c>
      <c r="B1440" s="2" t="s">
        <v>1440</v>
      </c>
      <c r="C1440">
        <f t="shared" si="263"/>
        <v>55476.11</v>
      </c>
      <c r="D1440">
        <f t="shared" si="264"/>
        <v>2021</v>
      </c>
      <c r="E1440">
        <f t="shared" si="265"/>
        <v>10</v>
      </c>
      <c r="F1440" t="str">
        <f t="shared" si="267"/>
        <v>October</v>
      </c>
      <c r="G1440">
        <f t="shared" si="266"/>
        <v>5</v>
      </c>
      <c r="H1440" s="7">
        <f t="shared" si="268"/>
        <v>-0.80743545817823292</v>
      </c>
      <c r="I1440" s="9">
        <f t="shared" si="269"/>
        <v>-8.1071287219781907E-3</v>
      </c>
      <c r="J1440" s="9">
        <f t="shared" si="270"/>
        <v>54929.439999999995</v>
      </c>
      <c r="K1440" s="9">
        <f t="shared" ref="K1440:K1503" si="273">AVERAGE(C1411:C1440)</f>
        <v>54841.029000000002</v>
      </c>
      <c r="L1440" s="9">
        <f t="shared" si="272"/>
        <v>56488.541777777784</v>
      </c>
      <c r="M1440" s="9">
        <f t="shared" si="271"/>
        <v>1.3451426077393833E-2</v>
      </c>
      <c r="N1440" s="9">
        <f t="shared" si="262"/>
        <v>1.1269348498116089E-2</v>
      </c>
    </row>
    <row r="1441" spans="1:14" x14ac:dyDescent="0.35">
      <c r="A1441" s="1">
        <v>44475</v>
      </c>
      <c r="B1441" s="2" t="s">
        <v>1441</v>
      </c>
      <c r="C1441">
        <f t="shared" si="263"/>
        <v>56057.1</v>
      </c>
      <c r="D1441">
        <f t="shared" si="264"/>
        <v>2021</v>
      </c>
      <c r="E1441">
        <f t="shared" si="265"/>
        <v>10</v>
      </c>
      <c r="F1441" t="str">
        <f t="shared" si="267"/>
        <v>October</v>
      </c>
      <c r="G1441">
        <f t="shared" si="266"/>
        <v>6</v>
      </c>
      <c r="H1441" s="7">
        <f t="shared" si="268"/>
        <v>1.0472796308176582</v>
      </c>
      <c r="I1441" s="9">
        <f t="shared" si="269"/>
        <v>1.0418336478059573E-2</v>
      </c>
      <c r="J1441" s="9">
        <f t="shared" si="270"/>
        <v>55160.622857142858</v>
      </c>
      <c r="K1441" s="9">
        <f t="shared" si="273"/>
        <v>54857.854000000014</v>
      </c>
      <c r="L1441" s="9">
        <f t="shared" si="272"/>
        <v>56410.922000000006</v>
      </c>
      <c r="M1441" s="9">
        <f t="shared" si="271"/>
        <v>1.2085243602916849E-2</v>
      </c>
      <c r="N1441" s="9">
        <f t="shared" ref="N1441:N1504" si="274">STDEV(I1412:I1441)</f>
        <v>1.1310161068318277E-2</v>
      </c>
    </row>
    <row r="1442" spans="1:14" x14ac:dyDescent="0.35">
      <c r="A1442" s="1">
        <v>44476</v>
      </c>
      <c r="B1442" s="2" t="s">
        <v>1442</v>
      </c>
      <c r="C1442">
        <f t="shared" si="263"/>
        <v>56869.67</v>
      </c>
      <c r="D1442">
        <f t="shared" si="264"/>
        <v>2021</v>
      </c>
      <c r="E1442">
        <f t="shared" si="265"/>
        <v>10</v>
      </c>
      <c r="F1442" t="str">
        <f t="shared" si="267"/>
        <v>October</v>
      </c>
      <c r="G1442">
        <f t="shared" si="266"/>
        <v>7</v>
      </c>
      <c r="H1442" s="7">
        <f t="shared" si="268"/>
        <v>1.4495398441945797</v>
      </c>
      <c r="I1442" s="9">
        <f t="shared" si="269"/>
        <v>1.4391344484333589E-2</v>
      </c>
      <c r="J1442" s="9">
        <f t="shared" si="270"/>
        <v>55513.392857142848</v>
      </c>
      <c r="K1442" s="9">
        <f t="shared" si="273"/>
        <v>54914.076666666675</v>
      </c>
      <c r="L1442" s="9">
        <f t="shared" si="272"/>
        <v>56355.502555555569</v>
      </c>
      <c r="M1442" s="9">
        <f t="shared" si="271"/>
        <v>1.24095467992986E-2</v>
      </c>
      <c r="N1442" s="9">
        <f t="shared" si="274"/>
        <v>1.1514297117690152E-2</v>
      </c>
    </row>
    <row r="1443" spans="1:14" x14ac:dyDescent="0.35">
      <c r="A1443" s="1">
        <v>44477</v>
      </c>
      <c r="B1443" s="2" t="s">
        <v>1443</v>
      </c>
      <c r="C1443">
        <f t="shared" si="263"/>
        <v>56572.24</v>
      </c>
      <c r="D1443">
        <f t="shared" si="264"/>
        <v>2021</v>
      </c>
      <c r="E1443">
        <f t="shared" si="265"/>
        <v>10</v>
      </c>
      <c r="F1443" t="str">
        <f t="shared" si="267"/>
        <v>October</v>
      </c>
      <c r="G1443">
        <f t="shared" si="266"/>
        <v>8</v>
      </c>
      <c r="H1443" s="7">
        <f t="shared" si="268"/>
        <v>-0.52300285899320376</v>
      </c>
      <c r="I1443" s="9">
        <f t="shared" si="269"/>
        <v>-5.2437530632975732E-3</v>
      </c>
      <c r="J1443" s="9">
        <f t="shared" si="270"/>
        <v>55898.148571428559</v>
      </c>
      <c r="K1443" s="9">
        <f t="shared" si="273"/>
        <v>54981.322999999997</v>
      </c>
      <c r="L1443" s="9">
        <f t="shared" si="272"/>
        <v>56307.178888888906</v>
      </c>
      <c r="M1443" s="9">
        <f t="shared" si="271"/>
        <v>1.1549730586931633E-2</v>
      </c>
      <c r="N1443" s="9">
        <f t="shared" si="274"/>
        <v>1.1337294112217509E-2</v>
      </c>
    </row>
    <row r="1444" spans="1:14" x14ac:dyDescent="0.35">
      <c r="A1444" s="1">
        <v>44480</v>
      </c>
      <c r="B1444" s="2" t="s">
        <v>1444</v>
      </c>
      <c r="C1444">
        <f t="shared" si="263"/>
        <v>56114.23</v>
      </c>
      <c r="D1444">
        <f t="shared" si="264"/>
        <v>2021</v>
      </c>
      <c r="E1444">
        <f t="shared" si="265"/>
        <v>10</v>
      </c>
      <c r="F1444" t="str">
        <f t="shared" si="267"/>
        <v>October</v>
      </c>
      <c r="G1444">
        <f t="shared" si="266"/>
        <v>11</v>
      </c>
      <c r="H1444" s="7">
        <f t="shared" si="268"/>
        <v>-0.80960202389015312</v>
      </c>
      <c r="I1444" s="9">
        <f t="shared" si="269"/>
        <v>-8.1289709778303333E-3</v>
      </c>
      <c r="J1444" s="9">
        <f t="shared" si="270"/>
        <v>56125.56</v>
      </c>
      <c r="K1444" s="9">
        <f t="shared" si="273"/>
        <v>55026.805</v>
      </c>
      <c r="L1444" s="9">
        <f t="shared" si="272"/>
        <v>56258.676777777793</v>
      </c>
      <c r="M1444" s="9">
        <f t="shared" si="271"/>
        <v>1.256404268405786E-2</v>
      </c>
      <c r="N1444" s="9">
        <f t="shared" si="274"/>
        <v>1.1453964273599146E-2</v>
      </c>
    </row>
    <row r="1445" spans="1:14" x14ac:dyDescent="0.35">
      <c r="A1445" s="1">
        <v>44481</v>
      </c>
      <c r="B1445" s="2" t="s">
        <v>1445</v>
      </c>
      <c r="C1445">
        <f t="shared" si="263"/>
        <v>56625.42</v>
      </c>
      <c r="D1445">
        <f t="shared" si="264"/>
        <v>2021</v>
      </c>
      <c r="E1445">
        <f t="shared" si="265"/>
        <v>10</v>
      </c>
      <c r="F1445" t="str">
        <f t="shared" si="267"/>
        <v>October</v>
      </c>
      <c r="G1445">
        <f t="shared" si="266"/>
        <v>12</v>
      </c>
      <c r="H1445" s="7">
        <f t="shared" si="268"/>
        <v>0.91098104705347482</v>
      </c>
      <c r="I1445" s="9">
        <f t="shared" si="269"/>
        <v>9.0685664414193994E-3</v>
      </c>
      <c r="J1445" s="9">
        <f t="shared" si="270"/>
        <v>56234.637142857136</v>
      </c>
      <c r="K1445" s="9">
        <f t="shared" si="273"/>
        <v>55107.524666666657</v>
      </c>
      <c r="L1445" s="9">
        <f t="shared" si="272"/>
        <v>56227.751666666678</v>
      </c>
      <c r="M1445" s="9">
        <f t="shared" si="271"/>
        <v>9.4185232281557632E-3</v>
      </c>
      <c r="N1445" s="9">
        <f t="shared" si="274"/>
        <v>1.1360754778169529E-2</v>
      </c>
    </row>
    <row r="1446" spans="1:14" x14ac:dyDescent="0.35">
      <c r="A1446" s="1">
        <v>44482</v>
      </c>
      <c r="B1446" s="2" t="s">
        <v>1446</v>
      </c>
      <c r="C1446">
        <f t="shared" si="263"/>
        <v>55949.919999999998</v>
      </c>
      <c r="D1446">
        <f t="shared" si="264"/>
        <v>2021</v>
      </c>
      <c r="E1446">
        <f t="shared" si="265"/>
        <v>10</v>
      </c>
      <c r="F1446" t="str">
        <f t="shared" si="267"/>
        <v>October</v>
      </c>
      <c r="G1446">
        <f t="shared" si="266"/>
        <v>13</v>
      </c>
      <c r="H1446" s="7">
        <f t="shared" si="268"/>
        <v>-1.192927134138696</v>
      </c>
      <c r="I1446" s="9">
        <f t="shared" si="269"/>
        <v>-1.2000996085400379E-2</v>
      </c>
      <c r="J1446" s="9">
        <f t="shared" si="270"/>
        <v>56237.812857142846</v>
      </c>
      <c r="K1446" s="9">
        <f t="shared" si="273"/>
        <v>55155.053666666659</v>
      </c>
      <c r="L1446" s="9">
        <f t="shared" si="272"/>
        <v>56186.80711111112</v>
      </c>
      <c r="M1446" s="9">
        <f t="shared" si="271"/>
        <v>1.0810453475235234E-2</v>
      </c>
      <c r="N1446" s="9">
        <f t="shared" si="274"/>
        <v>1.1587336787950113E-2</v>
      </c>
    </row>
    <row r="1447" spans="1:14" x14ac:dyDescent="0.35">
      <c r="A1447" s="1">
        <v>44483</v>
      </c>
      <c r="B1447" s="2" t="s">
        <v>1447</v>
      </c>
      <c r="C1447">
        <f t="shared" si="263"/>
        <v>55629.98</v>
      </c>
      <c r="D1447">
        <f t="shared" si="264"/>
        <v>2021</v>
      </c>
      <c r="E1447">
        <f t="shared" si="265"/>
        <v>10</v>
      </c>
      <c r="F1447" t="str">
        <f t="shared" si="267"/>
        <v>October</v>
      </c>
      <c r="G1447">
        <f t="shared" si="266"/>
        <v>14</v>
      </c>
      <c r="H1447" s="7">
        <f t="shared" si="268"/>
        <v>-0.57183281048479617</v>
      </c>
      <c r="I1447" s="9">
        <f t="shared" si="269"/>
        <v>-5.7347403399416047E-3</v>
      </c>
      <c r="J1447" s="9">
        <f t="shared" si="270"/>
        <v>56259.794285714277</v>
      </c>
      <c r="K1447" s="9">
        <f t="shared" si="273"/>
        <v>55202.078333333324</v>
      </c>
      <c r="L1447" s="9">
        <f t="shared" si="272"/>
        <v>56146.624666666685</v>
      </c>
      <c r="M1447" s="9">
        <f t="shared" si="271"/>
        <v>1.0545802779153608E-2</v>
      </c>
      <c r="N1447" s="9">
        <f t="shared" si="274"/>
        <v>1.1589836607190459E-2</v>
      </c>
    </row>
    <row r="1448" spans="1:14" x14ac:dyDescent="0.35">
      <c r="A1448" s="1">
        <v>44484</v>
      </c>
      <c r="B1448" s="2" t="s">
        <v>1448</v>
      </c>
      <c r="C1448">
        <f t="shared" si="263"/>
        <v>56433.279999999999</v>
      </c>
      <c r="D1448">
        <f t="shared" si="264"/>
        <v>2021</v>
      </c>
      <c r="E1448">
        <f t="shared" si="265"/>
        <v>10</v>
      </c>
      <c r="F1448" t="str">
        <f t="shared" si="267"/>
        <v>October</v>
      </c>
      <c r="G1448">
        <f t="shared" si="266"/>
        <v>15</v>
      </c>
      <c r="H1448" s="7">
        <f t="shared" si="268"/>
        <v>1.4440055524017725</v>
      </c>
      <c r="I1448" s="9">
        <f t="shared" si="269"/>
        <v>1.4336790833714971E-2</v>
      </c>
      <c r="J1448" s="9">
        <f t="shared" si="270"/>
        <v>56313.534285714282</v>
      </c>
      <c r="K1448" s="9">
        <f t="shared" si="273"/>
        <v>55268.294999999998</v>
      </c>
      <c r="L1448" s="9">
        <f t="shared" si="272"/>
        <v>56118.038111111127</v>
      </c>
      <c r="M1448" s="9">
        <f t="shared" si="271"/>
        <v>1.1247156429990125E-2</v>
      </c>
      <c r="N1448" s="9">
        <f t="shared" si="274"/>
        <v>1.1835944140582821E-2</v>
      </c>
    </row>
    <row r="1449" spans="1:14" x14ac:dyDescent="0.35">
      <c r="A1449" s="1">
        <v>44487</v>
      </c>
      <c r="B1449" s="2" t="s">
        <v>1449</v>
      </c>
      <c r="C1449">
        <f t="shared" si="263"/>
        <v>57025.16</v>
      </c>
      <c r="D1449">
        <f t="shared" si="264"/>
        <v>2021</v>
      </c>
      <c r="E1449">
        <f t="shared" si="265"/>
        <v>10</v>
      </c>
      <c r="F1449" t="str">
        <f t="shared" si="267"/>
        <v>October</v>
      </c>
      <c r="G1449">
        <f t="shared" si="266"/>
        <v>18</v>
      </c>
      <c r="H1449" s="7">
        <f t="shared" si="268"/>
        <v>1.0488137496172554</v>
      </c>
      <c r="I1449" s="9">
        <f t="shared" si="269"/>
        <v>1.0433518550844493E-2</v>
      </c>
      <c r="J1449" s="9">
        <f t="shared" si="270"/>
        <v>56335.747142857137</v>
      </c>
      <c r="K1449" s="9">
        <f t="shared" si="273"/>
        <v>55360.301666666659</v>
      </c>
      <c r="L1449" s="9">
        <f t="shared" si="272"/>
        <v>56094.142111111119</v>
      </c>
      <c r="M1449" s="9">
        <f t="shared" si="271"/>
        <v>1.0536160141891383E-2</v>
      </c>
      <c r="N1449" s="9">
        <f t="shared" si="274"/>
        <v>1.1920746203615723E-2</v>
      </c>
    </row>
    <row r="1450" spans="1:14" x14ac:dyDescent="0.35">
      <c r="A1450" s="1">
        <v>44488</v>
      </c>
      <c r="B1450" s="2" t="s">
        <v>1450</v>
      </c>
      <c r="C1450">
        <f t="shared" si="263"/>
        <v>57435.08</v>
      </c>
      <c r="D1450">
        <f t="shared" si="264"/>
        <v>2021</v>
      </c>
      <c r="E1450">
        <f t="shared" si="265"/>
        <v>10</v>
      </c>
      <c r="F1450" t="str">
        <f t="shared" si="267"/>
        <v>October</v>
      </c>
      <c r="G1450">
        <f t="shared" si="266"/>
        <v>19</v>
      </c>
      <c r="H1450" s="7">
        <f t="shared" si="268"/>
        <v>0.71884059597552774</v>
      </c>
      <c r="I1450" s="9">
        <f t="shared" si="269"/>
        <v>7.1626925218530218E-3</v>
      </c>
      <c r="J1450" s="9">
        <f t="shared" si="270"/>
        <v>56459.01</v>
      </c>
      <c r="K1450" s="9">
        <f t="shared" si="273"/>
        <v>55457.908333333326</v>
      </c>
      <c r="L1450" s="9">
        <f t="shared" si="272"/>
        <v>56076.901666666679</v>
      </c>
      <c r="M1450" s="9">
        <f t="shared" si="271"/>
        <v>1.0473810077985941E-2</v>
      </c>
      <c r="N1450" s="9">
        <f t="shared" si="274"/>
        <v>1.195294661744721E-2</v>
      </c>
    </row>
    <row r="1451" spans="1:14" x14ac:dyDescent="0.35">
      <c r="A1451" s="1">
        <v>44489</v>
      </c>
      <c r="B1451" s="2" t="s">
        <v>1451</v>
      </c>
      <c r="C1451">
        <f t="shared" si="263"/>
        <v>57077.48</v>
      </c>
      <c r="D1451">
        <f t="shared" si="264"/>
        <v>2021</v>
      </c>
      <c r="E1451">
        <f t="shared" si="265"/>
        <v>10</v>
      </c>
      <c r="F1451" t="str">
        <f t="shared" si="267"/>
        <v>October</v>
      </c>
      <c r="G1451">
        <f t="shared" si="266"/>
        <v>20</v>
      </c>
      <c r="H1451" s="7">
        <f t="shared" si="268"/>
        <v>-0.62261600401705464</v>
      </c>
      <c r="I1451" s="9">
        <f t="shared" si="269"/>
        <v>-6.2456234046646061E-3</v>
      </c>
      <c r="J1451" s="9">
        <f t="shared" si="270"/>
        <v>56596.617142857147</v>
      </c>
      <c r="K1451" s="9">
        <f t="shared" si="273"/>
        <v>55536.530999999981</v>
      </c>
      <c r="L1451" s="9">
        <f t="shared" si="272"/>
        <v>56059.765333333344</v>
      </c>
      <c r="M1451" s="9">
        <f t="shared" si="271"/>
        <v>1.0185610597492248E-2</v>
      </c>
      <c r="N1451" s="9">
        <f t="shared" si="274"/>
        <v>1.2033247939007157E-2</v>
      </c>
    </row>
    <row r="1452" spans="1:14" x14ac:dyDescent="0.35">
      <c r="A1452" s="1">
        <v>44490</v>
      </c>
      <c r="B1452" s="2" t="s">
        <v>1452</v>
      </c>
      <c r="C1452">
        <f t="shared" si="263"/>
        <v>57419.46</v>
      </c>
      <c r="D1452">
        <f t="shared" si="264"/>
        <v>2021</v>
      </c>
      <c r="E1452">
        <f t="shared" si="265"/>
        <v>10</v>
      </c>
      <c r="F1452" t="str">
        <f t="shared" si="267"/>
        <v>October</v>
      </c>
      <c r="G1452">
        <f t="shared" si="266"/>
        <v>21</v>
      </c>
      <c r="H1452" s="7">
        <f t="shared" si="268"/>
        <v>0.59915048807339766</v>
      </c>
      <c r="I1452" s="9">
        <f t="shared" si="269"/>
        <v>5.9736271893421448E-3</v>
      </c>
      <c r="J1452" s="9">
        <f t="shared" si="270"/>
        <v>56710.051428571423</v>
      </c>
      <c r="K1452" s="9">
        <f t="shared" si="273"/>
        <v>55664.275999999983</v>
      </c>
      <c r="L1452" s="9">
        <f t="shared" si="272"/>
        <v>56045.371888888898</v>
      </c>
      <c r="M1452" s="9">
        <f t="shared" si="271"/>
        <v>9.913016336840599E-3</v>
      </c>
      <c r="N1452" s="9">
        <f t="shared" si="274"/>
        <v>1.1292996577295196E-2</v>
      </c>
    </row>
    <row r="1453" spans="1:14" x14ac:dyDescent="0.35">
      <c r="A1453" s="1">
        <v>44491</v>
      </c>
      <c r="B1453" s="2" t="s">
        <v>1453</v>
      </c>
      <c r="C1453">
        <f t="shared" si="263"/>
        <v>57417.279999999999</v>
      </c>
      <c r="D1453">
        <f t="shared" si="264"/>
        <v>2021</v>
      </c>
      <c r="E1453">
        <f t="shared" si="265"/>
        <v>10</v>
      </c>
      <c r="F1453" t="str">
        <f t="shared" si="267"/>
        <v>October</v>
      </c>
      <c r="G1453">
        <f t="shared" si="266"/>
        <v>22</v>
      </c>
      <c r="H1453" s="7">
        <f t="shared" si="268"/>
        <v>-3.7966222601192893E-3</v>
      </c>
      <c r="I1453" s="9">
        <f t="shared" si="269"/>
        <v>-3.7966943336487384E-5</v>
      </c>
      <c r="J1453" s="9">
        <f t="shared" si="270"/>
        <v>56919.674285714282</v>
      </c>
      <c r="K1453" s="9">
        <f t="shared" si="273"/>
        <v>55769.924999999996</v>
      </c>
      <c r="L1453" s="9">
        <f t="shared" si="272"/>
        <v>56019.029222222234</v>
      </c>
      <c r="M1453" s="9">
        <f t="shared" si="271"/>
        <v>7.9324579934779722E-3</v>
      </c>
      <c r="N1453" s="9">
        <f t="shared" si="274"/>
        <v>1.1141455265880331E-2</v>
      </c>
    </row>
    <row r="1454" spans="1:14" x14ac:dyDescent="0.35">
      <c r="A1454" s="1">
        <v>44494</v>
      </c>
      <c r="B1454" s="2" t="s">
        <v>1454</v>
      </c>
      <c r="C1454">
        <f t="shared" si="263"/>
        <v>57168.24</v>
      </c>
      <c r="D1454">
        <f t="shared" si="264"/>
        <v>2021</v>
      </c>
      <c r="E1454">
        <f t="shared" si="265"/>
        <v>10</v>
      </c>
      <c r="F1454" t="str">
        <f t="shared" si="267"/>
        <v>October</v>
      </c>
      <c r="G1454">
        <f t="shared" si="266"/>
        <v>25</v>
      </c>
      <c r="H1454" s="7">
        <f t="shared" si="268"/>
        <v>-0.43373702132877229</v>
      </c>
      <c r="I1454" s="9">
        <f t="shared" si="269"/>
        <v>-4.346803891590657E-3</v>
      </c>
      <c r="J1454" s="9">
        <f t="shared" si="270"/>
        <v>57139.42571428571</v>
      </c>
      <c r="K1454" s="9">
        <f t="shared" si="273"/>
        <v>55900.021999999997</v>
      </c>
      <c r="L1454" s="9">
        <f t="shared" si="272"/>
        <v>55981.517444444449</v>
      </c>
      <c r="M1454" s="9">
        <f t="shared" si="271"/>
        <v>7.6703923349545032E-3</v>
      </c>
      <c r="N1454" s="9">
        <f t="shared" si="274"/>
        <v>1.0546243944974694E-2</v>
      </c>
    </row>
    <row r="1455" spans="1:14" x14ac:dyDescent="0.35">
      <c r="A1455" s="1">
        <v>44495</v>
      </c>
      <c r="B1455" s="2" t="s">
        <v>1455</v>
      </c>
      <c r="C1455">
        <f t="shared" si="263"/>
        <v>56757.73</v>
      </c>
      <c r="D1455">
        <f t="shared" si="264"/>
        <v>2021</v>
      </c>
      <c r="E1455">
        <f t="shared" si="265"/>
        <v>10</v>
      </c>
      <c r="F1455" t="str">
        <f t="shared" si="267"/>
        <v>October</v>
      </c>
      <c r="G1455">
        <f t="shared" si="266"/>
        <v>26</v>
      </c>
      <c r="H1455" s="7">
        <f t="shared" si="268"/>
        <v>-0.71807353173719324</v>
      </c>
      <c r="I1455" s="9">
        <f t="shared" si="269"/>
        <v>-7.2066408857356561E-3</v>
      </c>
      <c r="J1455" s="9">
        <f t="shared" si="270"/>
        <v>57185.775714285708</v>
      </c>
      <c r="K1455" s="9">
        <f t="shared" si="273"/>
        <v>56014.643666666663</v>
      </c>
      <c r="L1455" s="9">
        <f t="shared" si="272"/>
        <v>55951.289333333341</v>
      </c>
      <c r="M1455" s="9">
        <f t="shared" si="271"/>
        <v>7.0827410053922284E-3</v>
      </c>
      <c r="N1455" s="9">
        <f t="shared" si="274"/>
        <v>1.0688168596295653E-2</v>
      </c>
    </row>
    <row r="1456" spans="1:14" x14ac:dyDescent="0.35">
      <c r="A1456" s="1">
        <v>44496</v>
      </c>
      <c r="B1456" s="2" t="s">
        <v>1456</v>
      </c>
      <c r="C1456">
        <f t="shared" si="263"/>
        <v>57656.69</v>
      </c>
      <c r="D1456">
        <f t="shared" si="264"/>
        <v>2021</v>
      </c>
      <c r="E1456">
        <f t="shared" si="265"/>
        <v>10</v>
      </c>
      <c r="F1456" t="str">
        <f t="shared" si="267"/>
        <v>October</v>
      </c>
      <c r="G1456">
        <f t="shared" si="266"/>
        <v>27</v>
      </c>
      <c r="H1456" s="7">
        <f t="shared" si="268"/>
        <v>1.5838547454241019</v>
      </c>
      <c r="I1456" s="9">
        <f t="shared" si="269"/>
        <v>1.5714426542777351E-2</v>
      </c>
      <c r="J1456" s="9">
        <f t="shared" si="270"/>
        <v>57275.994285714281</v>
      </c>
      <c r="K1456" s="9">
        <f t="shared" si="273"/>
        <v>56114.078333333331</v>
      </c>
      <c r="L1456" s="9">
        <f t="shared" si="272"/>
        <v>55930.710333333351</v>
      </c>
      <c r="M1456" s="9">
        <f t="shared" si="271"/>
        <v>8.4305237519883523E-3</v>
      </c>
      <c r="N1456" s="9">
        <f t="shared" si="274"/>
        <v>1.0114091032365279E-2</v>
      </c>
    </row>
    <row r="1457" spans="1:14" x14ac:dyDescent="0.35">
      <c r="A1457" s="1">
        <v>44497</v>
      </c>
      <c r="B1457" s="2" t="s">
        <v>1457</v>
      </c>
      <c r="C1457">
        <f t="shared" si="263"/>
        <v>57629.36</v>
      </c>
      <c r="D1457">
        <f t="shared" si="264"/>
        <v>2021</v>
      </c>
      <c r="E1457">
        <f t="shared" si="265"/>
        <v>10</v>
      </c>
      <c r="F1457" t="str">
        <f t="shared" si="267"/>
        <v>October</v>
      </c>
      <c r="G1457">
        <f t="shared" si="266"/>
        <v>28</v>
      </c>
      <c r="H1457" s="7">
        <f t="shared" si="268"/>
        <v>-4.7401264276533649E-2</v>
      </c>
      <c r="I1457" s="9">
        <f t="shared" si="269"/>
        <v>-4.7412502227238987E-4</v>
      </c>
      <c r="J1457" s="9">
        <f t="shared" si="270"/>
        <v>57303.748571428572</v>
      </c>
      <c r="K1457" s="9">
        <f t="shared" si="273"/>
        <v>56200.536999999997</v>
      </c>
      <c r="L1457" s="9">
        <f t="shared" si="272"/>
        <v>55910.896444444465</v>
      </c>
      <c r="M1457" s="9">
        <f t="shared" si="271"/>
        <v>8.0732355081500323E-3</v>
      </c>
      <c r="N1457" s="9">
        <f t="shared" si="274"/>
        <v>1.0080054320265765E-2</v>
      </c>
    </row>
    <row r="1458" spans="1:14" x14ac:dyDescent="0.35">
      <c r="A1458" s="1">
        <v>44498</v>
      </c>
      <c r="B1458" s="2" t="s">
        <v>1458</v>
      </c>
      <c r="C1458">
        <f t="shared" si="263"/>
        <v>56248.93</v>
      </c>
      <c r="D1458">
        <f t="shared" si="264"/>
        <v>2021</v>
      </c>
      <c r="E1458">
        <f t="shared" si="265"/>
        <v>10</v>
      </c>
      <c r="F1458" t="str">
        <f t="shared" si="267"/>
        <v>October</v>
      </c>
      <c r="G1458">
        <f t="shared" si="266"/>
        <v>29</v>
      </c>
      <c r="H1458" s="7">
        <f t="shared" si="268"/>
        <v>-2.3953588934529209</v>
      </c>
      <c r="I1458" s="9">
        <f t="shared" si="269"/>
        <v>-2.4245141378441311E-2</v>
      </c>
      <c r="J1458" s="9">
        <f t="shared" si="270"/>
        <v>57185.384285714288</v>
      </c>
      <c r="K1458" s="9">
        <f t="shared" si="273"/>
        <v>56210.143333333333</v>
      </c>
      <c r="L1458" s="9">
        <f t="shared" si="272"/>
        <v>55877.187111111132</v>
      </c>
      <c r="M1458" s="9">
        <f t="shared" si="271"/>
        <v>1.2321830485370028E-2</v>
      </c>
      <c r="N1458" s="9">
        <f t="shared" si="274"/>
        <v>1.0709912085271413E-2</v>
      </c>
    </row>
    <row r="1459" spans="1:14" x14ac:dyDescent="0.35">
      <c r="A1459" s="1">
        <v>44502</v>
      </c>
      <c r="B1459" s="2" t="s">
        <v>1459</v>
      </c>
      <c r="C1459">
        <f t="shared" si="263"/>
        <v>55829.4</v>
      </c>
      <c r="D1459">
        <f t="shared" si="264"/>
        <v>2021</v>
      </c>
      <c r="E1459">
        <f t="shared" si="265"/>
        <v>11</v>
      </c>
      <c r="F1459" t="str">
        <f t="shared" si="267"/>
        <v>November</v>
      </c>
      <c r="G1459">
        <f t="shared" si="266"/>
        <v>2</v>
      </c>
      <c r="H1459" s="7">
        <f t="shared" si="268"/>
        <v>-0.74584529874612515</v>
      </c>
      <c r="I1459" s="9">
        <f t="shared" si="269"/>
        <v>-7.4864063271252116E-3</v>
      </c>
      <c r="J1459" s="9">
        <f t="shared" si="270"/>
        <v>56958.232857142859</v>
      </c>
      <c r="K1459" s="9">
        <f t="shared" si="273"/>
        <v>56200.097333333331</v>
      </c>
      <c r="L1459" s="9">
        <f t="shared" si="272"/>
        <v>55838.716555555577</v>
      </c>
      <c r="M1459" s="9">
        <f t="shared" si="271"/>
        <v>1.1896853473253333E-2</v>
      </c>
      <c r="N1459" s="9">
        <f t="shared" si="274"/>
        <v>1.0784917732879769E-2</v>
      </c>
    </row>
    <row r="1460" spans="1:14" x14ac:dyDescent="0.35">
      <c r="A1460" s="1">
        <v>44503</v>
      </c>
      <c r="B1460" s="2" t="s">
        <v>1460</v>
      </c>
      <c r="C1460">
        <f t="shared" si="263"/>
        <v>55721.8</v>
      </c>
      <c r="D1460">
        <f t="shared" si="264"/>
        <v>2021</v>
      </c>
      <c r="E1460">
        <f t="shared" si="265"/>
        <v>11</v>
      </c>
      <c r="F1460" t="str">
        <f t="shared" si="267"/>
        <v>November</v>
      </c>
      <c r="G1460">
        <f t="shared" si="266"/>
        <v>3</v>
      </c>
      <c r="H1460" s="7">
        <f t="shared" si="268"/>
        <v>-0.19272999530712948</v>
      </c>
      <c r="I1460" s="9">
        <f t="shared" si="269"/>
        <v>-1.9291595853895053E-3</v>
      </c>
      <c r="J1460" s="9">
        <f t="shared" si="270"/>
        <v>56716.021428571432</v>
      </c>
      <c r="K1460" s="9">
        <f t="shared" si="273"/>
        <v>56179.922333333328</v>
      </c>
      <c r="L1460" s="9">
        <f t="shared" si="272"/>
        <v>55800.521444444472</v>
      </c>
      <c r="M1460" s="9">
        <f t="shared" si="271"/>
        <v>1.1812745953700222E-2</v>
      </c>
      <c r="N1460" s="9">
        <f t="shared" si="274"/>
        <v>1.0766699000533085E-2</v>
      </c>
    </row>
    <row r="1461" spans="1:14" x14ac:dyDescent="0.35">
      <c r="A1461" s="1">
        <v>44504</v>
      </c>
      <c r="B1461" s="2" t="s">
        <v>1461</v>
      </c>
      <c r="C1461">
        <f t="shared" si="263"/>
        <v>55844.9</v>
      </c>
      <c r="D1461">
        <f t="shared" si="264"/>
        <v>2021</v>
      </c>
      <c r="E1461">
        <f t="shared" si="265"/>
        <v>11</v>
      </c>
      <c r="F1461" t="str">
        <f t="shared" si="267"/>
        <v>November</v>
      </c>
      <c r="G1461">
        <f t="shared" si="266"/>
        <v>4</v>
      </c>
      <c r="H1461" s="7">
        <f t="shared" si="268"/>
        <v>0.22091892221715476</v>
      </c>
      <c r="I1461" s="9">
        <f t="shared" si="269"/>
        <v>2.2067525517127777E-3</v>
      </c>
      <c r="J1461" s="9">
        <f t="shared" si="270"/>
        <v>56526.972857142864</v>
      </c>
      <c r="K1461" s="9">
        <f t="shared" si="273"/>
        <v>56171.82433333333</v>
      </c>
      <c r="L1461" s="9">
        <f t="shared" si="272"/>
        <v>55759.601444444466</v>
      </c>
      <c r="M1461" s="9">
        <f t="shared" si="271"/>
        <v>1.2063786346500009E-2</v>
      </c>
      <c r="N1461" s="9">
        <f t="shared" si="274"/>
        <v>1.0750705352485544E-2</v>
      </c>
    </row>
    <row r="1462" spans="1:14" x14ac:dyDescent="0.35">
      <c r="A1462" s="1">
        <v>44505</v>
      </c>
      <c r="B1462" s="2" t="s">
        <v>1462</v>
      </c>
      <c r="C1462">
        <f t="shared" si="263"/>
        <v>56707.74</v>
      </c>
      <c r="D1462">
        <f t="shared" si="264"/>
        <v>2021</v>
      </c>
      <c r="E1462">
        <f t="shared" si="265"/>
        <v>11</v>
      </c>
      <c r="F1462" t="str">
        <f t="shared" si="267"/>
        <v>November</v>
      </c>
      <c r="G1462">
        <f t="shared" si="266"/>
        <v>5</v>
      </c>
      <c r="H1462" s="7">
        <f t="shared" si="268"/>
        <v>1.5450649925060238</v>
      </c>
      <c r="I1462" s="9">
        <f t="shared" si="269"/>
        <v>1.5332504033273145E-2</v>
      </c>
      <c r="J1462" s="9">
        <f t="shared" si="270"/>
        <v>56519.83142857143</v>
      </c>
      <c r="K1462" s="9">
        <f t="shared" si="273"/>
        <v>56196.950333333327</v>
      </c>
      <c r="L1462" s="9">
        <f t="shared" si="272"/>
        <v>55729.472222222241</v>
      </c>
      <c r="M1462" s="9">
        <f t="shared" si="271"/>
        <v>1.3751408000777572E-2</v>
      </c>
      <c r="N1462" s="9">
        <f t="shared" si="274"/>
        <v>1.1104186846910249E-2</v>
      </c>
    </row>
    <row r="1463" spans="1:14" x14ac:dyDescent="0.35">
      <c r="A1463" s="1">
        <v>44508</v>
      </c>
      <c r="B1463" s="2" t="s">
        <v>1463</v>
      </c>
      <c r="C1463">
        <f t="shared" si="263"/>
        <v>56488.11</v>
      </c>
      <c r="D1463">
        <f t="shared" si="264"/>
        <v>2021</v>
      </c>
      <c r="E1463">
        <f t="shared" si="265"/>
        <v>11</v>
      </c>
      <c r="F1463" t="str">
        <f t="shared" si="267"/>
        <v>November</v>
      </c>
      <c r="G1463">
        <f t="shared" si="266"/>
        <v>8</v>
      </c>
      <c r="H1463" s="7">
        <f t="shared" si="268"/>
        <v>-0.38730162760850179</v>
      </c>
      <c r="I1463" s="9">
        <f t="shared" si="269"/>
        <v>-3.8805358254599132E-3</v>
      </c>
      <c r="J1463" s="9">
        <f t="shared" si="270"/>
        <v>56352.891428571427</v>
      </c>
      <c r="K1463" s="9">
        <f t="shared" si="273"/>
        <v>56239.509333333335</v>
      </c>
      <c r="L1463" s="9">
        <f t="shared" si="272"/>
        <v>55702.14588888891</v>
      </c>
      <c r="M1463" s="9">
        <f t="shared" si="271"/>
        <v>1.1852831790194781E-2</v>
      </c>
      <c r="N1463" s="9">
        <f t="shared" si="274"/>
        <v>1.0829205695222902E-2</v>
      </c>
    </row>
    <row r="1464" spans="1:14" x14ac:dyDescent="0.35">
      <c r="A1464" s="1">
        <v>44509</v>
      </c>
      <c r="B1464" s="2" t="s">
        <v>1464</v>
      </c>
      <c r="C1464">
        <f t="shared" si="263"/>
        <v>56326.2</v>
      </c>
      <c r="D1464">
        <f t="shared" si="264"/>
        <v>2021</v>
      </c>
      <c r="E1464">
        <f t="shared" si="265"/>
        <v>11</v>
      </c>
      <c r="F1464" t="str">
        <f t="shared" si="267"/>
        <v>November</v>
      </c>
      <c r="G1464">
        <f t="shared" si="266"/>
        <v>9</v>
      </c>
      <c r="H1464" s="7">
        <f t="shared" si="268"/>
        <v>-0.28662669011231479</v>
      </c>
      <c r="I1464" s="9">
        <f t="shared" si="269"/>
        <v>-2.8703825102681835E-3</v>
      </c>
      <c r="J1464" s="9">
        <f t="shared" si="270"/>
        <v>56166.72571428572</v>
      </c>
      <c r="K1464" s="9">
        <f t="shared" si="273"/>
        <v>56302.421999999999</v>
      </c>
      <c r="L1464" s="9">
        <f t="shared" si="272"/>
        <v>55680.415000000015</v>
      </c>
      <c r="M1464" s="9">
        <f t="shared" si="271"/>
        <v>1.1804750948411543E-2</v>
      </c>
      <c r="N1464" s="9">
        <f t="shared" si="274"/>
        <v>1.0486884757915267E-2</v>
      </c>
    </row>
    <row r="1465" spans="1:14" x14ac:dyDescent="0.35">
      <c r="A1465" s="1">
        <v>44510</v>
      </c>
      <c r="B1465" s="2" t="s">
        <v>1465</v>
      </c>
      <c r="C1465">
        <f t="shared" si="263"/>
        <v>55645.65</v>
      </c>
      <c r="D1465">
        <f t="shared" si="264"/>
        <v>2021</v>
      </c>
      <c r="E1465">
        <f t="shared" si="265"/>
        <v>11</v>
      </c>
      <c r="F1465" t="str">
        <f t="shared" si="267"/>
        <v>November</v>
      </c>
      <c r="G1465">
        <f t="shared" si="266"/>
        <v>10</v>
      </c>
      <c r="H1465" s="7">
        <f t="shared" si="268"/>
        <v>-1.2082299178712494</v>
      </c>
      <c r="I1465" s="9">
        <f t="shared" si="269"/>
        <v>-1.2155883467682999E-2</v>
      </c>
      <c r="J1465" s="9">
        <f t="shared" si="270"/>
        <v>56080.542857142864</v>
      </c>
      <c r="K1465" s="9">
        <f t="shared" si="273"/>
        <v>56343.934333333324</v>
      </c>
      <c r="L1465" s="9">
        <f t="shared" si="272"/>
        <v>55659.703111111136</v>
      </c>
      <c r="M1465" s="9">
        <f t="shared" si="271"/>
        <v>8.7003423918960449E-3</v>
      </c>
      <c r="N1465" s="9">
        <f t="shared" si="274"/>
        <v>1.076099970630392E-2</v>
      </c>
    </row>
    <row r="1466" spans="1:14" x14ac:dyDescent="0.35">
      <c r="A1466" s="1">
        <v>44511</v>
      </c>
      <c r="B1466" s="2" t="s">
        <v>1466</v>
      </c>
      <c r="C1466">
        <f t="shared" si="263"/>
        <v>56070.7</v>
      </c>
      <c r="D1466">
        <f t="shared" si="264"/>
        <v>2021</v>
      </c>
      <c r="E1466">
        <f t="shared" si="265"/>
        <v>11</v>
      </c>
      <c r="F1466" t="str">
        <f t="shared" si="267"/>
        <v>November</v>
      </c>
      <c r="G1466">
        <f t="shared" si="266"/>
        <v>11</v>
      </c>
      <c r="H1466" s="7">
        <f t="shared" si="268"/>
        <v>0.76385126240774548</v>
      </c>
      <c r="I1466" s="9">
        <f t="shared" si="269"/>
        <v>7.6094869017158742E-3</v>
      </c>
      <c r="J1466" s="9">
        <f t="shared" si="270"/>
        <v>56115.014285714293</v>
      </c>
      <c r="K1466" s="9">
        <f t="shared" si="273"/>
        <v>56416.992666666651</v>
      </c>
      <c r="L1466" s="9">
        <f t="shared" si="272"/>
        <v>55648.356555555576</v>
      </c>
      <c r="M1466" s="9">
        <f t="shared" si="271"/>
        <v>8.8504932599256601E-3</v>
      </c>
      <c r="N1466" s="9">
        <f t="shared" si="274"/>
        <v>1.0647054720289565E-2</v>
      </c>
    </row>
    <row r="1467" spans="1:14" x14ac:dyDescent="0.35">
      <c r="A1467" s="1">
        <v>44512</v>
      </c>
      <c r="B1467" s="2" t="s">
        <v>1467</v>
      </c>
      <c r="C1467">
        <f t="shared" si="263"/>
        <v>55834.239999999998</v>
      </c>
      <c r="D1467">
        <f t="shared" si="264"/>
        <v>2021</v>
      </c>
      <c r="E1467">
        <f t="shared" si="265"/>
        <v>11</v>
      </c>
      <c r="F1467" t="str">
        <f t="shared" si="267"/>
        <v>November</v>
      </c>
      <c r="G1467">
        <f t="shared" si="266"/>
        <v>12</v>
      </c>
      <c r="H1467" s="7">
        <f t="shared" si="268"/>
        <v>-0.42171758155328742</v>
      </c>
      <c r="I1467" s="9">
        <f t="shared" si="269"/>
        <v>-4.2260931810249548E-3</v>
      </c>
      <c r="J1467" s="9">
        <f t="shared" si="270"/>
        <v>56131.077142857146</v>
      </c>
      <c r="K1467" s="9">
        <f t="shared" si="273"/>
        <v>56460.722333333324</v>
      </c>
      <c r="L1467" s="9">
        <f t="shared" si="272"/>
        <v>55626.264777777797</v>
      </c>
      <c r="M1467" s="9">
        <f t="shared" si="271"/>
        <v>9.0018722814030529E-3</v>
      </c>
      <c r="N1467" s="9">
        <f t="shared" si="274"/>
        <v>1.0502099530277044E-2</v>
      </c>
    </row>
    <row r="1468" spans="1:14" x14ac:dyDescent="0.35">
      <c r="A1468" s="1">
        <v>44515</v>
      </c>
      <c r="B1468" s="2" t="s">
        <v>1468</v>
      </c>
      <c r="C1468">
        <f t="shared" si="263"/>
        <v>56422.14</v>
      </c>
      <c r="D1468">
        <f t="shared" si="264"/>
        <v>2021</v>
      </c>
      <c r="E1468">
        <f t="shared" si="265"/>
        <v>11</v>
      </c>
      <c r="F1468" t="str">
        <f t="shared" si="267"/>
        <v>November</v>
      </c>
      <c r="G1468">
        <f t="shared" si="266"/>
        <v>15</v>
      </c>
      <c r="H1468" s="7">
        <f t="shared" si="268"/>
        <v>1.0529381254226822</v>
      </c>
      <c r="I1468" s="9">
        <f t="shared" si="269"/>
        <v>1.0474333395522922E-2</v>
      </c>
      <c r="J1468" s="9">
        <f t="shared" si="270"/>
        <v>56213.539999999994</v>
      </c>
      <c r="K1468" s="9">
        <f t="shared" si="273"/>
        <v>56479.397666666649</v>
      </c>
      <c r="L1468" s="9">
        <f t="shared" si="272"/>
        <v>55609.580888888901</v>
      </c>
      <c r="M1468" s="9">
        <f t="shared" si="271"/>
        <v>9.8023607953705919E-3</v>
      </c>
      <c r="N1468" s="9">
        <f t="shared" si="274"/>
        <v>9.710745867808639E-3</v>
      </c>
    </row>
    <row r="1469" spans="1:14" x14ac:dyDescent="0.35">
      <c r="A1469" s="1">
        <v>44516</v>
      </c>
      <c r="B1469" s="2" t="s">
        <v>1469</v>
      </c>
      <c r="C1469">
        <f t="shared" si="263"/>
        <v>56265.36</v>
      </c>
      <c r="D1469">
        <f t="shared" si="264"/>
        <v>2021</v>
      </c>
      <c r="E1469">
        <f t="shared" si="265"/>
        <v>11</v>
      </c>
      <c r="F1469" t="str">
        <f t="shared" si="267"/>
        <v>November</v>
      </c>
      <c r="G1469">
        <f t="shared" si="266"/>
        <v>16</v>
      </c>
      <c r="H1469" s="7">
        <f t="shared" si="268"/>
        <v>-0.27786964478837356</v>
      </c>
      <c r="I1469" s="9">
        <f t="shared" si="269"/>
        <v>-2.7825641913767759E-3</v>
      </c>
      <c r="J1469" s="9">
        <f t="shared" si="270"/>
        <v>56150.342857142852</v>
      </c>
      <c r="K1469" s="9">
        <f t="shared" si="273"/>
        <v>56490.653333333321</v>
      </c>
      <c r="L1469" s="9">
        <f t="shared" si="272"/>
        <v>55593.171666666676</v>
      </c>
      <c r="M1469" s="9">
        <f t="shared" si="271"/>
        <v>7.6976138499180074E-3</v>
      </c>
      <c r="N1469" s="9">
        <f t="shared" si="274"/>
        <v>9.7257695677661384E-3</v>
      </c>
    </row>
    <row r="1470" spans="1:14" x14ac:dyDescent="0.35">
      <c r="A1470" s="1">
        <v>44517</v>
      </c>
      <c r="B1470" s="2" t="s">
        <v>1470</v>
      </c>
      <c r="C1470">
        <f t="shared" si="263"/>
        <v>55911.8</v>
      </c>
      <c r="D1470">
        <f t="shared" si="264"/>
        <v>2021</v>
      </c>
      <c r="E1470">
        <f t="shared" si="265"/>
        <v>11</v>
      </c>
      <c r="F1470" t="str">
        <f t="shared" si="267"/>
        <v>November</v>
      </c>
      <c r="G1470">
        <f t="shared" si="266"/>
        <v>17</v>
      </c>
      <c r="H1470" s="7">
        <f t="shared" si="268"/>
        <v>-0.62837952160973942</v>
      </c>
      <c r="I1470" s="9">
        <f t="shared" si="269"/>
        <v>-6.3036213564987911E-3</v>
      </c>
      <c r="J1470" s="9">
        <f t="shared" si="270"/>
        <v>56068.01285714285</v>
      </c>
      <c r="K1470" s="9">
        <f t="shared" si="273"/>
        <v>56505.176333333329</v>
      </c>
      <c r="L1470" s="9">
        <f t="shared" si="272"/>
        <v>55572.614777777788</v>
      </c>
      <c r="M1470" s="9">
        <f t="shared" si="271"/>
        <v>7.8944701252630436E-3</v>
      </c>
      <c r="N1470" s="9">
        <f t="shared" si="274"/>
        <v>9.6781039010726596E-3</v>
      </c>
    </row>
    <row r="1471" spans="1:14" x14ac:dyDescent="0.35">
      <c r="A1471" s="1">
        <v>44518</v>
      </c>
      <c r="B1471" s="2" t="s">
        <v>1471</v>
      </c>
      <c r="C1471">
        <f t="shared" si="263"/>
        <v>55729.45</v>
      </c>
      <c r="D1471">
        <f t="shared" si="264"/>
        <v>2021</v>
      </c>
      <c r="E1471">
        <f t="shared" si="265"/>
        <v>11</v>
      </c>
      <c r="F1471" t="str">
        <f t="shared" si="267"/>
        <v>November</v>
      </c>
      <c r="G1471">
        <f t="shared" si="266"/>
        <v>18</v>
      </c>
      <c r="H1471" s="7">
        <f t="shared" si="268"/>
        <v>-0.32613866840274469</v>
      </c>
      <c r="I1471" s="9">
        <f t="shared" si="269"/>
        <v>-3.2667165973394008E-3</v>
      </c>
      <c r="J1471" s="9">
        <f t="shared" si="270"/>
        <v>55982.76285714285</v>
      </c>
      <c r="K1471" s="9">
        <f t="shared" si="273"/>
        <v>56494.25466666666</v>
      </c>
      <c r="L1471" s="9">
        <f t="shared" si="272"/>
        <v>55556.860777777787</v>
      </c>
      <c r="M1471" s="9">
        <f t="shared" si="271"/>
        <v>7.9076400309568747E-3</v>
      </c>
      <c r="N1471" s="9">
        <f t="shared" si="274"/>
        <v>9.5037730382494662E-3</v>
      </c>
    </row>
    <row r="1472" spans="1:14" x14ac:dyDescent="0.35">
      <c r="A1472" s="1">
        <v>44519</v>
      </c>
      <c r="B1472" s="2" t="s">
        <v>1472</v>
      </c>
      <c r="C1472">
        <f t="shared" si="263"/>
        <v>55947.05</v>
      </c>
      <c r="D1472">
        <f t="shared" si="264"/>
        <v>2021</v>
      </c>
      <c r="E1472">
        <f t="shared" si="265"/>
        <v>11</v>
      </c>
      <c r="F1472" t="str">
        <f t="shared" si="267"/>
        <v>November</v>
      </c>
      <c r="G1472">
        <f t="shared" si="266"/>
        <v>19</v>
      </c>
      <c r="H1472" s="7">
        <f t="shared" si="268"/>
        <v>0.39045782795273565</v>
      </c>
      <c r="I1472" s="9">
        <f t="shared" si="269"/>
        <v>3.8969751985470529E-3</v>
      </c>
      <c r="J1472" s="9">
        <f t="shared" si="270"/>
        <v>56025.82</v>
      </c>
      <c r="K1472" s="9">
        <f t="shared" si="273"/>
        <v>56463.500666666667</v>
      </c>
      <c r="L1472" s="9">
        <f t="shared" si="272"/>
        <v>55549.436000000016</v>
      </c>
      <c r="M1472" s="9">
        <f t="shared" si="271"/>
        <v>6.5146435195414494E-3</v>
      </c>
      <c r="N1472" s="9">
        <f t="shared" si="274"/>
        <v>9.1343094418235935E-3</v>
      </c>
    </row>
    <row r="1473" spans="1:14" x14ac:dyDescent="0.35">
      <c r="A1473" s="1">
        <v>44522</v>
      </c>
      <c r="B1473" s="2" t="s">
        <v>1473</v>
      </c>
      <c r="C1473">
        <f t="shared" si="263"/>
        <v>55531.05</v>
      </c>
      <c r="D1473">
        <f t="shared" si="264"/>
        <v>2021</v>
      </c>
      <c r="E1473">
        <f t="shared" si="265"/>
        <v>11</v>
      </c>
      <c r="F1473" t="str">
        <f t="shared" si="267"/>
        <v>November</v>
      </c>
      <c r="G1473">
        <f t="shared" si="266"/>
        <v>22</v>
      </c>
      <c r="H1473" s="7">
        <f t="shared" si="268"/>
        <v>-0.74356020558724722</v>
      </c>
      <c r="I1473" s="9">
        <f t="shared" si="269"/>
        <v>-7.463383947238748E-3</v>
      </c>
      <c r="J1473" s="9">
        <f t="shared" si="270"/>
        <v>55948.72714285714</v>
      </c>
      <c r="K1473" s="9">
        <f t="shared" si="273"/>
        <v>56428.794333333339</v>
      </c>
      <c r="L1473" s="9">
        <f t="shared" si="272"/>
        <v>55535.85333333334</v>
      </c>
      <c r="M1473" s="9">
        <f t="shared" si="271"/>
        <v>6.3672130183477929E-3</v>
      </c>
      <c r="N1473" s="9">
        <f t="shared" si="274"/>
        <v>9.1825419749620059E-3</v>
      </c>
    </row>
    <row r="1474" spans="1:14" x14ac:dyDescent="0.35">
      <c r="A1474" s="1">
        <v>44523</v>
      </c>
      <c r="B1474" s="2" t="s">
        <v>1474</v>
      </c>
      <c r="C1474">
        <f t="shared" si="263"/>
        <v>56199.46</v>
      </c>
      <c r="D1474">
        <f t="shared" si="264"/>
        <v>2021</v>
      </c>
      <c r="E1474">
        <f t="shared" si="265"/>
        <v>11</v>
      </c>
      <c r="F1474" t="str">
        <f t="shared" si="267"/>
        <v>November</v>
      </c>
      <c r="G1474">
        <f t="shared" si="266"/>
        <v>23</v>
      </c>
      <c r="H1474" s="7">
        <f t="shared" si="268"/>
        <v>1.2036689383687076</v>
      </c>
      <c r="I1474" s="9">
        <f t="shared" si="269"/>
        <v>1.1964824539808103E-2</v>
      </c>
      <c r="J1474" s="9">
        <f t="shared" si="270"/>
        <v>56000.901428571429</v>
      </c>
      <c r="K1474" s="9">
        <f t="shared" si="273"/>
        <v>56431.635333333332</v>
      </c>
      <c r="L1474" s="9">
        <f t="shared" si="272"/>
        <v>55523.362111111121</v>
      </c>
      <c r="M1474" s="9">
        <f t="shared" si="271"/>
        <v>7.9144837234701552E-3</v>
      </c>
      <c r="N1474" s="9">
        <f t="shared" si="274"/>
        <v>9.3472394454379871E-3</v>
      </c>
    </row>
    <row r="1475" spans="1:14" x14ac:dyDescent="0.35">
      <c r="A1475" s="1">
        <v>44524</v>
      </c>
      <c r="B1475" s="2" t="s">
        <v>1475</v>
      </c>
      <c r="C1475">
        <f t="shared" ref="C1475:C1538" si="275">_xlfn.NUMBERVALUE(B1475,".",",")</f>
        <v>55417.89</v>
      </c>
      <c r="D1475">
        <f t="shared" ref="D1475:D1538" si="276">YEAR(A1475)</f>
        <v>2021</v>
      </c>
      <c r="E1475">
        <f t="shared" ref="E1475:E1538" si="277">MONTH(A1475)</f>
        <v>11</v>
      </c>
      <c r="F1475" t="str">
        <f t="shared" si="267"/>
        <v>November</v>
      </c>
      <c r="G1475">
        <f t="shared" ref="G1475:G1538" si="278">DAY(A1475)</f>
        <v>24</v>
      </c>
      <c r="H1475" s="7">
        <f t="shared" si="268"/>
        <v>-1.3907073128460659</v>
      </c>
      <c r="I1475" s="9">
        <f t="shared" si="269"/>
        <v>-1.4004682500387378E-2</v>
      </c>
      <c r="J1475" s="9">
        <f t="shared" si="270"/>
        <v>55857.437142857139</v>
      </c>
      <c r="K1475" s="9">
        <f t="shared" si="273"/>
        <v>56391.384333333335</v>
      </c>
      <c r="L1475" s="9">
        <f t="shared" si="272"/>
        <v>55505.194111111108</v>
      </c>
      <c r="M1475" s="9">
        <f t="shared" si="271"/>
        <v>8.3889853692539242E-3</v>
      </c>
      <c r="N1475" s="9">
        <f t="shared" si="274"/>
        <v>9.5271601807193889E-3</v>
      </c>
    </row>
    <row r="1476" spans="1:14" x14ac:dyDescent="0.35">
      <c r="A1476" s="1">
        <v>44525</v>
      </c>
      <c r="B1476" s="2" t="s">
        <v>1476</v>
      </c>
      <c r="C1476">
        <f t="shared" si="275"/>
        <v>55787.9</v>
      </c>
      <c r="D1476">
        <f t="shared" si="276"/>
        <v>2021</v>
      </c>
      <c r="E1476">
        <f t="shared" si="277"/>
        <v>11</v>
      </c>
      <c r="F1476" t="str">
        <f t="shared" ref="F1476:F1539" si="279">TEXT(A1476,"mmmm")</f>
        <v>November</v>
      </c>
      <c r="G1476">
        <f t="shared" si="278"/>
        <v>25</v>
      </c>
      <c r="H1476" s="7">
        <f t="shared" ref="H1476:H1539" si="280">((C1476-C1475)/C1475)*100</f>
        <v>0.66767247904963911</v>
      </c>
      <c r="I1476" s="9">
        <f t="shared" ref="I1476:I1539" si="281">LN(C1476/C1475)</f>
        <v>6.6545341824918967E-3</v>
      </c>
      <c r="J1476" s="9">
        <f t="shared" si="270"/>
        <v>55789.228571428575</v>
      </c>
      <c r="K1476" s="9">
        <f t="shared" si="273"/>
        <v>56385.98366666666</v>
      </c>
      <c r="L1476" s="9">
        <f t="shared" si="272"/>
        <v>55488.759666666665</v>
      </c>
      <c r="M1476" s="9">
        <f t="shared" si="271"/>
        <v>9.0782843521392455E-3</v>
      </c>
      <c r="N1476" s="9">
        <f t="shared" si="274"/>
        <v>9.3729310776232387E-3</v>
      </c>
    </row>
    <row r="1477" spans="1:14" x14ac:dyDescent="0.35">
      <c r="A1477" s="1">
        <v>44526</v>
      </c>
      <c r="B1477" s="2" t="s">
        <v>1477</v>
      </c>
      <c r="C1477">
        <f t="shared" si="275"/>
        <v>55870.69</v>
      </c>
      <c r="D1477">
        <f t="shared" si="276"/>
        <v>2021</v>
      </c>
      <c r="E1477">
        <f t="shared" si="277"/>
        <v>11</v>
      </c>
      <c r="F1477" t="str">
        <f t="shared" si="279"/>
        <v>November</v>
      </c>
      <c r="G1477">
        <f t="shared" si="278"/>
        <v>26</v>
      </c>
      <c r="H1477" s="7">
        <f t="shared" si="280"/>
        <v>0.14840135584956751</v>
      </c>
      <c r="I1477" s="9">
        <f t="shared" si="281"/>
        <v>1.4829134985762057E-3</v>
      </c>
      <c r="J1477" s="9">
        <f t="shared" si="270"/>
        <v>55783.35571428571</v>
      </c>
      <c r="K1477" s="9">
        <f t="shared" si="273"/>
        <v>56394.007333333335</v>
      </c>
      <c r="L1477" s="9">
        <f t="shared" si="272"/>
        <v>55474.182888888899</v>
      </c>
      <c r="M1477" s="9">
        <f t="shared" si="271"/>
        <v>8.8247066172407775E-3</v>
      </c>
      <c r="N1477" s="9">
        <f t="shared" si="274"/>
        <v>9.3156782740767101E-3</v>
      </c>
    </row>
    <row r="1478" spans="1:14" x14ac:dyDescent="0.35">
      <c r="A1478" s="1">
        <v>44529</v>
      </c>
      <c r="B1478" s="2" t="s">
        <v>1478</v>
      </c>
      <c r="C1478">
        <f t="shared" si="275"/>
        <v>55243.8</v>
      </c>
      <c r="D1478">
        <f t="shared" si="276"/>
        <v>2021</v>
      </c>
      <c r="E1478">
        <f t="shared" si="277"/>
        <v>11</v>
      </c>
      <c r="F1478" t="str">
        <f t="shared" si="279"/>
        <v>November</v>
      </c>
      <c r="G1478">
        <f t="shared" si="278"/>
        <v>29</v>
      </c>
      <c r="H1478" s="7">
        <f t="shared" si="280"/>
        <v>-1.1220373329915907</v>
      </c>
      <c r="I1478" s="9">
        <f t="shared" si="281"/>
        <v>-1.1283796586766736E-2</v>
      </c>
      <c r="J1478" s="9">
        <f t="shared" si="270"/>
        <v>55713.977142857148</v>
      </c>
      <c r="K1478" s="9">
        <f t="shared" si="273"/>
        <v>56354.357999999993</v>
      </c>
      <c r="L1478" s="9">
        <f t="shared" si="272"/>
        <v>55454.323000000004</v>
      </c>
      <c r="M1478" s="9">
        <f t="shared" si="271"/>
        <v>9.7727389275304236E-3</v>
      </c>
      <c r="N1478" s="9">
        <f t="shared" si="274"/>
        <v>9.1424525374778146E-3</v>
      </c>
    </row>
    <row r="1479" spans="1:14" x14ac:dyDescent="0.35">
      <c r="A1479" s="1">
        <v>44530</v>
      </c>
      <c r="B1479" s="2" t="s">
        <v>1479</v>
      </c>
      <c r="C1479">
        <f t="shared" si="275"/>
        <v>54846.28</v>
      </c>
      <c r="D1479">
        <f t="shared" si="276"/>
        <v>2021</v>
      </c>
      <c r="E1479">
        <f t="shared" si="277"/>
        <v>11</v>
      </c>
      <c r="F1479" t="str">
        <f t="shared" si="279"/>
        <v>November</v>
      </c>
      <c r="G1479">
        <f t="shared" si="278"/>
        <v>30</v>
      </c>
      <c r="H1479" s="7">
        <f t="shared" si="280"/>
        <v>-0.71957396124090678</v>
      </c>
      <c r="I1479" s="9">
        <f t="shared" si="281"/>
        <v>-7.2217538161053205E-3</v>
      </c>
      <c r="J1479" s="9">
        <f t="shared" si="270"/>
        <v>55556.724285714277</v>
      </c>
      <c r="K1479" s="9">
        <f t="shared" si="273"/>
        <v>56281.728666666662</v>
      </c>
      <c r="L1479" s="9">
        <f t="shared" si="272"/>
        <v>55423.644999999997</v>
      </c>
      <c r="M1479" s="9">
        <f t="shared" si="271"/>
        <v>9.699998807325241E-3</v>
      </c>
      <c r="N1479" s="9">
        <f t="shared" si="274"/>
        <v>8.9669506194305446E-3</v>
      </c>
    </row>
    <row r="1480" spans="1:14" x14ac:dyDescent="0.35">
      <c r="A1480" s="1">
        <v>44531</v>
      </c>
      <c r="B1480" s="2" t="s">
        <v>1480</v>
      </c>
      <c r="C1480">
        <f t="shared" si="275"/>
        <v>54521.9</v>
      </c>
      <c r="D1480">
        <f t="shared" si="276"/>
        <v>2021</v>
      </c>
      <c r="E1480">
        <f t="shared" si="277"/>
        <v>12</v>
      </c>
      <c r="F1480" t="str">
        <f t="shared" si="279"/>
        <v>December</v>
      </c>
      <c r="G1480">
        <f t="shared" si="278"/>
        <v>1</v>
      </c>
      <c r="H1480" s="7">
        <f t="shared" si="280"/>
        <v>-0.59143482475018794</v>
      </c>
      <c r="I1480" s="9">
        <f t="shared" si="281"/>
        <v>-5.931907272789189E-3</v>
      </c>
      <c r="J1480" s="9">
        <f t="shared" si="270"/>
        <v>55412.560000000005</v>
      </c>
      <c r="K1480" s="9">
        <f t="shared" si="273"/>
        <v>56184.622666666655</v>
      </c>
      <c r="L1480" s="9">
        <f t="shared" si="272"/>
        <v>55388.642555555554</v>
      </c>
      <c r="M1480" s="9">
        <f t="shared" si="271"/>
        <v>9.5950093384755547E-3</v>
      </c>
      <c r="N1480" s="9">
        <f t="shared" si="274"/>
        <v>8.8589291831066789E-3</v>
      </c>
    </row>
    <row r="1481" spans="1:14" x14ac:dyDescent="0.35">
      <c r="A1481" s="1">
        <v>44532</v>
      </c>
      <c r="B1481" s="2" t="s">
        <v>1481</v>
      </c>
      <c r="C1481">
        <f t="shared" si="275"/>
        <v>54617.19</v>
      </c>
      <c r="D1481">
        <f t="shared" si="276"/>
        <v>2021</v>
      </c>
      <c r="E1481">
        <f t="shared" si="277"/>
        <v>12</v>
      </c>
      <c r="F1481" t="str">
        <f t="shared" si="279"/>
        <v>December</v>
      </c>
      <c r="G1481">
        <f t="shared" si="278"/>
        <v>2</v>
      </c>
      <c r="H1481" s="7">
        <f t="shared" si="280"/>
        <v>0.17477380648877033</v>
      </c>
      <c r="I1481" s="9">
        <f t="shared" si="281"/>
        <v>1.7462125479266015E-3</v>
      </c>
      <c r="J1481" s="9">
        <f t="shared" ref="J1481:J1544" si="282">AVERAGE(C1475:C1481)</f>
        <v>55186.521428571439</v>
      </c>
      <c r="K1481" s="9">
        <f t="shared" si="273"/>
        <v>56102.61299999999</v>
      </c>
      <c r="L1481" s="9">
        <f t="shared" si="272"/>
        <v>55358.750333333337</v>
      </c>
      <c r="M1481" s="9">
        <f t="shared" si="271"/>
        <v>7.569843334093238E-3</v>
      </c>
      <c r="N1481" s="9">
        <f t="shared" si="274"/>
        <v>8.8387543888851713E-3</v>
      </c>
    </row>
    <row r="1482" spans="1:14" x14ac:dyDescent="0.35">
      <c r="A1482" s="1">
        <v>44533</v>
      </c>
      <c r="B1482" s="2" t="s">
        <v>1482</v>
      </c>
      <c r="C1482">
        <f t="shared" si="275"/>
        <v>53787.72</v>
      </c>
      <c r="D1482">
        <f t="shared" si="276"/>
        <v>2021</v>
      </c>
      <c r="E1482">
        <f t="shared" si="277"/>
        <v>12</v>
      </c>
      <c r="F1482" t="str">
        <f t="shared" si="279"/>
        <v>December</v>
      </c>
      <c r="G1482">
        <f t="shared" si="278"/>
        <v>3</v>
      </c>
      <c r="H1482" s="7">
        <f t="shared" si="280"/>
        <v>-1.5186976847399165</v>
      </c>
      <c r="I1482" s="9">
        <f t="shared" si="281"/>
        <v>-1.5303480039501421E-2</v>
      </c>
      <c r="J1482" s="9">
        <f t="shared" si="282"/>
        <v>54953.64</v>
      </c>
      <c r="K1482" s="9">
        <f t="shared" si="273"/>
        <v>55981.554999999986</v>
      </c>
      <c r="L1482" s="9">
        <f t="shared" si="272"/>
        <v>55329.869000000013</v>
      </c>
      <c r="M1482" s="9">
        <f t="shared" ref="M1482:M1545" si="283">STDEV(I1476:I1482)</f>
        <v>7.8638617739536041E-3</v>
      </c>
      <c r="N1482" s="9">
        <f t="shared" si="274"/>
        <v>9.07156646579752E-3</v>
      </c>
    </row>
    <row r="1483" spans="1:14" x14ac:dyDescent="0.35">
      <c r="A1483" s="1">
        <v>44536</v>
      </c>
      <c r="B1483" s="2" t="s">
        <v>1483</v>
      </c>
      <c r="C1483">
        <f t="shared" si="275"/>
        <v>54362.36</v>
      </c>
      <c r="D1483">
        <f t="shared" si="276"/>
        <v>2021</v>
      </c>
      <c r="E1483">
        <f t="shared" si="277"/>
        <v>12</v>
      </c>
      <c r="F1483" t="str">
        <f t="shared" si="279"/>
        <v>December</v>
      </c>
      <c r="G1483">
        <f t="shared" si="278"/>
        <v>6</v>
      </c>
      <c r="H1483" s="7">
        <f t="shared" si="280"/>
        <v>1.0683479426158971</v>
      </c>
      <c r="I1483" s="9">
        <f t="shared" si="281"/>
        <v>1.062681428977057E-2</v>
      </c>
      <c r="J1483" s="9">
        <f t="shared" si="282"/>
        <v>54749.991428571419</v>
      </c>
      <c r="K1483" s="9">
        <f t="shared" si="273"/>
        <v>55879.724333333324</v>
      </c>
      <c r="L1483" s="9">
        <f t="shared" si="272"/>
        <v>55320.281444444467</v>
      </c>
      <c r="M1483" s="9">
        <f t="shared" si="283"/>
        <v>8.8630344568752118E-3</v>
      </c>
      <c r="N1483" s="9">
        <f t="shared" si="274"/>
        <v>9.3626129899626077E-3</v>
      </c>
    </row>
    <row r="1484" spans="1:14" x14ac:dyDescent="0.35">
      <c r="A1484" s="1">
        <v>44537</v>
      </c>
      <c r="B1484" s="2" t="s">
        <v>1484</v>
      </c>
      <c r="C1484">
        <f t="shared" si="275"/>
        <v>54141.5</v>
      </c>
      <c r="D1484">
        <f t="shared" si="276"/>
        <v>2021</v>
      </c>
      <c r="E1484">
        <f t="shared" si="277"/>
        <v>12</v>
      </c>
      <c r="F1484" t="str">
        <f t="shared" si="279"/>
        <v>December</v>
      </c>
      <c r="G1484">
        <f t="shared" si="278"/>
        <v>7</v>
      </c>
      <c r="H1484" s="7">
        <f t="shared" si="280"/>
        <v>-0.40627375264797289</v>
      </c>
      <c r="I1484" s="9">
        <f t="shared" si="281"/>
        <v>-4.0710128658770486E-3</v>
      </c>
      <c r="J1484" s="9">
        <f t="shared" si="282"/>
        <v>54502.964285714283</v>
      </c>
      <c r="K1484" s="9">
        <f t="shared" si="273"/>
        <v>55778.832999999991</v>
      </c>
      <c r="L1484" s="9">
        <f t="shared" si="272"/>
        <v>55325.673555555564</v>
      </c>
      <c r="M1484" s="9">
        <f t="shared" si="283"/>
        <v>8.5655565899995286E-3</v>
      </c>
      <c r="N1484" s="9">
        <f t="shared" si="274"/>
        <v>9.360183964014876E-3</v>
      </c>
    </row>
    <row r="1485" spans="1:14" x14ac:dyDescent="0.35">
      <c r="A1485" s="1">
        <v>44538</v>
      </c>
      <c r="B1485" s="2" t="s">
        <v>1485</v>
      </c>
      <c r="C1485">
        <f t="shared" si="275"/>
        <v>53648.05</v>
      </c>
      <c r="D1485">
        <f t="shared" si="276"/>
        <v>2021</v>
      </c>
      <c r="E1485">
        <f t="shared" si="277"/>
        <v>12</v>
      </c>
      <c r="F1485" t="str">
        <f t="shared" si="279"/>
        <v>December</v>
      </c>
      <c r="G1485">
        <f t="shared" si="278"/>
        <v>8</v>
      </c>
      <c r="H1485" s="7">
        <f t="shared" si="280"/>
        <v>-0.91140806959540666</v>
      </c>
      <c r="I1485" s="9">
        <f t="shared" si="281"/>
        <v>-9.1558680252644565E-3</v>
      </c>
      <c r="J1485" s="9">
        <f t="shared" si="282"/>
        <v>54275</v>
      </c>
      <c r="K1485" s="9">
        <f t="shared" si="273"/>
        <v>55675.176999999996</v>
      </c>
      <c r="L1485" s="9">
        <f t="shared" si="272"/>
        <v>55330.787333333348</v>
      </c>
      <c r="M1485" s="9">
        <f t="shared" si="283"/>
        <v>8.3185111591900385E-3</v>
      </c>
      <c r="N1485" s="9">
        <f t="shared" si="274"/>
        <v>9.4055687737584787E-3</v>
      </c>
    </row>
    <row r="1486" spans="1:14" x14ac:dyDescent="0.35">
      <c r="A1486" s="1">
        <v>44539</v>
      </c>
      <c r="B1486" s="2" t="s">
        <v>1486</v>
      </c>
      <c r="C1486">
        <f t="shared" si="275"/>
        <v>53914.05</v>
      </c>
      <c r="D1486">
        <f t="shared" si="276"/>
        <v>2021</v>
      </c>
      <c r="E1486">
        <f t="shared" si="277"/>
        <v>12</v>
      </c>
      <c r="F1486" t="str">
        <f t="shared" si="279"/>
        <v>December</v>
      </c>
      <c r="G1486">
        <f t="shared" si="278"/>
        <v>9</v>
      </c>
      <c r="H1486" s="7">
        <f t="shared" si="280"/>
        <v>0.49582417254681199</v>
      </c>
      <c r="I1486" s="9">
        <f t="shared" si="281"/>
        <v>4.9459901258699411E-3</v>
      </c>
      <c r="J1486" s="9">
        <f t="shared" si="282"/>
        <v>54141.824285714283</v>
      </c>
      <c r="K1486" s="9">
        <f t="shared" si="273"/>
        <v>55550.422333333328</v>
      </c>
      <c r="L1486" s="9">
        <f t="shared" si="272"/>
        <v>55345.187444444455</v>
      </c>
      <c r="M1486" s="9">
        <f t="shared" si="283"/>
        <v>8.8340620254569128E-3</v>
      </c>
      <c r="N1486" s="9">
        <f t="shared" si="274"/>
        <v>8.9030800958384542E-3</v>
      </c>
    </row>
    <row r="1487" spans="1:14" x14ac:dyDescent="0.35">
      <c r="A1487" s="1">
        <v>44540</v>
      </c>
      <c r="B1487" s="2" t="s">
        <v>1487</v>
      </c>
      <c r="C1487">
        <f t="shared" si="275"/>
        <v>54447.73</v>
      </c>
      <c r="D1487">
        <f t="shared" si="276"/>
        <v>2021</v>
      </c>
      <c r="E1487">
        <f t="shared" si="277"/>
        <v>12</v>
      </c>
      <c r="F1487" t="str">
        <f t="shared" si="279"/>
        <v>December</v>
      </c>
      <c r="G1487">
        <f t="shared" si="278"/>
        <v>10</v>
      </c>
      <c r="H1487" s="7">
        <f t="shared" si="280"/>
        <v>0.98987184231197678</v>
      </c>
      <c r="I1487" s="9">
        <f t="shared" si="281"/>
        <v>9.8500470359239155E-3</v>
      </c>
      <c r="J1487" s="9">
        <f t="shared" si="282"/>
        <v>54131.228571428568</v>
      </c>
      <c r="K1487" s="9">
        <f t="shared" si="273"/>
        <v>55444.368000000002</v>
      </c>
      <c r="L1487" s="9">
        <f t="shared" si="272"/>
        <v>55375.887777777803</v>
      </c>
      <c r="M1487" s="9">
        <f t="shared" si="283"/>
        <v>9.7621677814102893E-3</v>
      </c>
      <c r="N1487" s="9">
        <f t="shared" si="274"/>
        <v>9.1691382818558393E-3</v>
      </c>
    </row>
    <row r="1488" spans="1:14" x14ac:dyDescent="0.35">
      <c r="A1488" s="1">
        <v>44543</v>
      </c>
      <c r="B1488" s="2" t="s">
        <v>1488</v>
      </c>
      <c r="C1488">
        <f t="shared" si="275"/>
        <v>55474.93</v>
      </c>
      <c r="D1488">
        <f t="shared" si="276"/>
        <v>2021</v>
      </c>
      <c r="E1488">
        <f t="shared" si="277"/>
        <v>12</v>
      </c>
      <c r="F1488" t="str">
        <f t="shared" si="279"/>
        <v>December</v>
      </c>
      <c r="G1488">
        <f t="shared" si="278"/>
        <v>13</v>
      </c>
      <c r="H1488" s="7">
        <f t="shared" si="280"/>
        <v>1.8865800282215568</v>
      </c>
      <c r="I1488" s="9">
        <f t="shared" si="281"/>
        <v>1.8690048101783242E-2</v>
      </c>
      <c r="J1488" s="9">
        <f t="shared" si="282"/>
        <v>54253.76285714285</v>
      </c>
      <c r="K1488" s="9">
        <f t="shared" si="273"/>
        <v>55418.567999999999</v>
      </c>
      <c r="L1488" s="9">
        <f t="shared" si="272"/>
        <v>55415.642888888906</v>
      </c>
      <c r="M1488" s="9">
        <f t="shared" si="283"/>
        <v>1.2135656563142406E-2</v>
      </c>
      <c r="N1488" s="9">
        <f t="shared" si="274"/>
        <v>8.9070267410257236E-3</v>
      </c>
    </row>
    <row r="1489" spans="1:14" x14ac:dyDescent="0.35">
      <c r="A1489" s="1">
        <v>44544</v>
      </c>
      <c r="B1489" s="2" t="s">
        <v>1489</v>
      </c>
      <c r="C1489">
        <f t="shared" si="275"/>
        <v>54230.17</v>
      </c>
      <c r="D1489">
        <f t="shared" si="276"/>
        <v>2021</v>
      </c>
      <c r="E1489">
        <f t="shared" si="277"/>
        <v>12</v>
      </c>
      <c r="F1489" t="str">
        <f t="shared" si="279"/>
        <v>December</v>
      </c>
      <c r="G1489">
        <f t="shared" si="278"/>
        <v>14</v>
      </c>
      <c r="H1489" s="7">
        <f t="shared" si="280"/>
        <v>-2.2438243725589233</v>
      </c>
      <c r="I1489" s="9">
        <f t="shared" si="281"/>
        <v>-2.2693811343914475E-2</v>
      </c>
      <c r="J1489" s="9">
        <f t="shared" si="282"/>
        <v>54316.969999999994</v>
      </c>
      <c r="K1489" s="9">
        <f t="shared" si="273"/>
        <v>55365.260333333332</v>
      </c>
      <c r="L1489" s="9">
        <f t="shared" si="272"/>
        <v>55436.998777777793</v>
      </c>
      <c r="M1489" s="9">
        <f t="shared" si="283"/>
        <v>1.4080471094592319E-2</v>
      </c>
      <c r="N1489" s="9">
        <f t="shared" si="274"/>
        <v>9.7165432946101672E-3</v>
      </c>
    </row>
    <row r="1490" spans="1:14" x14ac:dyDescent="0.35">
      <c r="A1490" s="1">
        <v>44545</v>
      </c>
      <c r="B1490" s="2" t="s">
        <v>1490</v>
      </c>
      <c r="C1490">
        <f t="shared" si="275"/>
        <v>54224.4</v>
      </c>
      <c r="D1490">
        <f t="shared" si="276"/>
        <v>2021</v>
      </c>
      <c r="E1490">
        <f t="shared" si="277"/>
        <v>12</v>
      </c>
      <c r="F1490" t="str">
        <f t="shared" si="279"/>
        <v>December</v>
      </c>
      <c r="G1490">
        <f t="shared" si="278"/>
        <v>15</v>
      </c>
      <c r="H1490" s="7">
        <f t="shared" si="280"/>
        <v>-1.0639833878442201E-2</v>
      </c>
      <c r="I1490" s="9">
        <f t="shared" si="281"/>
        <v>-1.0640399948923048E-4</v>
      </c>
      <c r="J1490" s="9">
        <f t="shared" si="282"/>
        <v>54297.26142857143</v>
      </c>
      <c r="K1490" s="9">
        <f t="shared" si="273"/>
        <v>55315.346999999994</v>
      </c>
      <c r="L1490" s="9">
        <f t="shared" si="272"/>
        <v>55438.60955555558</v>
      </c>
      <c r="M1490" s="9">
        <f t="shared" si="283"/>
        <v>1.3449319760937309E-2</v>
      </c>
      <c r="N1490" s="9">
        <f t="shared" si="274"/>
        <v>9.7160297473662619E-3</v>
      </c>
    </row>
    <row r="1491" spans="1:14" x14ac:dyDescent="0.35">
      <c r="A1491" s="1">
        <v>44547</v>
      </c>
      <c r="B1491" s="2" t="s">
        <v>1491</v>
      </c>
      <c r="C1491">
        <f t="shared" si="275"/>
        <v>53941.22</v>
      </c>
      <c r="D1491">
        <f t="shared" si="276"/>
        <v>2021</v>
      </c>
      <c r="E1491">
        <f t="shared" si="277"/>
        <v>12</v>
      </c>
      <c r="F1491" t="str">
        <f t="shared" si="279"/>
        <v>December</v>
      </c>
      <c r="G1491">
        <f t="shared" si="278"/>
        <v>17</v>
      </c>
      <c r="H1491" s="7">
        <f t="shared" si="280"/>
        <v>-0.52223722161978792</v>
      </c>
      <c r="I1491" s="9">
        <f t="shared" si="281"/>
        <v>-5.2360564656014318E-3</v>
      </c>
      <c r="J1491" s="9">
        <f t="shared" si="282"/>
        <v>54268.650000000009</v>
      </c>
      <c r="K1491" s="9">
        <f t="shared" si="273"/>
        <v>55251.890999999989</v>
      </c>
      <c r="L1491" s="9">
        <f t="shared" si="272"/>
        <v>55428.057777777787</v>
      </c>
      <c r="M1491" s="9">
        <f t="shared" si="283"/>
        <v>1.3509926132568207E-2</v>
      </c>
      <c r="N1491" s="9">
        <f t="shared" si="274"/>
        <v>9.728768987710721E-3</v>
      </c>
    </row>
    <row r="1492" spans="1:14" x14ac:dyDescent="0.35">
      <c r="A1492" s="1">
        <v>44550</v>
      </c>
      <c r="B1492" s="2" t="s">
        <v>1492</v>
      </c>
      <c r="C1492">
        <f t="shared" si="275"/>
        <v>54027.42</v>
      </c>
      <c r="D1492">
        <f t="shared" si="276"/>
        <v>2021</v>
      </c>
      <c r="E1492">
        <f t="shared" si="277"/>
        <v>12</v>
      </c>
      <c r="F1492" t="str">
        <f t="shared" si="279"/>
        <v>December</v>
      </c>
      <c r="G1492">
        <f t="shared" si="278"/>
        <v>20</v>
      </c>
      <c r="H1492" s="7">
        <f t="shared" si="280"/>
        <v>0.15980357878445664</v>
      </c>
      <c r="I1492" s="9">
        <f t="shared" si="281"/>
        <v>1.5967602873378926E-3</v>
      </c>
      <c r="J1492" s="9">
        <f t="shared" si="282"/>
        <v>54322.845714285715</v>
      </c>
      <c r="K1492" s="9">
        <f t="shared" si="273"/>
        <v>55162.546999999999</v>
      </c>
      <c r="L1492" s="9">
        <f t="shared" si="272"/>
        <v>55413.478222222235</v>
      </c>
      <c r="M1492" s="9">
        <f t="shared" si="283"/>
        <v>1.2965961922635454E-2</v>
      </c>
      <c r="N1492" s="9">
        <f t="shared" si="274"/>
        <v>9.2367973663411602E-3</v>
      </c>
    </row>
    <row r="1493" spans="1:14" x14ac:dyDescent="0.35">
      <c r="A1493" s="1">
        <v>44551</v>
      </c>
      <c r="B1493" s="2" t="s">
        <v>1493</v>
      </c>
      <c r="C1493">
        <f t="shared" si="275"/>
        <v>52270.2</v>
      </c>
      <c r="D1493">
        <f t="shared" si="276"/>
        <v>2021</v>
      </c>
      <c r="E1493">
        <f t="shared" si="277"/>
        <v>12</v>
      </c>
      <c r="F1493" t="str">
        <f t="shared" si="279"/>
        <v>December</v>
      </c>
      <c r="G1493">
        <f t="shared" si="278"/>
        <v>21</v>
      </c>
      <c r="H1493" s="7">
        <f t="shared" si="280"/>
        <v>-3.2524595844110293</v>
      </c>
      <c r="I1493" s="9">
        <f t="shared" si="281"/>
        <v>-3.3065276462442138E-2</v>
      </c>
      <c r="J1493" s="9">
        <f t="shared" si="282"/>
        <v>54088.01</v>
      </c>
      <c r="K1493" s="9">
        <f t="shared" si="273"/>
        <v>55021.95</v>
      </c>
      <c r="L1493" s="9">
        <f t="shared" si="272"/>
        <v>55385.409111111127</v>
      </c>
      <c r="M1493" s="9">
        <f t="shared" si="283"/>
        <v>1.8016968789531237E-2</v>
      </c>
      <c r="N1493" s="9">
        <f t="shared" si="274"/>
        <v>1.0875296636327506E-2</v>
      </c>
    </row>
    <row r="1494" spans="1:14" x14ac:dyDescent="0.35">
      <c r="A1494" s="1">
        <v>44552</v>
      </c>
      <c r="B1494" s="2" t="s">
        <v>1494</v>
      </c>
      <c r="C1494">
        <f t="shared" si="275"/>
        <v>53639.64</v>
      </c>
      <c r="D1494">
        <f t="shared" si="276"/>
        <v>2021</v>
      </c>
      <c r="E1494">
        <f t="shared" si="277"/>
        <v>12</v>
      </c>
      <c r="F1494" t="str">
        <f t="shared" si="279"/>
        <v>December</v>
      </c>
      <c r="G1494">
        <f t="shared" si="278"/>
        <v>22</v>
      </c>
      <c r="H1494" s="7">
        <f t="shared" si="280"/>
        <v>2.6199249285443758</v>
      </c>
      <c r="I1494" s="9">
        <f t="shared" si="281"/>
        <v>2.586192797746106E-2</v>
      </c>
      <c r="J1494" s="9">
        <f t="shared" si="282"/>
        <v>53972.568571428579</v>
      </c>
      <c r="K1494" s="9">
        <f t="shared" si="273"/>
        <v>54932.397999999994</v>
      </c>
      <c r="L1494" s="9">
        <f t="shared" si="272"/>
        <v>55366.455222222219</v>
      </c>
      <c r="M1494" s="9">
        <f t="shared" si="283"/>
        <v>2.0914568724515154E-2</v>
      </c>
      <c r="N1494" s="9">
        <f t="shared" si="274"/>
        <v>1.2051071316434278E-2</v>
      </c>
    </row>
    <row r="1495" spans="1:14" x14ac:dyDescent="0.35">
      <c r="A1495" s="1">
        <v>44553</v>
      </c>
      <c r="B1495" s="2" t="s">
        <v>1495</v>
      </c>
      <c r="C1495">
        <f t="shared" si="275"/>
        <v>53295.3</v>
      </c>
      <c r="D1495">
        <f t="shared" si="276"/>
        <v>2021</v>
      </c>
      <c r="E1495">
        <f t="shared" si="277"/>
        <v>12</v>
      </c>
      <c r="F1495" t="str">
        <f t="shared" si="279"/>
        <v>December</v>
      </c>
      <c r="G1495">
        <f t="shared" si="278"/>
        <v>23</v>
      </c>
      <c r="H1495" s="7">
        <f t="shared" si="280"/>
        <v>-0.64195061711822921</v>
      </c>
      <c r="I1495" s="9">
        <f t="shared" si="281"/>
        <v>-6.4401998104262866E-3</v>
      </c>
      <c r="J1495" s="9">
        <f t="shared" si="282"/>
        <v>53661.192857142865</v>
      </c>
      <c r="K1495" s="9">
        <f t="shared" si="273"/>
        <v>54854.052999999985</v>
      </c>
      <c r="L1495" s="9">
        <f t="shared" si="272"/>
        <v>55344.494666666651</v>
      </c>
      <c r="M1495" s="9">
        <f t="shared" si="283"/>
        <v>1.8793139956343134E-2</v>
      </c>
      <c r="N1495" s="9">
        <f t="shared" si="274"/>
        <v>1.1923412533198454E-2</v>
      </c>
    </row>
    <row r="1496" spans="1:14" x14ac:dyDescent="0.35">
      <c r="A1496" s="1">
        <v>44554</v>
      </c>
      <c r="B1496" s="2" t="s">
        <v>1496</v>
      </c>
      <c r="C1496">
        <f t="shared" si="275"/>
        <v>53672.63</v>
      </c>
      <c r="D1496">
        <f t="shared" si="276"/>
        <v>2021</v>
      </c>
      <c r="E1496">
        <f t="shared" si="277"/>
        <v>12</v>
      </c>
      <c r="F1496" t="str">
        <f t="shared" si="279"/>
        <v>December</v>
      </c>
      <c r="G1496">
        <f t="shared" si="278"/>
        <v>24</v>
      </c>
      <c r="H1496" s="7">
        <f t="shared" si="280"/>
        <v>0.7079986415312316</v>
      </c>
      <c r="I1496" s="9">
        <f t="shared" si="281"/>
        <v>7.0550409844927732E-3</v>
      </c>
      <c r="J1496" s="9">
        <f t="shared" si="282"/>
        <v>53581.544285714284</v>
      </c>
      <c r="K1496" s="9">
        <f t="shared" si="273"/>
        <v>54774.117333333321</v>
      </c>
      <c r="L1496" s="9">
        <f t="shared" si="272"/>
        <v>55327.956888888883</v>
      </c>
      <c r="M1496" s="9">
        <f t="shared" si="283"/>
        <v>1.7645217985216295E-2</v>
      </c>
      <c r="N1496" s="9">
        <f t="shared" si="274"/>
        <v>1.1909325704057918E-2</v>
      </c>
    </row>
    <row r="1497" spans="1:14" x14ac:dyDescent="0.35">
      <c r="A1497" s="1">
        <v>44558</v>
      </c>
      <c r="B1497" s="2" t="s">
        <v>1497</v>
      </c>
      <c r="C1497">
        <f t="shared" si="275"/>
        <v>54483.48</v>
      </c>
      <c r="D1497">
        <f t="shared" si="276"/>
        <v>2021</v>
      </c>
      <c r="E1497">
        <f t="shared" si="277"/>
        <v>12</v>
      </c>
      <c r="F1497" t="str">
        <f t="shared" si="279"/>
        <v>December</v>
      </c>
      <c r="G1497">
        <f t="shared" si="278"/>
        <v>28</v>
      </c>
      <c r="H1497" s="7">
        <f t="shared" si="280"/>
        <v>1.5107327514973756</v>
      </c>
      <c r="I1497" s="9">
        <f t="shared" si="281"/>
        <v>1.4994348297586368E-2</v>
      </c>
      <c r="J1497" s="9">
        <f t="shared" si="282"/>
        <v>53618.555714285707</v>
      </c>
      <c r="K1497" s="9">
        <f t="shared" si="273"/>
        <v>54729.09199999999</v>
      </c>
      <c r="L1497" s="9">
        <f t="shared" si="272"/>
        <v>55321.692666666662</v>
      </c>
      <c r="M1497" s="9">
        <f t="shared" si="283"/>
        <v>1.8730333275541158E-2</v>
      </c>
      <c r="N1497" s="9">
        <f t="shared" si="274"/>
        <v>1.2266852155184672E-2</v>
      </c>
    </row>
    <row r="1498" spans="1:14" x14ac:dyDescent="0.35">
      <c r="A1498" s="1">
        <v>44559</v>
      </c>
      <c r="B1498" s="2" t="s">
        <v>1498</v>
      </c>
      <c r="C1498">
        <f t="shared" si="275"/>
        <v>54684.32</v>
      </c>
      <c r="D1498">
        <f t="shared" si="276"/>
        <v>2021</v>
      </c>
      <c r="E1498">
        <f t="shared" si="277"/>
        <v>12</v>
      </c>
      <c r="F1498" t="str">
        <f t="shared" si="279"/>
        <v>December</v>
      </c>
      <c r="G1498">
        <f t="shared" si="278"/>
        <v>29</v>
      </c>
      <c r="H1498" s="7">
        <f t="shared" si="280"/>
        <v>0.36862549895857694</v>
      </c>
      <c r="I1498" s="9">
        <f t="shared" si="281"/>
        <v>3.6794774024979677E-3</v>
      </c>
      <c r="J1498" s="9">
        <f t="shared" si="282"/>
        <v>53724.712857142855</v>
      </c>
      <c r="K1498" s="9">
        <f t="shared" si="273"/>
        <v>54671.164666666657</v>
      </c>
      <c r="L1498" s="9">
        <f t="shared" si="272"/>
        <v>55319.918888888882</v>
      </c>
      <c r="M1498" s="9">
        <f t="shared" si="283"/>
        <v>1.8563303978261062E-2</v>
      </c>
      <c r="N1498" s="9">
        <f t="shared" si="274"/>
        <v>1.211295751831927E-2</v>
      </c>
    </row>
    <row r="1499" spans="1:14" x14ac:dyDescent="0.35">
      <c r="A1499" s="1">
        <v>44560</v>
      </c>
      <c r="B1499" s="2" t="s">
        <v>1499</v>
      </c>
      <c r="C1499">
        <f t="shared" si="275"/>
        <v>54722.38</v>
      </c>
      <c r="D1499">
        <f t="shared" si="276"/>
        <v>2021</v>
      </c>
      <c r="E1499">
        <f t="shared" si="277"/>
        <v>12</v>
      </c>
      <c r="F1499" t="str">
        <f t="shared" si="279"/>
        <v>December</v>
      </c>
      <c r="G1499">
        <f t="shared" si="278"/>
        <v>30</v>
      </c>
      <c r="H1499" s="7">
        <f t="shared" si="280"/>
        <v>6.9599475681507372E-2</v>
      </c>
      <c r="I1499" s="9">
        <f t="shared" si="281"/>
        <v>6.9575266478761743E-4</v>
      </c>
      <c r="J1499" s="9">
        <f t="shared" si="282"/>
        <v>53823.992857142861</v>
      </c>
      <c r="K1499" s="9">
        <f t="shared" si="273"/>
        <v>54619.731999999982</v>
      </c>
      <c r="L1499" s="9">
        <f t="shared" si="272"/>
        <v>55312.453888888886</v>
      </c>
      <c r="M1499" s="9">
        <f t="shared" si="283"/>
        <v>1.8569321339794366E-2</v>
      </c>
      <c r="N1499" s="9">
        <f t="shared" si="274"/>
        <v>1.211237767549018E-2</v>
      </c>
    </row>
    <row r="1500" spans="1:14" x14ac:dyDescent="0.35">
      <c r="A1500" s="1">
        <v>44561</v>
      </c>
      <c r="B1500" s="2" t="s">
        <v>1500</v>
      </c>
      <c r="C1500">
        <f t="shared" si="275"/>
        <v>53204.79</v>
      </c>
      <c r="D1500">
        <f t="shared" si="276"/>
        <v>2021</v>
      </c>
      <c r="E1500">
        <f t="shared" si="277"/>
        <v>12</v>
      </c>
      <c r="F1500" t="str">
        <f t="shared" si="279"/>
        <v>December</v>
      </c>
      <c r="G1500">
        <f t="shared" si="278"/>
        <v>31</v>
      </c>
      <c r="H1500" s="7">
        <f t="shared" si="280"/>
        <v>-2.7732529177276217</v>
      </c>
      <c r="I1500" s="9">
        <f t="shared" si="281"/>
        <v>-2.812433663205573E-2</v>
      </c>
      <c r="J1500" s="9">
        <f t="shared" si="282"/>
        <v>53957.505714285711</v>
      </c>
      <c r="K1500" s="9">
        <f t="shared" si="273"/>
        <v>54529.498333333322</v>
      </c>
      <c r="L1500" s="9">
        <f t="shared" ref="L1500:L1563" si="284">AVERAGE(C1411:C1500)</f>
        <v>55291.901222222215</v>
      </c>
      <c r="M1500" s="9">
        <f t="shared" si="283"/>
        <v>1.7054097344956446E-2</v>
      </c>
      <c r="N1500" s="9">
        <f t="shared" si="274"/>
        <v>1.3064168000978598E-2</v>
      </c>
    </row>
    <row r="1501" spans="1:14" x14ac:dyDescent="0.35">
      <c r="A1501" s="1">
        <v>44564</v>
      </c>
      <c r="B1501" s="2" t="s">
        <v>1501</v>
      </c>
      <c r="C1501">
        <f t="shared" si="275"/>
        <v>53645.279999999999</v>
      </c>
      <c r="D1501">
        <f t="shared" si="276"/>
        <v>2022</v>
      </c>
      <c r="E1501">
        <f t="shared" si="277"/>
        <v>1</v>
      </c>
      <c r="F1501" t="str">
        <f t="shared" si="279"/>
        <v>January</v>
      </c>
      <c r="G1501">
        <f t="shared" si="278"/>
        <v>3</v>
      </c>
      <c r="H1501" s="7">
        <f t="shared" si="280"/>
        <v>0.82791417840385795</v>
      </c>
      <c r="I1501" s="9">
        <f t="shared" si="281"/>
        <v>8.2450576852005769E-3</v>
      </c>
      <c r="J1501" s="9">
        <f t="shared" si="282"/>
        <v>53958.311428571418</v>
      </c>
      <c r="K1501" s="9">
        <f t="shared" si="273"/>
        <v>54460.025999999991</v>
      </c>
      <c r="L1501" s="9">
        <f t="shared" si="284"/>
        <v>55270.711555555543</v>
      </c>
      <c r="M1501" s="9">
        <f t="shared" si="283"/>
        <v>1.4077526957834614E-2</v>
      </c>
      <c r="N1501" s="9">
        <f t="shared" si="274"/>
        <v>1.3183689755387378E-2</v>
      </c>
    </row>
    <row r="1502" spans="1:14" x14ac:dyDescent="0.35">
      <c r="A1502" s="1">
        <v>44565</v>
      </c>
      <c r="B1502" s="2" t="s">
        <v>1502</v>
      </c>
      <c r="C1502">
        <f t="shared" si="275"/>
        <v>52496.86</v>
      </c>
      <c r="D1502">
        <f t="shared" si="276"/>
        <v>2022</v>
      </c>
      <c r="E1502">
        <f t="shared" si="277"/>
        <v>1</v>
      </c>
      <c r="F1502" t="str">
        <f t="shared" si="279"/>
        <v>January</v>
      </c>
      <c r="G1502">
        <f t="shared" si="278"/>
        <v>4</v>
      </c>
      <c r="H1502" s="7">
        <f t="shared" si="280"/>
        <v>-2.1407661587375411</v>
      </c>
      <c r="I1502" s="9">
        <f t="shared" si="281"/>
        <v>-2.1640129288535623E-2</v>
      </c>
      <c r="J1502" s="9">
        <f t="shared" si="282"/>
        <v>53844.248571428572</v>
      </c>
      <c r="K1502" s="9">
        <f t="shared" si="273"/>
        <v>54345.019666666667</v>
      </c>
      <c r="L1502" s="9">
        <f t="shared" si="284"/>
        <v>55240.865666666657</v>
      </c>
      <c r="M1502" s="9">
        <f t="shared" si="283"/>
        <v>1.6244644317182404E-2</v>
      </c>
      <c r="N1502" s="9">
        <f t="shared" si="274"/>
        <v>1.3654557213633092E-2</v>
      </c>
    </row>
    <row r="1503" spans="1:14" x14ac:dyDescent="0.35">
      <c r="A1503" s="1">
        <v>44566</v>
      </c>
      <c r="B1503" s="2" t="s">
        <v>1503</v>
      </c>
      <c r="C1503">
        <f t="shared" si="275"/>
        <v>50929.59</v>
      </c>
      <c r="D1503">
        <f t="shared" si="276"/>
        <v>2022</v>
      </c>
      <c r="E1503">
        <f t="shared" si="277"/>
        <v>1</v>
      </c>
      <c r="F1503" t="str">
        <f t="shared" si="279"/>
        <v>January</v>
      </c>
      <c r="G1503">
        <f t="shared" si="278"/>
        <v>5</v>
      </c>
      <c r="H1503" s="7">
        <f t="shared" si="280"/>
        <v>-2.9854547491030967</v>
      </c>
      <c r="I1503" s="9">
        <f t="shared" si="281"/>
        <v>-3.0309267686067773E-2</v>
      </c>
      <c r="J1503" s="9">
        <f t="shared" si="282"/>
        <v>53452.385714285709</v>
      </c>
      <c r="K1503" s="9">
        <f t="shared" si="273"/>
        <v>54191.637666666677</v>
      </c>
      <c r="L1503" s="9">
        <f t="shared" si="284"/>
        <v>55200.584999999992</v>
      </c>
      <c r="M1503" s="9">
        <f t="shared" si="283"/>
        <v>1.8670933715095327E-2</v>
      </c>
      <c r="N1503" s="9">
        <f t="shared" si="274"/>
        <v>1.4569176915958418E-2</v>
      </c>
    </row>
    <row r="1504" spans="1:14" x14ac:dyDescent="0.35">
      <c r="A1504" s="1">
        <v>44567</v>
      </c>
      <c r="B1504" s="2" t="s">
        <v>1504</v>
      </c>
      <c r="C1504">
        <f t="shared" si="275"/>
        <v>50483</v>
      </c>
      <c r="D1504">
        <f t="shared" si="276"/>
        <v>2022</v>
      </c>
      <c r="E1504">
        <f t="shared" si="277"/>
        <v>1</v>
      </c>
      <c r="F1504" t="str">
        <f t="shared" si="279"/>
        <v>January</v>
      </c>
      <c r="G1504">
        <f t="shared" si="278"/>
        <v>6</v>
      </c>
      <c r="H1504" s="7">
        <f t="shared" si="280"/>
        <v>-0.87687727311371744</v>
      </c>
      <c r="I1504" s="9">
        <f t="shared" si="281"/>
        <v>-8.8074446549230197E-3</v>
      </c>
      <c r="J1504" s="9">
        <f t="shared" si="282"/>
        <v>52880.888571428564</v>
      </c>
      <c r="K1504" s="9">
        <f t="shared" ref="K1504:K1567" si="285">AVERAGE(C1475:C1504)</f>
        <v>54001.089000000014</v>
      </c>
      <c r="L1504" s="9">
        <f t="shared" si="284"/>
        <v>55153.176444444434</v>
      </c>
      <c r="M1504" s="9">
        <f t="shared" si="283"/>
        <v>1.5846567798662007E-2</v>
      </c>
      <c r="N1504" s="9">
        <f t="shared" si="274"/>
        <v>1.4330836547183604E-2</v>
      </c>
    </row>
    <row r="1505" spans="1:14" x14ac:dyDescent="0.35">
      <c r="A1505" s="1">
        <v>44568</v>
      </c>
      <c r="B1505" s="2" t="s">
        <v>1505</v>
      </c>
      <c r="C1505">
        <f t="shared" si="275"/>
        <v>51389.120000000003</v>
      </c>
      <c r="D1505">
        <f t="shared" si="276"/>
        <v>2022</v>
      </c>
      <c r="E1505">
        <f t="shared" si="277"/>
        <v>1</v>
      </c>
      <c r="F1505" t="str">
        <f t="shared" si="279"/>
        <v>January</v>
      </c>
      <c r="G1505">
        <f t="shared" si="278"/>
        <v>7</v>
      </c>
      <c r="H1505" s="7">
        <f t="shared" si="280"/>
        <v>1.7949012538874525</v>
      </c>
      <c r="I1505" s="9">
        <f t="shared" si="281"/>
        <v>1.7789830959328196E-2</v>
      </c>
      <c r="J1505" s="9">
        <f t="shared" si="282"/>
        <v>52410.145714285718</v>
      </c>
      <c r="K1505" s="9">
        <f t="shared" si="285"/>
        <v>53866.796666666676</v>
      </c>
      <c r="L1505" s="9">
        <f t="shared" si="284"/>
        <v>55121.901888888875</v>
      </c>
      <c r="M1505" s="9">
        <f t="shared" si="283"/>
        <v>1.8657557361260239E-2</v>
      </c>
      <c r="N1505" s="9">
        <f t="shared" ref="N1505:N1568" si="286">STDEV(I1476:I1505)</f>
        <v>1.4703785837816058E-2</v>
      </c>
    </row>
    <row r="1506" spans="1:14" x14ac:dyDescent="0.35">
      <c r="A1506" s="1">
        <v>44571</v>
      </c>
      <c r="B1506" s="2" t="s">
        <v>1506</v>
      </c>
      <c r="C1506">
        <f t="shared" si="275"/>
        <v>50495.95</v>
      </c>
      <c r="D1506">
        <f t="shared" si="276"/>
        <v>2022</v>
      </c>
      <c r="E1506">
        <f t="shared" si="277"/>
        <v>1</v>
      </c>
      <c r="F1506" t="str">
        <f t="shared" si="279"/>
        <v>January</v>
      </c>
      <c r="G1506">
        <f t="shared" si="278"/>
        <v>10</v>
      </c>
      <c r="H1506" s="7">
        <f t="shared" si="280"/>
        <v>-1.7380527240007331</v>
      </c>
      <c r="I1506" s="9">
        <f t="shared" si="281"/>
        <v>-1.7533341857966126E-2</v>
      </c>
      <c r="J1506" s="9">
        <f t="shared" si="282"/>
        <v>51806.37</v>
      </c>
      <c r="K1506" s="9">
        <f t="shared" si="285"/>
        <v>53690.398333333338</v>
      </c>
      <c r="L1506" s="9">
        <f t="shared" si="284"/>
        <v>55077.145222222229</v>
      </c>
      <c r="M1506" s="9">
        <f t="shared" si="283"/>
        <v>1.8368405122257202E-2</v>
      </c>
      <c r="N1506" s="9">
        <f t="shared" si="286"/>
        <v>1.4846066203675425E-2</v>
      </c>
    </row>
    <row r="1507" spans="1:14" x14ac:dyDescent="0.35">
      <c r="A1507" s="1">
        <v>44572</v>
      </c>
      <c r="B1507" s="2" t="s">
        <v>1507</v>
      </c>
      <c r="C1507">
        <f t="shared" si="275"/>
        <v>50602.5</v>
      </c>
      <c r="D1507">
        <f t="shared" si="276"/>
        <v>2022</v>
      </c>
      <c r="E1507">
        <f t="shared" si="277"/>
        <v>1</v>
      </c>
      <c r="F1507" t="str">
        <f t="shared" si="279"/>
        <v>January</v>
      </c>
      <c r="G1507">
        <f t="shared" si="278"/>
        <v>11</v>
      </c>
      <c r="H1507" s="7">
        <f t="shared" si="280"/>
        <v>0.21100702135518376</v>
      </c>
      <c r="I1507" s="9">
        <f t="shared" si="281"/>
        <v>2.1078471420741926E-3</v>
      </c>
      <c r="J1507" s="9">
        <f t="shared" si="282"/>
        <v>51434.614285714284</v>
      </c>
      <c r="K1507" s="9">
        <f t="shared" si="285"/>
        <v>53514.792000000016</v>
      </c>
      <c r="L1507" s="9">
        <f t="shared" si="284"/>
        <v>55036.959222222213</v>
      </c>
      <c r="M1507" s="9">
        <f t="shared" si="283"/>
        <v>1.7328136002920578E-2</v>
      </c>
      <c r="N1507" s="9">
        <f t="shared" si="286"/>
        <v>1.4853477427751312E-2</v>
      </c>
    </row>
    <row r="1508" spans="1:14" x14ac:dyDescent="0.35">
      <c r="A1508" s="1">
        <v>44573</v>
      </c>
      <c r="B1508" s="2" t="s">
        <v>1508</v>
      </c>
      <c r="C1508">
        <f t="shared" si="275"/>
        <v>50074.21</v>
      </c>
      <c r="D1508">
        <f t="shared" si="276"/>
        <v>2022</v>
      </c>
      <c r="E1508">
        <f t="shared" si="277"/>
        <v>1</v>
      </c>
      <c r="F1508" t="str">
        <f t="shared" si="279"/>
        <v>January</v>
      </c>
      <c r="G1508">
        <f t="shared" si="278"/>
        <v>12</v>
      </c>
      <c r="H1508" s="7">
        <f t="shared" si="280"/>
        <v>-1.0439998023813071</v>
      </c>
      <c r="I1508" s="9">
        <f t="shared" si="281"/>
        <v>-1.0494877095615645E-2</v>
      </c>
      <c r="J1508" s="9">
        <f t="shared" si="282"/>
        <v>50924.461428571434</v>
      </c>
      <c r="K1508" s="9">
        <f t="shared" si="285"/>
        <v>53342.472333333339</v>
      </c>
      <c r="L1508" s="9">
        <f t="shared" si="284"/>
        <v>54988.375111111105</v>
      </c>
      <c r="M1508" s="9">
        <f t="shared" si="283"/>
        <v>1.5942998027923087E-2</v>
      </c>
      <c r="N1508" s="9">
        <f t="shared" si="286"/>
        <v>1.4839549334172952E-2</v>
      </c>
    </row>
    <row r="1509" spans="1:14" x14ac:dyDescent="0.35">
      <c r="A1509" s="1">
        <v>44574</v>
      </c>
      <c r="B1509" s="2" t="s">
        <v>1509</v>
      </c>
      <c r="C1509">
        <f t="shared" si="275"/>
        <v>50147.21</v>
      </c>
      <c r="D1509">
        <f t="shared" si="276"/>
        <v>2022</v>
      </c>
      <c r="E1509">
        <f t="shared" si="277"/>
        <v>1</v>
      </c>
      <c r="F1509" t="str">
        <f t="shared" si="279"/>
        <v>January</v>
      </c>
      <c r="G1509">
        <f t="shared" si="278"/>
        <v>13</v>
      </c>
      <c r="H1509" s="7">
        <f t="shared" si="280"/>
        <v>0.14578362793941232</v>
      </c>
      <c r="I1509" s="9">
        <f t="shared" si="281"/>
        <v>1.4567746677308774E-3</v>
      </c>
      <c r="J1509" s="9">
        <f t="shared" si="282"/>
        <v>50588.797142857147</v>
      </c>
      <c r="K1509" s="9">
        <f t="shared" si="285"/>
        <v>53185.83666666667</v>
      </c>
      <c r="L1509" s="9">
        <f t="shared" si="284"/>
        <v>54942.62233333334</v>
      </c>
      <c r="M1509" s="9">
        <f t="shared" si="283"/>
        <v>1.5477340069413337E-2</v>
      </c>
      <c r="N1509" s="9">
        <f t="shared" si="286"/>
        <v>1.4844547100056211E-2</v>
      </c>
    </row>
    <row r="1510" spans="1:14" x14ac:dyDescent="0.35">
      <c r="A1510" s="1">
        <v>44575</v>
      </c>
      <c r="B1510" s="2" t="s">
        <v>1510</v>
      </c>
      <c r="C1510">
        <f t="shared" si="275"/>
        <v>51022.76</v>
      </c>
      <c r="D1510">
        <f t="shared" si="276"/>
        <v>2022</v>
      </c>
      <c r="E1510">
        <f t="shared" si="277"/>
        <v>1</v>
      </c>
      <c r="F1510" t="str">
        <f t="shared" si="279"/>
        <v>January</v>
      </c>
      <c r="G1510">
        <f t="shared" si="278"/>
        <v>14</v>
      </c>
      <c r="H1510" s="7">
        <f t="shared" si="280"/>
        <v>1.7459595459049526</v>
      </c>
      <c r="I1510" s="9">
        <f t="shared" si="281"/>
        <v>1.7308927923609309E-2</v>
      </c>
      <c r="J1510" s="9">
        <f t="shared" si="282"/>
        <v>50602.107142857145</v>
      </c>
      <c r="K1510" s="9">
        <f t="shared" si="285"/>
        <v>53069.198666666671</v>
      </c>
      <c r="L1510" s="9">
        <f t="shared" si="284"/>
        <v>54903.909888888898</v>
      </c>
      <c r="M1510" s="9">
        <f t="shared" si="283"/>
        <v>1.364610240661873E-2</v>
      </c>
      <c r="N1510" s="9">
        <f t="shared" si="286"/>
        <v>1.5285382657211867E-2</v>
      </c>
    </row>
    <row r="1511" spans="1:14" x14ac:dyDescent="0.35">
      <c r="A1511" s="1">
        <v>44578</v>
      </c>
      <c r="B1511" s="2" t="s">
        <v>1511</v>
      </c>
      <c r="C1511">
        <f t="shared" si="275"/>
        <v>52142.75</v>
      </c>
      <c r="D1511">
        <f t="shared" si="276"/>
        <v>2022</v>
      </c>
      <c r="E1511">
        <f t="shared" si="277"/>
        <v>1</v>
      </c>
      <c r="F1511" t="str">
        <f t="shared" si="279"/>
        <v>January</v>
      </c>
      <c r="G1511">
        <f t="shared" si="278"/>
        <v>17</v>
      </c>
      <c r="H1511" s="7">
        <f t="shared" si="280"/>
        <v>2.1950792156284722</v>
      </c>
      <c r="I1511" s="9">
        <f t="shared" si="281"/>
        <v>2.1713342047268953E-2</v>
      </c>
      <c r="J1511" s="9">
        <f t="shared" si="282"/>
        <v>50839.214285714283</v>
      </c>
      <c r="K1511" s="9">
        <f t="shared" si="285"/>
        <v>52986.717333333341</v>
      </c>
      <c r="L1511" s="9">
        <f t="shared" si="284"/>
        <v>54875.287111111109</v>
      </c>
      <c r="M1511" s="9">
        <f t="shared" si="283"/>
        <v>1.5067529342584738E-2</v>
      </c>
      <c r="N1511" s="9">
        <f t="shared" si="286"/>
        <v>1.5886527254828271E-2</v>
      </c>
    </row>
    <row r="1512" spans="1:14" x14ac:dyDescent="0.35">
      <c r="A1512" s="1">
        <v>44579</v>
      </c>
      <c r="B1512" s="2" t="s">
        <v>1512</v>
      </c>
      <c r="C1512">
        <f t="shared" si="275"/>
        <v>51950.14</v>
      </c>
      <c r="D1512">
        <f t="shared" si="276"/>
        <v>2022</v>
      </c>
      <c r="E1512">
        <f t="shared" si="277"/>
        <v>1</v>
      </c>
      <c r="F1512" t="str">
        <f t="shared" si="279"/>
        <v>January</v>
      </c>
      <c r="G1512">
        <f t="shared" si="278"/>
        <v>18</v>
      </c>
      <c r="H1512" s="7">
        <f t="shared" si="280"/>
        <v>-0.36938980011602879</v>
      </c>
      <c r="I1512" s="9">
        <f t="shared" si="281"/>
        <v>-3.7007372900000929E-3</v>
      </c>
      <c r="J1512" s="9">
        <f t="shared" si="282"/>
        <v>50919.360000000001</v>
      </c>
      <c r="K1512" s="9">
        <f t="shared" si="285"/>
        <v>52925.464666666674</v>
      </c>
      <c r="L1512" s="9">
        <f t="shared" si="284"/>
        <v>54857.098555555545</v>
      </c>
      <c r="M1512" s="9">
        <f t="shared" si="283"/>
        <v>1.4095195931132903E-2</v>
      </c>
      <c r="N1512" s="9">
        <f t="shared" si="286"/>
        <v>1.5679929110983967E-2</v>
      </c>
    </row>
    <row r="1513" spans="1:14" x14ac:dyDescent="0.35">
      <c r="A1513" s="1">
        <v>44580</v>
      </c>
      <c r="B1513" s="2" t="s">
        <v>1513</v>
      </c>
      <c r="C1513">
        <f t="shared" si="275"/>
        <v>51382.06</v>
      </c>
      <c r="D1513">
        <f t="shared" si="276"/>
        <v>2022</v>
      </c>
      <c r="E1513">
        <f t="shared" si="277"/>
        <v>1</v>
      </c>
      <c r="F1513" t="str">
        <f t="shared" si="279"/>
        <v>January</v>
      </c>
      <c r="G1513">
        <f t="shared" si="278"/>
        <v>19</v>
      </c>
      <c r="H1513" s="7">
        <f t="shared" si="280"/>
        <v>-1.0935100463636898</v>
      </c>
      <c r="I1513" s="9">
        <f t="shared" si="281"/>
        <v>-1.0995328140963889E-2</v>
      </c>
      <c r="J1513" s="9">
        <f t="shared" si="282"/>
        <v>51045.947142857141</v>
      </c>
      <c r="K1513" s="9">
        <f t="shared" si="285"/>
        <v>52826.121333333336</v>
      </c>
      <c r="L1513" s="9">
        <f t="shared" si="284"/>
        <v>54825.256888888878</v>
      </c>
      <c r="M1513" s="9">
        <f t="shared" si="283"/>
        <v>1.2774566336284626E-2</v>
      </c>
      <c r="N1513" s="9">
        <f t="shared" si="286"/>
        <v>1.5616329272603499E-2</v>
      </c>
    </row>
    <row r="1514" spans="1:14" x14ac:dyDescent="0.35">
      <c r="A1514" s="1">
        <v>44581</v>
      </c>
      <c r="B1514" s="2" t="s">
        <v>1514</v>
      </c>
      <c r="C1514">
        <f t="shared" si="275"/>
        <v>49628.72</v>
      </c>
      <c r="D1514">
        <f t="shared" si="276"/>
        <v>2022</v>
      </c>
      <c r="E1514">
        <f t="shared" si="277"/>
        <v>1</v>
      </c>
      <c r="F1514" t="str">
        <f t="shared" si="279"/>
        <v>January</v>
      </c>
      <c r="G1514">
        <f t="shared" si="278"/>
        <v>20</v>
      </c>
      <c r="H1514" s="7">
        <f t="shared" si="280"/>
        <v>-3.4123583211727917</v>
      </c>
      <c r="I1514" s="9">
        <f t="shared" si="281"/>
        <v>-3.4719385885129912E-2</v>
      </c>
      <c r="J1514" s="9">
        <f t="shared" si="282"/>
        <v>50906.835714285713</v>
      </c>
      <c r="K1514" s="9">
        <f t="shared" si="285"/>
        <v>52675.695333333329</v>
      </c>
      <c r="L1514" s="9">
        <f t="shared" si="284"/>
        <v>54784.850111111089</v>
      </c>
      <c r="M1514" s="9">
        <f t="shared" si="283"/>
        <v>1.9015003043593024E-2</v>
      </c>
      <c r="N1514" s="9">
        <f t="shared" si="286"/>
        <v>1.6727606058763663E-2</v>
      </c>
    </row>
    <row r="1515" spans="1:14" x14ac:dyDescent="0.35">
      <c r="A1515" s="1">
        <v>44582</v>
      </c>
      <c r="B1515" s="2" t="s">
        <v>1515</v>
      </c>
      <c r="C1515">
        <f t="shared" si="275"/>
        <v>49113.06</v>
      </c>
      <c r="D1515">
        <f t="shared" si="276"/>
        <v>2022</v>
      </c>
      <c r="E1515">
        <f t="shared" si="277"/>
        <v>1</v>
      </c>
      <c r="F1515" t="str">
        <f t="shared" si="279"/>
        <v>January</v>
      </c>
      <c r="G1515">
        <f t="shared" si="278"/>
        <v>21</v>
      </c>
      <c r="H1515" s="7">
        <f t="shared" si="280"/>
        <v>-1.0390354617245892</v>
      </c>
      <c r="I1515" s="9">
        <f t="shared" si="281"/>
        <v>-1.0444711202415061E-2</v>
      </c>
      <c r="J1515" s="9">
        <f t="shared" si="282"/>
        <v>50769.528571428571</v>
      </c>
      <c r="K1515" s="9">
        <f t="shared" si="285"/>
        <v>52524.528999999995</v>
      </c>
      <c r="L1515" s="9">
        <f t="shared" si="284"/>
        <v>54738.116555555527</v>
      </c>
      <c r="M1515" s="9">
        <f t="shared" si="283"/>
        <v>1.9011618125913978E-2</v>
      </c>
      <c r="N1515" s="9">
        <f t="shared" si="286"/>
        <v>1.6745869333636181E-2</v>
      </c>
    </row>
    <row r="1516" spans="1:14" x14ac:dyDescent="0.35">
      <c r="A1516" s="1">
        <v>44585</v>
      </c>
      <c r="B1516" s="2" t="s">
        <v>1516</v>
      </c>
      <c r="C1516">
        <f t="shared" si="275"/>
        <v>50152.05</v>
      </c>
      <c r="D1516">
        <f t="shared" si="276"/>
        <v>2022</v>
      </c>
      <c r="E1516">
        <f t="shared" si="277"/>
        <v>1</v>
      </c>
      <c r="F1516" t="str">
        <f t="shared" si="279"/>
        <v>January</v>
      </c>
      <c r="G1516">
        <f t="shared" si="278"/>
        <v>24</v>
      </c>
      <c r="H1516" s="7">
        <f t="shared" si="280"/>
        <v>2.1155065475456127</v>
      </c>
      <c r="I1516" s="9">
        <f t="shared" si="281"/>
        <v>2.0934403728346547E-2</v>
      </c>
      <c r="J1516" s="9">
        <f t="shared" si="282"/>
        <v>50770.219999999994</v>
      </c>
      <c r="K1516" s="9">
        <f t="shared" si="285"/>
        <v>52399.128999999994</v>
      </c>
      <c r="L1516" s="9">
        <f t="shared" si="284"/>
        <v>54687.876555555522</v>
      </c>
      <c r="M1516" s="9">
        <f t="shared" si="283"/>
        <v>2.1049293667158117E-2</v>
      </c>
      <c r="N1516" s="9">
        <f t="shared" si="286"/>
        <v>1.7252391575599761E-2</v>
      </c>
    </row>
    <row r="1517" spans="1:14" x14ac:dyDescent="0.35">
      <c r="A1517" s="1">
        <v>44586</v>
      </c>
      <c r="B1517" s="2" t="s">
        <v>1517</v>
      </c>
      <c r="C1517">
        <f t="shared" si="275"/>
        <v>50319.41</v>
      </c>
      <c r="D1517">
        <f t="shared" si="276"/>
        <v>2022</v>
      </c>
      <c r="E1517">
        <f t="shared" si="277"/>
        <v>1</v>
      </c>
      <c r="F1517" t="str">
        <f t="shared" si="279"/>
        <v>January</v>
      </c>
      <c r="G1517">
        <f t="shared" si="278"/>
        <v>25</v>
      </c>
      <c r="H1517" s="7">
        <f t="shared" si="280"/>
        <v>0.33370520247926172</v>
      </c>
      <c r="I1517" s="9">
        <f t="shared" si="281"/>
        <v>3.3314964228088298E-3</v>
      </c>
      <c r="J1517" s="9">
        <f t="shared" si="282"/>
        <v>50669.74142857144</v>
      </c>
      <c r="K1517" s="9">
        <f t="shared" si="285"/>
        <v>52261.518333333326</v>
      </c>
      <c r="L1517" s="9">
        <f t="shared" si="284"/>
        <v>54635.474444444415</v>
      </c>
      <c r="M1517" s="9">
        <f t="shared" si="283"/>
        <v>1.9758593444825535E-2</v>
      </c>
      <c r="N1517" s="9">
        <f t="shared" si="286"/>
        <v>1.7133282086635584E-2</v>
      </c>
    </row>
    <row r="1518" spans="1:14" x14ac:dyDescent="0.35">
      <c r="A1518" s="1">
        <v>44587</v>
      </c>
      <c r="B1518" s="2" t="s">
        <v>1518</v>
      </c>
      <c r="C1518">
        <f t="shared" si="275"/>
        <v>50202.85</v>
      </c>
      <c r="D1518">
        <f t="shared" si="276"/>
        <v>2022</v>
      </c>
      <c r="E1518">
        <f t="shared" si="277"/>
        <v>1</v>
      </c>
      <c r="F1518" t="str">
        <f t="shared" si="279"/>
        <v>January</v>
      </c>
      <c r="G1518">
        <f t="shared" si="278"/>
        <v>26</v>
      </c>
      <c r="H1518" s="7">
        <f t="shared" si="280"/>
        <v>-0.23164023584538238</v>
      </c>
      <c r="I1518" s="9">
        <f t="shared" si="281"/>
        <v>-2.3190893686634993E-3</v>
      </c>
      <c r="J1518" s="9">
        <f t="shared" si="282"/>
        <v>50392.612857142849</v>
      </c>
      <c r="K1518" s="9">
        <f t="shared" si="285"/>
        <v>52085.782333333329</v>
      </c>
      <c r="L1518" s="9">
        <f t="shared" si="284"/>
        <v>54571.497888888844</v>
      </c>
      <c r="M1518" s="9">
        <f t="shared" si="283"/>
        <v>1.6825084025894017E-2</v>
      </c>
      <c r="N1518" s="9">
        <f t="shared" si="286"/>
        <v>1.665454309565256E-2</v>
      </c>
    </row>
    <row r="1519" spans="1:14" x14ac:dyDescent="0.35">
      <c r="A1519" s="1">
        <v>44588</v>
      </c>
      <c r="B1519" s="2" t="s">
        <v>1519</v>
      </c>
      <c r="C1519">
        <f t="shared" si="275"/>
        <v>51003.58</v>
      </c>
      <c r="D1519">
        <f t="shared" si="276"/>
        <v>2022</v>
      </c>
      <c r="E1519">
        <f t="shared" si="277"/>
        <v>1</v>
      </c>
      <c r="F1519" t="str">
        <f t="shared" si="279"/>
        <v>January</v>
      </c>
      <c r="G1519">
        <f t="shared" si="278"/>
        <v>27</v>
      </c>
      <c r="H1519" s="7">
        <f t="shared" si="280"/>
        <v>1.5949891291032345</v>
      </c>
      <c r="I1519" s="9">
        <f t="shared" si="281"/>
        <v>1.5824028344598267E-2</v>
      </c>
      <c r="J1519" s="9">
        <f t="shared" si="282"/>
        <v>50257.390000000007</v>
      </c>
      <c r="K1519" s="9">
        <f t="shared" si="285"/>
        <v>51978.229333333336</v>
      </c>
      <c r="L1519" s="9">
        <f t="shared" si="284"/>
        <v>54514.528999999951</v>
      </c>
      <c r="M1519" s="9">
        <f t="shared" si="283"/>
        <v>1.8673713419740834E-2</v>
      </c>
      <c r="N1519" s="9">
        <f t="shared" si="286"/>
        <v>1.6594766118966247E-2</v>
      </c>
    </row>
    <row r="1520" spans="1:14" x14ac:dyDescent="0.35">
      <c r="A1520" s="1">
        <v>44589</v>
      </c>
      <c r="B1520" s="2" t="s">
        <v>1520</v>
      </c>
      <c r="C1520">
        <f t="shared" si="275"/>
        <v>50019.7</v>
      </c>
      <c r="D1520">
        <f t="shared" si="276"/>
        <v>2022</v>
      </c>
      <c r="E1520">
        <f t="shared" si="277"/>
        <v>1</v>
      </c>
      <c r="F1520" t="str">
        <f t="shared" si="279"/>
        <v>January</v>
      </c>
      <c r="G1520">
        <f t="shared" si="278"/>
        <v>28</v>
      </c>
      <c r="H1520" s="7">
        <f t="shared" si="280"/>
        <v>-1.9290410594707363</v>
      </c>
      <c r="I1520" s="9">
        <f t="shared" si="281"/>
        <v>-1.9478898508600129E-2</v>
      </c>
      <c r="J1520" s="9">
        <f t="shared" si="282"/>
        <v>50062.767142857148</v>
      </c>
      <c r="K1520" s="9">
        <f t="shared" si="285"/>
        <v>51838.072666666667</v>
      </c>
      <c r="L1520" s="9">
        <f t="shared" si="284"/>
        <v>54444.447333333286</v>
      </c>
      <c r="M1520" s="9">
        <f t="shared" si="283"/>
        <v>1.9561537266648204E-2</v>
      </c>
      <c r="N1520" s="9">
        <f t="shared" si="286"/>
        <v>1.6891015138603315E-2</v>
      </c>
    </row>
    <row r="1521" spans="1:14" x14ac:dyDescent="0.35">
      <c r="A1521" s="1">
        <v>44592</v>
      </c>
      <c r="B1521" s="2" t="s">
        <v>1521</v>
      </c>
      <c r="C1521">
        <f t="shared" si="275"/>
        <v>49831.99</v>
      </c>
      <c r="D1521">
        <f t="shared" si="276"/>
        <v>2022</v>
      </c>
      <c r="E1521">
        <f t="shared" si="277"/>
        <v>1</v>
      </c>
      <c r="F1521" t="str">
        <f t="shared" si="279"/>
        <v>January</v>
      </c>
      <c r="G1521">
        <f t="shared" si="278"/>
        <v>31</v>
      </c>
      <c r="H1521" s="7">
        <f t="shared" si="280"/>
        <v>-0.37527214277574461</v>
      </c>
      <c r="I1521" s="9">
        <f t="shared" si="281"/>
        <v>-3.7597805529688989E-3</v>
      </c>
      <c r="J1521" s="9">
        <f t="shared" si="282"/>
        <v>50091.805714285714</v>
      </c>
      <c r="K1521" s="9">
        <f t="shared" si="285"/>
        <v>51701.098333333335</v>
      </c>
      <c r="L1521" s="9">
        <f t="shared" si="284"/>
        <v>54374.937888888846</v>
      </c>
      <c r="M1521" s="9">
        <f t="shared" si="283"/>
        <v>1.4173889475183329E-2</v>
      </c>
      <c r="N1521" s="9">
        <f t="shared" si="286"/>
        <v>1.6885492798762166E-2</v>
      </c>
    </row>
    <row r="1522" spans="1:14" x14ac:dyDescent="0.35">
      <c r="A1522" s="1">
        <v>44593</v>
      </c>
      <c r="B1522" s="2" t="s">
        <v>1522</v>
      </c>
      <c r="C1522">
        <f t="shared" si="275"/>
        <v>49184.160000000003</v>
      </c>
      <c r="D1522">
        <f t="shared" si="276"/>
        <v>2022</v>
      </c>
      <c r="E1522">
        <f t="shared" si="277"/>
        <v>2</v>
      </c>
      <c r="F1522" t="str">
        <f t="shared" si="279"/>
        <v>February</v>
      </c>
      <c r="G1522">
        <f t="shared" si="278"/>
        <v>1</v>
      </c>
      <c r="H1522" s="7">
        <f t="shared" si="280"/>
        <v>-1.300028355279399</v>
      </c>
      <c r="I1522" s="9">
        <f t="shared" si="281"/>
        <v>-1.3085526836228685E-2</v>
      </c>
      <c r="J1522" s="9">
        <f t="shared" si="282"/>
        <v>50101.962857142855</v>
      </c>
      <c r="K1522" s="9">
        <f t="shared" si="285"/>
        <v>51539.656333333332</v>
      </c>
      <c r="L1522" s="9">
        <f t="shared" si="284"/>
        <v>54299.717888888852</v>
      </c>
      <c r="M1522" s="9">
        <f t="shared" si="283"/>
        <v>1.4546601332535995E-2</v>
      </c>
      <c r="N1522" s="9">
        <f t="shared" si="286"/>
        <v>1.6970981722815186E-2</v>
      </c>
    </row>
    <row r="1523" spans="1:14" x14ac:dyDescent="0.35">
      <c r="A1523" s="1">
        <v>44594</v>
      </c>
      <c r="B1523" s="2" t="s">
        <v>1523</v>
      </c>
      <c r="C1523">
        <f t="shared" si="275"/>
        <v>49186.59</v>
      </c>
      <c r="D1523">
        <f t="shared" si="276"/>
        <v>2022</v>
      </c>
      <c r="E1523">
        <f t="shared" si="277"/>
        <v>2</v>
      </c>
      <c r="F1523" t="str">
        <f t="shared" si="279"/>
        <v>February</v>
      </c>
      <c r="G1523">
        <f t="shared" si="278"/>
        <v>2</v>
      </c>
      <c r="H1523" s="7">
        <f t="shared" si="280"/>
        <v>4.9406150272628723E-3</v>
      </c>
      <c r="I1523" s="9">
        <f t="shared" si="281"/>
        <v>4.9404929829068508E-5</v>
      </c>
      <c r="J1523" s="9">
        <f t="shared" si="282"/>
        <v>49964.04</v>
      </c>
      <c r="K1523" s="9">
        <f t="shared" si="285"/>
        <v>51436.869333333329</v>
      </c>
      <c r="L1523" s="9">
        <f t="shared" si="284"/>
        <v>54232.776222222186</v>
      </c>
      <c r="M1523" s="9">
        <f t="shared" si="283"/>
        <v>1.1384896631651141E-2</v>
      </c>
      <c r="N1523" s="9">
        <f t="shared" si="286"/>
        <v>1.6006347683032197E-2</v>
      </c>
    </row>
    <row r="1524" spans="1:14" x14ac:dyDescent="0.35">
      <c r="A1524" s="1">
        <v>44595</v>
      </c>
      <c r="B1524" s="2" t="s">
        <v>1524</v>
      </c>
      <c r="C1524">
        <f t="shared" si="275"/>
        <v>50336.72</v>
      </c>
      <c r="D1524">
        <f t="shared" si="276"/>
        <v>2022</v>
      </c>
      <c r="E1524">
        <f t="shared" si="277"/>
        <v>2</v>
      </c>
      <c r="F1524" t="str">
        <f t="shared" si="279"/>
        <v>February</v>
      </c>
      <c r="G1524">
        <f t="shared" si="278"/>
        <v>3</v>
      </c>
      <c r="H1524" s="7">
        <f t="shared" si="280"/>
        <v>2.3382999309364703</v>
      </c>
      <c r="I1524" s="9">
        <f t="shared" si="281"/>
        <v>2.3113805280348964E-2</v>
      </c>
      <c r="J1524" s="9">
        <f t="shared" si="282"/>
        <v>49966.51285714285</v>
      </c>
      <c r="K1524" s="9">
        <f t="shared" si="285"/>
        <v>51326.771999999997</v>
      </c>
      <c r="L1524" s="9">
        <f t="shared" si="284"/>
        <v>54187.197333333301</v>
      </c>
      <c r="M1524" s="9">
        <f t="shared" si="283"/>
        <v>1.5026676466995825E-2</v>
      </c>
      <c r="N1524" s="9">
        <f t="shared" si="286"/>
        <v>1.5848320600043486E-2</v>
      </c>
    </row>
    <row r="1525" spans="1:14" x14ac:dyDescent="0.35">
      <c r="A1525" s="1">
        <v>44596</v>
      </c>
      <c r="B1525" s="2" t="s">
        <v>1525</v>
      </c>
      <c r="C1525">
        <f t="shared" si="275"/>
        <v>50857.25</v>
      </c>
      <c r="D1525">
        <f t="shared" si="276"/>
        <v>2022</v>
      </c>
      <c r="E1525">
        <f t="shared" si="277"/>
        <v>2</v>
      </c>
      <c r="F1525" t="str">
        <f t="shared" si="279"/>
        <v>February</v>
      </c>
      <c r="G1525">
        <f t="shared" si="278"/>
        <v>4</v>
      </c>
      <c r="H1525" s="7">
        <f t="shared" si="280"/>
        <v>1.0340959840053123</v>
      </c>
      <c r="I1525" s="9">
        <f t="shared" si="281"/>
        <v>1.0287857884563019E-2</v>
      </c>
      <c r="J1525" s="9">
        <f t="shared" si="282"/>
        <v>50059.998571428572</v>
      </c>
      <c r="K1525" s="9">
        <f t="shared" si="285"/>
        <v>51245.503666666664</v>
      </c>
      <c r="L1525" s="9">
        <f t="shared" si="284"/>
        <v>54147.830333333295</v>
      </c>
      <c r="M1525" s="9">
        <f t="shared" si="283"/>
        <v>1.5445193333569742E-2</v>
      </c>
      <c r="N1525" s="9">
        <f t="shared" si="286"/>
        <v>1.598471261526262E-2</v>
      </c>
    </row>
    <row r="1526" spans="1:14" x14ac:dyDescent="0.35">
      <c r="A1526" s="1">
        <v>44599</v>
      </c>
      <c r="B1526" s="2" t="s">
        <v>1526</v>
      </c>
      <c r="C1526">
        <f t="shared" si="275"/>
        <v>50029.22</v>
      </c>
      <c r="D1526">
        <f t="shared" si="276"/>
        <v>2022</v>
      </c>
      <c r="E1526">
        <f t="shared" si="277"/>
        <v>2</v>
      </c>
      <c r="F1526" t="str">
        <f t="shared" si="279"/>
        <v>February</v>
      </c>
      <c r="G1526">
        <f t="shared" si="278"/>
        <v>7</v>
      </c>
      <c r="H1526" s="7">
        <f t="shared" si="280"/>
        <v>-1.6281454463227933</v>
      </c>
      <c r="I1526" s="9">
        <f t="shared" si="281"/>
        <v>-1.6415453803105318E-2</v>
      </c>
      <c r="J1526" s="9">
        <f t="shared" si="282"/>
        <v>49920.804285714286</v>
      </c>
      <c r="K1526" s="9">
        <f t="shared" si="285"/>
        <v>51124.056666666664</v>
      </c>
      <c r="L1526" s="9">
        <f t="shared" si="284"/>
        <v>54105.055555555526</v>
      </c>
      <c r="M1526" s="9">
        <f t="shared" si="283"/>
        <v>1.5390484407059018E-2</v>
      </c>
      <c r="N1526" s="9">
        <f t="shared" si="286"/>
        <v>1.6122252439834419E-2</v>
      </c>
    </row>
    <row r="1527" spans="1:14" x14ac:dyDescent="0.35">
      <c r="A1527" s="1">
        <v>44600</v>
      </c>
      <c r="B1527" s="2" t="s">
        <v>1527</v>
      </c>
      <c r="C1527">
        <f t="shared" si="275"/>
        <v>49527.23</v>
      </c>
      <c r="D1527">
        <f t="shared" si="276"/>
        <v>2022</v>
      </c>
      <c r="E1527">
        <f t="shared" si="277"/>
        <v>2</v>
      </c>
      <c r="F1527" t="str">
        <f t="shared" si="279"/>
        <v>February</v>
      </c>
      <c r="G1527">
        <f t="shared" si="278"/>
        <v>8</v>
      </c>
      <c r="H1527" s="7">
        <f t="shared" si="280"/>
        <v>-1.0033936167703552</v>
      </c>
      <c r="I1527" s="9">
        <f t="shared" si="281"/>
        <v>-1.0084615398314626E-2</v>
      </c>
      <c r="J1527" s="9">
        <f t="shared" si="282"/>
        <v>49850.451428571425</v>
      </c>
      <c r="K1527" s="9">
        <f t="shared" si="285"/>
        <v>50958.848333333335</v>
      </c>
      <c r="L1527" s="9">
        <f t="shared" si="284"/>
        <v>54049.554222222199</v>
      </c>
      <c r="M1527" s="9">
        <f t="shared" si="283"/>
        <v>1.4039460308637319E-2</v>
      </c>
      <c r="N1527" s="9">
        <f t="shared" si="286"/>
        <v>1.5839994721149775E-2</v>
      </c>
    </row>
    <row r="1528" spans="1:14" x14ac:dyDescent="0.35">
      <c r="A1528" s="1">
        <v>44601</v>
      </c>
      <c r="B1528" s="2" t="s">
        <v>1528</v>
      </c>
      <c r="C1528">
        <f t="shared" si="275"/>
        <v>49601.82</v>
      </c>
      <c r="D1528">
        <f t="shared" si="276"/>
        <v>2022</v>
      </c>
      <c r="E1528">
        <f t="shared" si="277"/>
        <v>2</v>
      </c>
      <c r="F1528" t="str">
        <f t="shared" si="279"/>
        <v>February</v>
      </c>
      <c r="G1528">
        <f t="shared" si="278"/>
        <v>9</v>
      </c>
      <c r="H1528" s="7">
        <f t="shared" si="280"/>
        <v>0.15060402126263978</v>
      </c>
      <c r="I1528" s="9">
        <f t="shared" si="281"/>
        <v>1.5049072714260149E-3</v>
      </c>
      <c r="J1528" s="9">
        <f t="shared" si="282"/>
        <v>49817.57</v>
      </c>
      <c r="K1528" s="9">
        <f t="shared" si="285"/>
        <v>50789.431666666671</v>
      </c>
      <c r="L1528" s="9">
        <f t="shared" si="284"/>
        <v>53979.997999999985</v>
      </c>
      <c r="M1528" s="9">
        <f t="shared" si="283"/>
        <v>1.4033833477826458E-2</v>
      </c>
      <c r="N1528" s="9">
        <f t="shared" si="286"/>
        <v>1.5812478144726159E-2</v>
      </c>
    </row>
    <row r="1529" spans="1:14" x14ac:dyDescent="0.35">
      <c r="A1529" s="1">
        <v>44602</v>
      </c>
      <c r="B1529" s="2" t="s">
        <v>1529</v>
      </c>
      <c r="C1529">
        <f t="shared" si="275"/>
        <v>48108.49</v>
      </c>
      <c r="D1529">
        <f t="shared" si="276"/>
        <v>2022</v>
      </c>
      <c r="E1529">
        <f t="shared" si="277"/>
        <v>2</v>
      </c>
      <c r="F1529" t="str">
        <f t="shared" si="279"/>
        <v>February</v>
      </c>
      <c r="G1529">
        <f t="shared" si="278"/>
        <v>10</v>
      </c>
      <c r="H1529" s="7">
        <f t="shared" si="280"/>
        <v>-3.0106354968426596</v>
      </c>
      <c r="I1529" s="9">
        <f t="shared" si="281"/>
        <v>-3.0568857793430958E-2</v>
      </c>
      <c r="J1529" s="9">
        <f t="shared" si="282"/>
        <v>49663.902857142857</v>
      </c>
      <c r="K1529" s="9">
        <f t="shared" si="285"/>
        <v>50568.968666666668</v>
      </c>
      <c r="L1529" s="9">
        <f t="shared" si="284"/>
        <v>53893.117999999988</v>
      </c>
      <c r="M1529" s="9">
        <f t="shared" si="283"/>
        <v>1.7692381589411069E-2</v>
      </c>
      <c r="N1529" s="9">
        <f t="shared" si="286"/>
        <v>1.6556137354311003E-2</v>
      </c>
    </row>
    <row r="1530" spans="1:14" x14ac:dyDescent="0.35">
      <c r="A1530" s="1">
        <v>44603</v>
      </c>
      <c r="B1530" s="2" t="s">
        <v>1530</v>
      </c>
      <c r="C1530">
        <f t="shared" si="275"/>
        <v>47628.87</v>
      </c>
      <c r="D1530">
        <f t="shared" si="276"/>
        <v>2022</v>
      </c>
      <c r="E1530">
        <f t="shared" si="277"/>
        <v>2</v>
      </c>
      <c r="F1530" t="str">
        <f t="shared" si="279"/>
        <v>February</v>
      </c>
      <c r="G1530">
        <f t="shared" si="278"/>
        <v>11</v>
      </c>
      <c r="H1530" s="7">
        <f t="shared" si="280"/>
        <v>-0.9969550073178256</v>
      </c>
      <c r="I1530" s="9">
        <f t="shared" si="281"/>
        <v>-1.0019578824663535E-2</v>
      </c>
      <c r="J1530" s="9">
        <f t="shared" si="282"/>
        <v>49441.37142857143</v>
      </c>
      <c r="K1530" s="9">
        <f t="shared" si="285"/>
        <v>50383.104666666673</v>
      </c>
      <c r="L1530" s="9">
        <f t="shared" si="284"/>
        <v>53805.926444444434</v>
      </c>
      <c r="M1530" s="9">
        <f t="shared" si="283"/>
        <v>1.7797062145454675E-2</v>
      </c>
      <c r="N1530" s="9">
        <f t="shared" si="286"/>
        <v>1.5977385902973002E-2</v>
      </c>
    </row>
    <row r="1531" spans="1:14" x14ac:dyDescent="0.35">
      <c r="A1531" s="1">
        <v>44606</v>
      </c>
      <c r="B1531" s="2" t="s">
        <v>1531</v>
      </c>
      <c r="C1531">
        <f t="shared" si="275"/>
        <v>48849.52</v>
      </c>
      <c r="D1531">
        <f t="shared" si="276"/>
        <v>2022</v>
      </c>
      <c r="E1531">
        <f t="shared" si="277"/>
        <v>2</v>
      </c>
      <c r="F1531" t="str">
        <f t="shared" si="279"/>
        <v>February</v>
      </c>
      <c r="G1531">
        <f t="shared" si="278"/>
        <v>14</v>
      </c>
      <c r="H1531" s="7">
        <f t="shared" si="280"/>
        <v>2.5628363637432381</v>
      </c>
      <c r="I1531" s="9">
        <f t="shared" si="281"/>
        <v>2.53054624545807E-2</v>
      </c>
      <c r="J1531" s="9">
        <f t="shared" si="282"/>
        <v>49228.914285714287</v>
      </c>
      <c r="K1531" s="9">
        <f t="shared" si="285"/>
        <v>50223.246000000014</v>
      </c>
      <c r="L1531" s="9">
        <f t="shared" si="284"/>
        <v>53725.842222222222</v>
      </c>
      <c r="M1531" s="9">
        <f t="shared" si="283"/>
        <v>1.8375693643440643E-2</v>
      </c>
      <c r="N1531" s="9">
        <f t="shared" si="286"/>
        <v>1.6703942234079706E-2</v>
      </c>
    </row>
    <row r="1532" spans="1:14" x14ac:dyDescent="0.35">
      <c r="A1532" s="1">
        <v>44607</v>
      </c>
      <c r="B1532" s="2" t="s">
        <v>1532</v>
      </c>
      <c r="C1532">
        <f t="shared" si="275"/>
        <v>49134.65</v>
      </c>
      <c r="D1532">
        <f t="shared" si="276"/>
        <v>2022</v>
      </c>
      <c r="E1532">
        <f t="shared" si="277"/>
        <v>2</v>
      </c>
      <c r="F1532" t="str">
        <f t="shared" si="279"/>
        <v>February</v>
      </c>
      <c r="G1532">
        <f t="shared" si="278"/>
        <v>15</v>
      </c>
      <c r="H1532" s="7">
        <f t="shared" si="280"/>
        <v>0.58369048457385997</v>
      </c>
      <c r="I1532" s="9">
        <f t="shared" si="281"/>
        <v>5.819936114544377E-3</v>
      </c>
      <c r="J1532" s="9">
        <f t="shared" si="282"/>
        <v>48982.828571428581</v>
      </c>
      <c r="K1532" s="9">
        <f t="shared" si="285"/>
        <v>50111.172333333336</v>
      </c>
      <c r="L1532" s="9">
        <f t="shared" si="284"/>
        <v>53639.897555555559</v>
      </c>
      <c r="M1532" s="9">
        <f t="shared" si="283"/>
        <v>1.7855403081013192E-2</v>
      </c>
      <c r="N1532" s="9">
        <f t="shared" si="286"/>
        <v>1.640385843862046E-2</v>
      </c>
    </row>
    <row r="1533" spans="1:14" x14ac:dyDescent="0.35">
      <c r="A1533" s="1">
        <v>44608</v>
      </c>
      <c r="B1533" s="2" t="s">
        <v>1533</v>
      </c>
      <c r="C1533">
        <f t="shared" si="275"/>
        <v>48245.11</v>
      </c>
      <c r="D1533">
        <f t="shared" si="276"/>
        <v>2022</v>
      </c>
      <c r="E1533">
        <f t="shared" si="277"/>
        <v>2</v>
      </c>
      <c r="F1533" t="str">
        <f t="shared" si="279"/>
        <v>February</v>
      </c>
      <c r="G1533">
        <f t="shared" si="278"/>
        <v>16</v>
      </c>
      <c r="H1533" s="7">
        <f t="shared" si="280"/>
        <v>-1.8104128145819718</v>
      </c>
      <c r="I1533" s="9">
        <f t="shared" si="281"/>
        <v>-1.8270013058341389E-2</v>
      </c>
      <c r="J1533" s="9">
        <f t="shared" si="282"/>
        <v>48727.955714285716</v>
      </c>
      <c r="K1533" s="9">
        <f t="shared" si="285"/>
        <v>50021.689666666673</v>
      </c>
      <c r="L1533" s="9">
        <f t="shared" si="284"/>
        <v>53547.373888888891</v>
      </c>
      <c r="M1533" s="9">
        <f t="shared" si="283"/>
        <v>1.8066861563376575E-2</v>
      </c>
      <c r="N1533" s="9">
        <f t="shared" si="286"/>
        <v>1.5829855144942867E-2</v>
      </c>
    </row>
    <row r="1534" spans="1:14" x14ac:dyDescent="0.35">
      <c r="A1534" s="1">
        <v>44609</v>
      </c>
      <c r="B1534" s="2" t="s">
        <v>1534</v>
      </c>
      <c r="C1534">
        <f t="shared" si="275"/>
        <v>48301.279999999999</v>
      </c>
      <c r="D1534">
        <f t="shared" si="276"/>
        <v>2022</v>
      </c>
      <c r="E1534">
        <f t="shared" si="277"/>
        <v>2</v>
      </c>
      <c r="F1534" t="str">
        <f t="shared" si="279"/>
        <v>February</v>
      </c>
      <c r="G1534">
        <f t="shared" si="278"/>
        <v>17</v>
      </c>
      <c r="H1534" s="7">
        <f t="shared" si="280"/>
        <v>0.11642630724647172</v>
      </c>
      <c r="I1534" s="9">
        <f t="shared" si="281"/>
        <v>1.1635858438109328E-3</v>
      </c>
      <c r="J1534" s="9">
        <f t="shared" si="282"/>
        <v>48552.82</v>
      </c>
      <c r="K1534" s="9">
        <f t="shared" si="285"/>
        <v>49948.965666666663</v>
      </c>
      <c r="L1534" s="9">
        <f t="shared" si="284"/>
        <v>53460.563333333339</v>
      </c>
      <c r="M1534" s="9">
        <f t="shared" si="283"/>
        <v>1.8058930062015244E-2</v>
      </c>
      <c r="N1534" s="9">
        <f t="shared" si="286"/>
        <v>1.5782365835924576E-2</v>
      </c>
    </row>
    <row r="1535" spans="1:14" x14ac:dyDescent="0.35">
      <c r="A1535" s="1">
        <v>44610</v>
      </c>
      <c r="B1535" s="2" t="s">
        <v>1535</v>
      </c>
      <c r="C1535">
        <f t="shared" si="275"/>
        <v>49874.51</v>
      </c>
      <c r="D1535">
        <f t="shared" si="276"/>
        <v>2022</v>
      </c>
      <c r="E1535">
        <f t="shared" si="277"/>
        <v>2</v>
      </c>
      <c r="F1535" t="str">
        <f t="shared" si="279"/>
        <v>February</v>
      </c>
      <c r="G1535">
        <f t="shared" si="278"/>
        <v>18</v>
      </c>
      <c r="H1535" s="7">
        <f t="shared" si="280"/>
        <v>3.2571186519280717</v>
      </c>
      <c r="I1535" s="9">
        <f t="shared" si="281"/>
        <v>3.20519892577854E-2</v>
      </c>
      <c r="J1535" s="9">
        <f t="shared" si="282"/>
        <v>48591.775714285723</v>
      </c>
      <c r="K1535" s="9">
        <f t="shared" si="285"/>
        <v>49898.47866666667</v>
      </c>
      <c r="L1535" s="9">
        <f t="shared" si="284"/>
        <v>53385.553222222232</v>
      </c>
      <c r="M1535" s="9">
        <f t="shared" si="283"/>
        <v>2.2609984622132651E-2</v>
      </c>
      <c r="N1535" s="9">
        <f t="shared" si="286"/>
        <v>1.6577390251499135E-2</v>
      </c>
    </row>
    <row r="1536" spans="1:14" x14ac:dyDescent="0.35">
      <c r="A1536" s="1">
        <v>44613</v>
      </c>
      <c r="B1536" s="2" t="s">
        <v>1536</v>
      </c>
      <c r="C1536">
        <f t="shared" si="275"/>
        <v>48011.56</v>
      </c>
      <c r="D1536">
        <f t="shared" si="276"/>
        <v>2022</v>
      </c>
      <c r="E1536">
        <f t="shared" si="277"/>
        <v>2</v>
      </c>
      <c r="F1536" t="str">
        <f t="shared" si="279"/>
        <v>February</v>
      </c>
      <c r="G1536">
        <f t="shared" si="278"/>
        <v>21</v>
      </c>
      <c r="H1536" s="7">
        <f t="shared" si="280"/>
        <v>-3.7352747926746637</v>
      </c>
      <c r="I1536" s="9">
        <f t="shared" si="281"/>
        <v>-3.8068235354830372E-2</v>
      </c>
      <c r="J1536" s="9">
        <f t="shared" si="282"/>
        <v>48577.928571428572</v>
      </c>
      <c r="K1536" s="9">
        <f t="shared" si="285"/>
        <v>49815.665666666675</v>
      </c>
      <c r="L1536" s="9">
        <f t="shared" si="284"/>
        <v>53297.349222222227</v>
      </c>
      <c r="M1536" s="9">
        <f t="shared" si="283"/>
        <v>2.4446256748434605E-2</v>
      </c>
      <c r="N1536" s="9">
        <f t="shared" si="286"/>
        <v>1.7671569987034681E-2</v>
      </c>
    </row>
    <row r="1537" spans="1:14" x14ac:dyDescent="0.35">
      <c r="A1537" s="1">
        <v>44614</v>
      </c>
      <c r="B1537" s="2" t="s">
        <v>1537</v>
      </c>
      <c r="C1537">
        <f t="shared" si="275"/>
        <v>46689.9</v>
      </c>
      <c r="D1537">
        <f t="shared" si="276"/>
        <v>2022</v>
      </c>
      <c r="E1537">
        <f t="shared" si="277"/>
        <v>2</v>
      </c>
      <c r="F1537" t="str">
        <f t="shared" si="279"/>
        <v>February</v>
      </c>
      <c r="G1537">
        <f t="shared" si="278"/>
        <v>22</v>
      </c>
      <c r="H1537" s="7">
        <f t="shared" si="280"/>
        <v>-2.7527953684487576</v>
      </c>
      <c r="I1537" s="9">
        <f t="shared" si="281"/>
        <v>-2.7913948051229986E-2</v>
      </c>
      <c r="J1537" s="9">
        <f t="shared" si="282"/>
        <v>48443.79</v>
      </c>
      <c r="K1537" s="9">
        <f t="shared" si="285"/>
        <v>49685.245666666662</v>
      </c>
      <c r="L1537" s="9">
        <f t="shared" si="284"/>
        <v>53198.015000000014</v>
      </c>
      <c r="M1537" s="9">
        <f t="shared" si="283"/>
        <v>2.648413916878661E-2</v>
      </c>
      <c r="N1537" s="9">
        <f t="shared" si="286"/>
        <v>1.8288844453973063E-2</v>
      </c>
    </row>
    <row r="1538" spans="1:14" x14ac:dyDescent="0.35">
      <c r="A1538" s="1">
        <v>44615</v>
      </c>
      <c r="B1538" s="2" t="s">
        <v>1538</v>
      </c>
      <c r="C1538">
        <f t="shared" si="275"/>
        <v>47496.72</v>
      </c>
      <c r="D1538">
        <f t="shared" si="276"/>
        <v>2022</v>
      </c>
      <c r="E1538">
        <f t="shared" si="277"/>
        <v>2</v>
      </c>
      <c r="F1538" t="str">
        <f t="shared" si="279"/>
        <v>February</v>
      </c>
      <c r="G1538">
        <f t="shared" si="278"/>
        <v>23</v>
      </c>
      <c r="H1538" s="7">
        <f t="shared" si="280"/>
        <v>1.7280396831006271</v>
      </c>
      <c r="I1538" s="9">
        <f t="shared" si="281"/>
        <v>1.7132788830471521E-2</v>
      </c>
      <c r="J1538" s="9">
        <f t="shared" si="282"/>
        <v>48250.532857142854</v>
      </c>
      <c r="K1538" s="9">
        <f t="shared" si="285"/>
        <v>49599.329333333328</v>
      </c>
      <c r="L1538" s="9">
        <f t="shared" si="284"/>
        <v>53098.719888888896</v>
      </c>
      <c r="M1538" s="9">
        <f t="shared" si="283"/>
        <v>2.5184612683196158E-2</v>
      </c>
      <c r="N1538" s="9">
        <f t="shared" si="286"/>
        <v>1.8575232996386529E-2</v>
      </c>
    </row>
    <row r="1539" spans="1:14" x14ac:dyDescent="0.35">
      <c r="A1539" s="1">
        <v>44616</v>
      </c>
      <c r="B1539" s="2" t="s">
        <v>1539</v>
      </c>
      <c r="C1539">
        <f t="shared" ref="C1539:C1602" si="287">_xlfn.NUMBERVALUE(B1539,".",",")</f>
        <v>46240.35</v>
      </c>
      <c r="D1539">
        <f t="shared" ref="D1539:D1602" si="288">YEAR(A1539)</f>
        <v>2022</v>
      </c>
      <c r="E1539">
        <f t="shared" ref="E1539:E1602" si="289">MONTH(A1539)</f>
        <v>2</v>
      </c>
      <c r="F1539" t="str">
        <f t="shared" si="279"/>
        <v>February</v>
      </c>
      <c r="G1539">
        <f t="shared" ref="G1539:G1602" si="290">DAY(A1539)</f>
        <v>24</v>
      </c>
      <c r="H1539" s="7">
        <f t="shared" si="280"/>
        <v>-2.6451721297807569</v>
      </c>
      <c r="I1539" s="9">
        <f t="shared" si="281"/>
        <v>-2.6807862485145943E-2</v>
      </c>
      <c r="J1539" s="9">
        <f t="shared" si="282"/>
        <v>47837.061428571418</v>
      </c>
      <c r="K1539" s="9">
        <f t="shared" si="285"/>
        <v>49469.100666666665</v>
      </c>
      <c r="L1539" s="9">
        <f t="shared" si="284"/>
        <v>52978.888666666673</v>
      </c>
      <c r="M1539" s="9">
        <f t="shared" si="283"/>
        <v>2.6065595934988101E-2</v>
      </c>
      <c r="N1539" s="9">
        <f t="shared" si="286"/>
        <v>1.9115322995852786E-2</v>
      </c>
    </row>
    <row r="1540" spans="1:14" x14ac:dyDescent="0.35">
      <c r="A1540" s="1">
        <v>44617</v>
      </c>
      <c r="B1540" s="2" t="s">
        <v>1540</v>
      </c>
      <c r="C1540">
        <f t="shared" si="287"/>
        <v>44598.7</v>
      </c>
      <c r="D1540">
        <f t="shared" si="288"/>
        <v>2022</v>
      </c>
      <c r="E1540">
        <f t="shared" si="289"/>
        <v>2</v>
      </c>
      <c r="F1540" t="str">
        <f t="shared" ref="F1540:F1603" si="291">TEXT(A1540,"mmmm")</f>
        <v>February</v>
      </c>
      <c r="G1540">
        <f t="shared" si="290"/>
        <v>25</v>
      </c>
      <c r="H1540" s="7">
        <f t="shared" ref="H1540:H1603" si="292">((C1540-C1539)/C1539)*100</f>
        <v>-3.5502542692691588</v>
      </c>
      <c r="I1540" s="9">
        <f t="shared" ref="I1540:I1603" si="293">LN(C1540/C1539)</f>
        <v>-3.6148082920483118E-2</v>
      </c>
      <c r="J1540" s="9">
        <f t="shared" si="282"/>
        <v>47316.145714285718</v>
      </c>
      <c r="K1540" s="9">
        <f t="shared" si="285"/>
        <v>49254.965333333334</v>
      </c>
      <c r="L1540" s="9">
        <f t="shared" si="284"/>
        <v>52836.262222222227</v>
      </c>
      <c r="M1540" s="9">
        <f t="shared" si="283"/>
        <v>2.7969045245003089E-2</v>
      </c>
      <c r="N1540" s="9">
        <f t="shared" si="286"/>
        <v>1.9669021052672854E-2</v>
      </c>
    </row>
    <row r="1541" spans="1:14" x14ac:dyDescent="0.35">
      <c r="A1541" s="1">
        <v>44620</v>
      </c>
      <c r="B1541" s="2" t="s">
        <v>1541</v>
      </c>
      <c r="C1541">
        <f t="shared" si="287"/>
        <v>45060.69</v>
      </c>
      <c r="D1541">
        <f t="shared" si="288"/>
        <v>2022</v>
      </c>
      <c r="E1541">
        <f t="shared" si="289"/>
        <v>2</v>
      </c>
      <c r="F1541" t="str">
        <f t="shared" si="291"/>
        <v>February</v>
      </c>
      <c r="G1541">
        <f t="shared" si="290"/>
        <v>28</v>
      </c>
      <c r="H1541" s="7">
        <f t="shared" si="292"/>
        <v>1.0358822118133606</v>
      </c>
      <c r="I1541" s="9">
        <f t="shared" si="293"/>
        <v>1.0305537183823975E-2</v>
      </c>
      <c r="J1541" s="9">
        <f t="shared" si="282"/>
        <v>46853.204285714288</v>
      </c>
      <c r="K1541" s="9">
        <f t="shared" si="285"/>
        <v>49018.89666666666</v>
      </c>
      <c r="L1541" s="9">
        <f t="shared" si="284"/>
        <v>52702.742333333343</v>
      </c>
      <c r="M1541" s="9">
        <f t="shared" si="283"/>
        <v>2.8843806858308937E-2</v>
      </c>
      <c r="N1541" s="9">
        <f t="shared" si="286"/>
        <v>1.9250881944609104E-2</v>
      </c>
    </row>
    <row r="1542" spans="1:14" x14ac:dyDescent="0.35">
      <c r="A1542" s="1">
        <v>44621</v>
      </c>
      <c r="B1542" s="2" t="s">
        <v>1542</v>
      </c>
      <c r="C1542">
        <f t="shared" si="287"/>
        <v>43732.44</v>
      </c>
      <c r="D1542">
        <f t="shared" si="288"/>
        <v>2022</v>
      </c>
      <c r="E1542">
        <f t="shared" si="289"/>
        <v>3</v>
      </c>
      <c r="F1542" t="str">
        <f t="shared" si="291"/>
        <v>March</v>
      </c>
      <c r="G1542">
        <f t="shared" si="290"/>
        <v>1</v>
      </c>
      <c r="H1542" s="7">
        <f t="shared" si="292"/>
        <v>-2.9476912137830111</v>
      </c>
      <c r="I1542" s="9">
        <f t="shared" si="293"/>
        <v>-2.992008699898855E-2</v>
      </c>
      <c r="J1542" s="9">
        <f t="shared" si="282"/>
        <v>45975.765714285713</v>
      </c>
      <c r="K1542" s="9">
        <f t="shared" si="285"/>
        <v>48744.973333333321</v>
      </c>
      <c r="L1542" s="9">
        <f t="shared" si="284"/>
        <v>52550.664333333356</v>
      </c>
      <c r="M1542" s="9">
        <f t="shared" si="283"/>
        <v>2.2661862581163147E-2</v>
      </c>
      <c r="N1542" s="9">
        <f t="shared" si="286"/>
        <v>1.9783954156376644E-2</v>
      </c>
    </row>
    <row r="1543" spans="1:14" x14ac:dyDescent="0.35">
      <c r="A1543" s="1">
        <v>44622</v>
      </c>
      <c r="B1543" s="2" t="s">
        <v>1543</v>
      </c>
      <c r="C1543">
        <f t="shared" si="287"/>
        <v>44490.31</v>
      </c>
      <c r="D1543">
        <f t="shared" si="288"/>
        <v>2022</v>
      </c>
      <c r="E1543">
        <f t="shared" si="289"/>
        <v>3</v>
      </c>
      <c r="F1543" t="str">
        <f t="shared" si="291"/>
        <v>March</v>
      </c>
      <c r="G1543">
        <f t="shared" si="290"/>
        <v>2</v>
      </c>
      <c r="H1543" s="7">
        <f t="shared" si="292"/>
        <v>1.7329698502987607</v>
      </c>
      <c r="I1543" s="9">
        <f t="shared" si="293"/>
        <v>1.7181251847640338E-2</v>
      </c>
      <c r="J1543" s="9">
        <f t="shared" si="282"/>
        <v>45472.729999999996</v>
      </c>
      <c r="K1543" s="9">
        <f t="shared" si="285"/>
        <v>48515.248333333322</v>
      </c>
      <c r="L1543" s="9">
        <f t="shared" si="284"/>
        <v>52407.031333333347</v>
      </c>
      <c r="M1543" s="9">
        <f t="shared" si="283"/>
        <v>2.4378372520838097E-2</v>
      </c>
      <c r="N1543" s="9">
        <f t="shared" si="286"/>
        <v>2.0190498743281042E-2</v>
      </c>
    </row>
    <row r="1544" spans="1:14" x14ac:dyDescent="0.35">
      <c r="A1544" s="1">
        <v>44623</v>
      </c>
      <c r="B1544" s="2" t="s">
        <v>1544</v>
      </c>
      <c r="C1544">
        <f t="shared" si="287"/>
        <v>43413.63</v>
      </c>
      <c r="D1544">
        <f t="shared" si="288"/>
        <v>2022</v>
      </c>
      <c r="E1544">
        <f t="shared" si="289"/>
        <v>3</v>
      </c>
      <c r="F1544" t="str">
        <f t="shared" si="291"/>
        <v>March</v>
      </c>
      <c r="G1544">
        <f t="shared" si="290"/>
        <v>3</v>
      </c>
      <c r="H1544" s="7">
        <f t="shared" si="292"/>
        <v>-2.4200325868711641</v>
      </c>
      <c r="I1544" s="9">
        <f t="shared" si="293"/>
        <v>-2.4497965550765163E-2</v>
      </c>
      <c r="J1544" s="9">
        <f t="shared" si="282"/>
        <v>45004.69142857143</v>
      </c>
      <c r="K1544" s="9">
        <f t="shared" si="285"/>
        <v>48308.078666666654</v>
      </c>
      <c r="L1544" s="9">
        <f t="shared" si="284"/>
        <v>52254.202333333335</v>
      </c>
      <c r="M1544" s="9">
        <f t="shared" si="283"/>
        <v>2.4012035322859442E-2</v>
      </c>
      <c r="N1544" s="9">
        <f t="shared" si="286"/>
        <v>1.9749640417067733E-2</v>
      </c>
    </row>
    <row r="1545" spans="1:14" x14ac:dyDescent="0.35">
      <c r="A1545" s="1">
        <v>44624</v>
      </c>
      <c r="B1545" s="2" t="s">
        <v>1545</v>
      </c>
      <c r="C1545">
        <f t="shared" si="287"/>
        <v>42946.83</v>
      </c>
      <c r="D1545">
        <f t="shared" si="288"/>
        <v>2022</v>
      </c>
      <c r="E1545">
        <f t="shared" si="289"/>
        <v>3</v>
      </c>
      <c r="F1545" t="str">
        <f t="shared" si="291"/>
        <v>March</v>
      </c>
      <c r="G1545">
        <f t="shared" si="290"/>
        <v>4</v>
      </c>
      <c r="H1545" s="7">
        <f t="shared" si="292"/>
        <v>-1.0752383525634592</v>
      </c>
      <c r="I1545" s="9">
        <f t="shared" si="293"/>
        <v>-1.08106081464806E-2</v>
      </c>
      <c r="J1545" s="9">
        <f t="shared" ref="J1545:J1608" si="294">AVERAGE(C1539:C1545)</f>
        <v>44354.707142857143</v>
      </c>
      <c r="K1545" s="9">
        <f t="shared" si="285"/>
        <v>48102.537666666656</v>
      </c>
      <c r="L1545" s="9">
        <f t="shared" si="284"/>
        <v>52100.747888888887</v>
      </c>
      <c r="M1545" s="9">
        <f t="shared" si="283"/>
        <v>2.0778183466274729E-2</v>
      </c>
      <c r="N1545" s="9">
        <f t="shared" si="286"/>
        <v>1.9753576442578542E-2</v>
      </c>
    </row>
    <row r="1546" spans="1:14" x14ac:dyDescent="0.35">
      <c r="A1546" s="1">
        <v>44627</v>
      </c>
      <c r="B1546" s="2" t="s">
        <v>1546</v>
      </c>
      <c r="C1546">
        <f t="shared" si="287"/>
        <v>45046.35</v>
      </c>
      <c r="D1546">
        <f t="shared" si="288"/>
        <v>2022</v>
      </c>
      <c r="E1546">
        <f t="shared" si="289"/>
        <v>3</v>
      </c>
      <c r="F1546" t="str">
        <f t="shared" si="291"/>
        <v>March</v>
      </c>
      <c r="G1546">
        <f t="shared" si="290"/>
        <v>7</v>
      </c>
      <c r="H1546" s="7">
        <f t="shared" si="292"/>
        <v>4.8886495231429112</v>
      </c>
      <c r="I1546" s="9">
        <f t="shared" si="293"/>
        <v>4.7729120729906163E-2</v>
      </c>
      <c r="J1546" s="9">
        <f t="shared" si="294"/>
        <v>44184.135714285716</v>
      </c>
      <c r="K1546" s="9">
        <f t="shared" si="285"/>
        <v>47932.347666666676</v>
      </c>
      <c r="L1546" s="9">
        <f t="shared" si="284"/>
        <v>51960.632999999987</v>
      </c>
      <c r="M1546" s="9">
        <f t="shared" ref="M1546:M1609" si="295">STDEV(I1540:I1546)</f>
        <v>3.0278192529471004E-2</v>
      </c>
      <c r="N1546" s="9">
        <f t="shared" si="286"/>
        <v>2.1472880476769155E-2</v>
      </c>
    </row>
    <row r="1547" spans="1:14" x14ac:dyDescent="0.35">
      <c r="A1547" s="1">
        <v>44628</v>
      </c>
      <c r="B1547" s="2" t="s">
        <v>1547</v>
      </c>
      <c r="C1547">
        <f t="shared" si="287"/>
        <v>41149.35</v>
      </c>
      <c r="D1547">
        <f t="shared" si="288"/>
        <v>2022</v>
      </c>
      <c r="E1547">
        <f t="shared" si="289"/>
        <v>3</v>
      </c>
      <c r="F1547" t="str">
        <f t="shared" si="291"/>
        <v>March</v>
      </c>
      <c r="G1547">
        <f t="shared" si="290"/>
        <v>8</v>
      </c>
      <c r="H1547" s="7">
        <f t="shared" si="292"/>
        <v>-8.6510893779407212</v>
      </c>
      <c r="I1547" s="9">
        <f t="shared" si="293"/>
        <v>-9.0483828554730986E-2</v>
      </c>
      <c r="J1547" s="9">
        <f t="shared" si="294"/>
        <v>43691.371428571423</v>
      </c>
      <c r="K1547" s="9">
        <f t="shared" si="285"/>
        <v>47626.678999999996</v>
      </c>
      <c r="L1547" s="9">
        <f t="shared" si="284"/>
        <v>51777.521777777765</v>
      </c>
      <c r="M1547" s="9">
        <f t="shared" si="295"/>
        <v>4.3881187214244236E-2</v>
      </c>
      <c r="N1547" s="9">
        <f t="shared" si="286"/>
        <v>2.6641157193023245E-2</v>
      </c>
    </row>
    <row r="1548" spans="1:14" x14ac:dyDescent="0.35">
      <c r="A1548" s="1">
        <v>44629</v>
      </c>
      <c r="B1548" s="2" t="s">
        <v>1547</v>
      </c>
      <c r="C1548">
        <f t="shared" si="287"/>
        <v>41149.35</v>
      </c>
      <c r="D1548">
        <f t="shared" si="288"/>
        <v>2022</v>
      </c>
      <c r="E1548">
        <f t="shared" si="289"/>
        <v>3</v>
      </c>
      <c r="F1548" t="str">
        <f t="shared" si="291"/>
        <v>March</v>
      </c>
      <c r="G1548">
        <f t="shared" si="290"/>
        <v>9</v>
      </c>
      <c r="H1548" s="7">
        <f t="shared" si="292"/>
        <v>0</v>
      </c>
      <c r="I1548" s="9">
        <f t="shared" si="293"/>
        <v>0</v>
      </c>
      <c r="J1548" s="9">
        <f t="shared" si="294"/>
        <v>43132.608571428573</v>
      </c>
      <c r="K1548" s="9">
        <f t="shared" si="285"/>
        <v>47324.895666666671</v>
      </c>
      <c r="L1548" s="9">
        <f t="shared" si="284"/>
        <v>51609.748666666652</v>
      </c>
      <c r="M1548" s="9">
        <f t="shared" si="295"/>
        <v>4.3195212222715045E-2</v>
      </c>
      <c r="N1548" s="9">
        <f t="shared" si="286"/>
        <v>2.6657685083062339E-2</v>
      </c>
    </row>
    <row r="1549" spans="1:14" x14ac:dyDescent="0.35">
      <c r="A1549" s="1">
        <v>44630</v>
      </c>
      <c r="B1549" s="2" t="s">
        <v>1548</v>
      </c>
      <c r="C1549">
        <f t="shared" si="287"/>
        <v>38267.21</v>
      </c>
      <c r="D1549">
        <f t="shared" si="288"/>
        <v>2022</v>
      </c>
      <c r="E1549">
        <f t="shared" si="289"/>
        <v>3</v>
      </c>
      <c r="F1549" t="str">
        <f t="shared" si="291"/>
        <v>March</v>
      </c>
      <c r="G1549">
        <f t="shared" si="290"/>
        <v>10</v>
      </c>
      <c r="H1549" s="7">
        <f t="shared" si="292"/>
        <v>-7.0040960549802103</v>
      </c>
      <c r="I1549" s="9">
        <f t="shared" si="293"/>
        <v>-7.2614737406721128E-2</v>
      </c>
      <c r="J1549" s="9">
        <f t="shared" si="294"/>
        <v>42351.861428571436</v>
      </c>
      <c r="K1549" s="9">
        <f t="shared" si="285"/>
        <v>46900.350000000006</v>
      </c>
      <c r="L1549" s="9">
        <f t="shared" si="284"/>
        <v>51414.613222222215</v>
      </c>
      <c r="M1549" s="9">
        <f t="shared" si="295"/>
        <v>4.8656268628131258E-2</v>
      </c>
      <c r="N1549" s="9">
        <f t="shared" si="286"/>
        <v>2.8886004009597403E-2</v>
      </c>
    </row>
    <row r="1550" spans="1:14" x14ac:dyDescent="0.35">
      <c r="A1550" s="1">
        <v>44631</v>
      </c>
      <c r="B1550" s="2" t="s">
        <v>1549</v>
      </c>
      <c r="C1550">
        <f t="shared" si="287"/>
        <v>40272</v>
      </c>
      <c r="D1550">
        <f t="shared" si="288"/>
        <v>2022</v>
      </c>
      <c r="E1550">
        <f t="shared" si="289"/>
        <v>3</v>
      </c>
      <c r="F1550" t="str">
        <f t="shared" si="291"/>
        <v>March</v>
      </c>
      <c r="G1550">
        <f t="shared" si="290"/>
        <v>11</v>
      </c>
      <c r="H1550" s="7">
        <f t="shared" si="292"/>
        <v>5.2389238724223715</v>
      </c>
      <c r="I1550" s="9">
        <f t="shared" si="293"/>
        <v>5.106304467013123E-2</v>
      </c>
      <c r="J1550" s="9">
        <f t="shared" si="294"/>
        <v>41749.245714285709</v>
      </c>
      <c r="K1550" s="9">
        <f t="shared" si="285"/>
        <v>46575.426666666666</v>
      </c>
      <c r="L1550" s="9">
        <f t="shared" si="284"/>
        <v>51242.948777777776</v>
      </c>
      <c r="M1550" s="9">
        <f t="shared" si="295"/>
        <v>5.4229688223471892E-2</v>
      </c>
      <c r="N1550" s="9">
        <f t="shared" si="286"/>
        <v>3.0856115051297473E-2</v>
      </c>
    </row>
    <row r="1551" spans="1:14" x14ac:dyDescent="0.35">
      <c r="A1551" s="1">
        <v>44634</v>
      </c>
      <c r="B1551" s="2" t="s">
        <v>1550</v>
      </c>
      <c r="C1551">
        <f t="shared" si="287"/>
        <v>37963.01</v>
      </c>
      <c r="D1551">
        <f t="shared" si="288"/>
        <v>2022</v>
      </c>
      <c r="E1551">
        <f t="shared" si="289"/>
        <v>3</v>
      </c>
      <c r="F1551" t="str">
        <f t="shared" si="291"/>
        <v>March</v>
      </c>
      <c r="G1551">
        <f t="shared" si="290"/>
        <v>14</v>
      </c>
      <c r="H1551" s="7">
        <f t="shared" si="292"/>
        <v>-5.7334872864521209</v>
      </c>
      <c r="I1551" s="9">
        <f t="shared" si="293"/>
        <v>-5.9044173801157875E-2</v>
      </c>
      <c r="J1551" s="9">
        <f t="shared" si="294"/>
        <v>40970.585714285713</v>
      </c>
      <c r="K1551" s="9">
        <f t="shared" si="285"/>
        <v>46179.794000000002</v>
      </c>
      <c r="L1551" s="9">
        <f t="shared" si="284"/>
        <v>51044.261111111089</v>
      </c>
      <c r="M1551" s="9">
        <f t="shared" si="295"/>
        <v>5.6829412818141377E-2</v>
      </c>
      <c r="N1551" s="9">
        <f t="shared" si="286"/>
        <v>3.2260895945304957E-2</v>
      </c>
    </row>
    <row r="1552" spans="1:14" x14ac:dyDescent="0.35">
      <c r="A1552" s="1">
        <v>44635</v>
      </c>
      <c r="B1552" s="2" t="s">
        <v>1551</v>
      </c>
      <c r="C1552">
        <f t="shared" si="287"/>
        <v>38604.879999999997</v>
      </c>
      <c r="D1552">
        <f t="shared" si="288"/>
        <v>2022</v>
      </c>
      <c r="E1552">
        <f t="shared" si="289"/>
        <v>3</v>
      </c>
      <c r="F1552" t="str">
        <f t="shared" si="291"/>
        <v>March</v>
      </c>
      <c r="G1552">
        <f t="shared" si="290"/>
        <v>15</v>
      </c>
      <c r="H1552" s="7">
        <f t="shared" si="292"/>
        <v>1.6907774172806513</v>
      </c>
      <c r="I1552" s="9">
        <f t="shared" si="293"/>
        <v>1.6766428758498826E-2</v>
      </c>
      <c r="J1552" s="9">
        <f t="shared" si="294"/>
        <v>40350.307142857135</v>
      </c>
      <c r="K1552" s="9">
        <f t="shared" si="285"/>
        <v>45827.151333333335</v>
      </c>
      <c r="L1552" s="9">
        <f t="shared" si="284"/>
        <v>50843.118222222205</v>
      </c>
      <c r="M1552" s="9">
        <f t="shared" si="295"/>
        <v>5.8438245949299673E-2</v>
      </c>
      <c r="N1552" s="9">
        <f t="shared" si="286"/>
        <v>3.2591398839654957E-2</v>
      </c>
    </row>
    <row r="1553" spans="1:14" x14ac:dyDescent="0.35">
      <c r="A1553" s="1">
        <v>44636</v>
      </c>
      <c r="B1553" s="2" t="s">
        <v>1552</v>
      </c>
      <c r="C1553">
        <f t="shared" si="287"/>
        <v>41579.58</v>
      </c>
      <c r="D1553">
        <f t="shared" si="288"/>
        <v>2022</v>
      </c>
      <c r="E1553">
        <f t="shared" si="289"/>
        <v>3</v>
      </c>
      <c r="F1553" t="str">
        <f t="shared" si="291"/>
        <v>March</v>
      </c>
      <c r="G1553">
        <f t="shared" si="290"/>
        <v>16</v>
      </c>
      <c r="H1553" s="7">
        <f t="shared" si="292"/>
        <v>7.7055025167802746</v>
      </c>
      <c r="I1553" s="9">
        <f t="shared" si="293"/>
        <v>7.4230488018449448E-2</v>
      </c>
      <c r="J1553" s="9">
        <f t="shared" si="294"/>
        <v>39855.054285714286</v>
      </c>
      <c r="K1553" s="9">
        <f t="shared" si="285"/>
        <v>45573.584333333332</v>
      </c>
      <c r="L1553" s="9">
        <f t="shared" si="284"/>
        <v>50677.467888888881</v>
      </c>
      <c r="M1553" s="9">
        <f t="shared" si="295"/>
        <v>6.3808270134342163E-2</v>
      </c>
      <c r="N1553" s="9">
        <f t="shared" si="286"/>
        <v>3.5877308386933551E-2</v>
      </c>
    </row>
    <row r="1554" spans="1:14" x14ac:dyDescent="0.35">
      <c r="A1554" s="1">
        <v>44637</v>
      </c>
      <c r="B1554" s="2" t="s">
        <v>1553</v>
      </c>
      <c r="C1554">
        <f t="shared" si="287"/>
        <v>40500.230000000003</v>
      </c>
      <c r="D1554">
        <f t="shared" si="288"/>
        <v>2022</v>
      </c>
      <c r="E1554">
        <f t="shared" si="289"/>
        <v>3</v>
      </c>
      <c r="F1554" t="str">
        <f t="shared" si="291"/>
        <v>March</v>
      </c>
      <c r="G1554">
        <f t="shared" si="290"/>
        <v>17</v>
      </c>
      <c r="H1554" s="7">
        <f t="shared" si="292"/>
        <v>-2.5958655667036523</v>
      </c>
      <c r="I1554" s="9">
        <f t="shared" si="293"/>
        <v>-2.6301528260036618E-2</v>
      </c>
      <c r="J1554" s="9">
        <f t="shared" si="294"/>
        <v>39762.322857142855</v>
      </c>
      <c r="K1554" s="9">
        <f t="shared" si="285"/>
        <v>45245.701333333323</v>
      </c>
      <c r="L1554" s="9">
        <f t="shared" si="284"/>
        <v>50501.623777777786</v>
      </c>
      <c r="M1554" s="9">
        <f t="shared" si="295"/>
        <v>5.4487735725846261E-2</v>
      </c>
      <c r="N1554" s="9">
        <f t="shared" si="286"/>
        <v>3.5647165702624453E-2</v>
      </c>
    </row>
    <row r="1555" spans="1:14" x14ac:dyDescent="0.35">
      <c r="A1555" s="1">
        <v>44638</v>
      </c>
      <c r="B1555" s="2" t="s">
        <v>1554</v>
      </c>
      <c r="C1555">
        <f t="shared" si="287"/>
        <v>44177.63</v>
      </c>
      <c r="D1555">
        <f t="shared" si="288"/>
        <v>2022</v>
      </c>
      <c r="E1555">
        <f t="shared" si="289"/>
        <v>3</v>
      </c>
      <c r="F1555" t="str">
        <f t="shared" si="291"/>
        <v>March</v>
      </c>
      <c r="G1555">
        <f t="shared" si="290"/>
        <v>18</v>
      </c>
      <c r="H1555" s="7">
        <f t="shared" si="292"/>
        <v>9.0799484348607251</v>
      </c>
      <c r="I1555" s="9">
        <f t="shared" si="293"/>
        <v>8.6910899261468583E-2</v>
      </c>
      <c r="J1555" s="9">
        <f t="shared" si="294"/>
        <v>40194.934285714284</v>
      </c>
      <c r="K1555" s="9">
        <f t="shared" si="285"/>
        <v>45023.047333333321</v>
      </c>
      <c r="L1555" s="9">
        <f t="shared" si="284"/>
        <v>50374.201333333345</v>
      </c>
      <c r="M1555" s="9">
        <f t="shared" si="295"/>
        <v>6.4138844299621342E-2</v>
      </c>
      <c r="N1555" s="9">
        <f t="shared" si="286"/>
        <v>3.9485272566246052E-2</v>
      </c>
    </row>
    <row r="1556" spans="1:14" x14ac:dyDescent="0.35">
      <c r="A1556" s="1">
        <v>44642</v>
      </c>
      <c r="B1556" s="2" t="s">
        <v>1555</v>
      </c>
      <c r="C1556">
        <f t="shared" si="287"/>
        <v>44303.47</v>
      </c>
      <c r="D1556">
        <f t="shared" si="288"/>
        <v>2022</v>
      </c>
      <c r="E1556">
        <f t="shared" si="289"/>
        <v>3</v>
      </c>
      <c r="F1556" t="str">
        <f t="shared" si="291"/>
        <v>March</v>
      </c>
      <c r="G1556">
        <f t="shared" si="290"/>
        <v>22</v>
      </c>
      <c r="H1556" s="7">
        <f t="shared" si="292"/>
        <v>0.28485004741088144</v>
      </c>
      <c r="I1556" s="9">
        <f t="shared" si="293"/>
        <v>2.8444511844131449E-3</v>
      </c>
      <c r="J1556" s="9">
        <f t="shared" si="294"/>
        <v>41057.257142857146</v>
      </c>
      <c r="K1556" s="9">
        <f t="shared" si="285"/>
        <v>44832.188999999991</v>
      </c>
      <c r="L1556" s="9">
        <f t="shared" si="284"/>
        <v>50243.454333333342</v>
      </c>
      <c r="M1556" s="9">
        <f t="shared" si="295"/>
        <v>5.3344055240169136E-2</v>
      </c>
      <c r="N1556" s="9">
        <f t="shared" si="286"/>
        <v>3.9444665011942388E-2</v>
      </c>
    </row>
    <row r="1557" spans="1:14" x14ac:dyDescent="0.35">
      <c r="A1557" s="1">
        <v>44643</v>
      </c>
      <c r="B1557" s="2" t="s">
        <v>1556</v>
      </c>
      <c r="C1557">
        <f t="shared" si="287"/>
        <v>49074.09</v>
      </c>
      <c r="D1557">
        <f t="shared" si="288"/>
        <v>2022</v>
      </c>
      <c r="E1557">
        <f t="shared" si="289"/>
        <v>3</v>
      </c>
      <c r="F1557" t="str">
        <f t="shared" si="291"/>
        <v>March</v>
      </c>
      <c r="G1557">
        <f t="shared" si="290"/>
        <v>23</v>
      </c>
      <c r="H1557" s="7">
        <f t="shared" si="292"/>
        <v>10.76805044841859</v>
      </c>
      <c r="I1557" s="9">
        <f t="shared" si="293"/>
        <v>0.10226819338964734</v>
      </c>
      <c r="J1557" s="9">
        <f t="shared" si="294"/>
        <v>42314.698571428577</v>
      </c>
      <c r="K1557" s="9">
        <f t="shared" si="285"/>
        <v>44817.084333333318</v>
      </c>
      <c r="L1557" s="9">
        <f t="shared" si="284"/>
        <v>50168.341555555569</v>
      </c>
      <c r="M1557" s="9">
        <f t="shared" si="295"/>
        <v>6.1111175817391263E-2</v>
      </c>
      <c r="N1557" s="9">
        <f t="shared" si="286"/>
        <v>4.3930692873325329E-2</v>
      </c>
    </row>
    <row r="1558" spans="1:14" x14ac:dyDescent="0.35">
      <c r="A1558" s="1">
        <v>44644</v>
      </c>
      <c r="B1558" s="2" t="s">
        <v>1557</v>
      </c>
      <c r="C1558">
        <f t="shared" si="287"/>
        <v>49466.01</v>
      </c>
      <c r="D1558">
        <f t="shared" si="288"/>
        <v>2022</v>
      </c>
      <c r="E1558">
        <f t="shared" si="289"/>
        <v>3</v>
      </c>
      <c r="F1558" t="str">
        <f t="shared" si="291"/>
        <v>March</v>
      </c>
      <c r="G1558">
        <f t="shared" si="290"/>
        <v>24</v>
      </c>
      <c r="H1558" s="7">
        <f t="shared" si="292"/>
        <v>0.79862917478450557</v>
      </c>
      <c r="I1558" s="9">
        <f t="shared" si="293"/>
        <v>7.9545701002004931E-3</v>
      </c>
      <c r="J1558" s="9">
        <f t="shared" si="294"/>
        <v>43957.984285714287</v>
      </c>
      <c r="K1558" s="9">
        <f t="shared" si="285"/>
        <v>44812.55733333333</v>
      </c>
      <c r="L1558" s="9">
        <f t="shared" si="284"/>
        <v>50091.051222222239</v>
      </c>
      <c r="M1558" s="9">
        <f t="shared" si="295"/>
        <v>4.9259965479082284E-2</v>
      </c>
      <c r="N1558" s="9">
        <f t="shared" si="286"/>
        <v>4.3955637296133589E-2</v>
      </c>
    </row>
    <row r="1559" spans="1:14" x14ac:dyDescent="0.35">
      <c r="A1559" s="1">
        <v>44645</v>
      </c>
      <c r="B1559" s="2" t="s">
        <v>1558</v>
      </c>
      <c r="C1559">
        <f t="shared" si="287"/>
        <v>48819.55</v>
      </c>
      <c r="D1559">
        <f t="shared" si="288"/>
        <v>2022</v>
      </c>
      <c r="E1559">
        <f t="shared" si="289"/>
        <v>3</v>
      </c>
      <c r="F1559" t="str">
        <f t="shared" si="291"/>
        <v>March</v>
      </c>
      <c r="G1559">
        <f t="shared" si="290"/>
        <v>25</v>
      </c>
      <c r="H1559" s="7">
        <f t="shared" si="292"/>
        <v>-1.3068771869815234</v>
      </c>
      <c r="I1559" s="9">
        <f t="shared" si="293"/>
        <v>-1.3154919655908471E-2</v>
      </c>
      <c r="J1559" s="9">
        <f t="shared" si="294"/>
        <v>45417.222857142857</v>
      </c>
      <c r="K1559" s="9">
        <f t="shared" si="285"/>
        <v>44836.259333333328</v>
      </c>
      <c r="L1559" s="9">
        <f t="shared" si="284"/>
        <v>50008.32</v>
      </c>
      <c r="M1559" s="9">
        <f t="shared" si="295"/>
        <v>5.2576908945225549E-2</v>
      </c>
      <c r="N1559" s="9">
        <f t="shared" si="286"/>
        <v>4.3653224043185147E-2</v>
      </c>
    </row>
    <row r="1560" spans="1:14" x14ac:dyDescent="0.35">
      <c r="A1560" s="1">
        <v>44648</v>
      </c>
      <c r="B1560" s="2" t="s">
        <v>1559</v>
      </c>
      <c r="C1560">
        <f t="shared" si="287"/>
        <v>52064.72</v>
      </c>
      <c r="D1560">
        <f t="shared" si="288"/>
        <v>2022</v>
      </c>
      <c r="E1560">
        <f t="shared" si="289"/>
        <v>3</v>
      </c>
      <c r="F1560" t="str">
        <f t="shared" si="291"/>
        <v>March</v>
      </c>
      <c r="G1560">
        <f t="shared" si="290"/>
        <v>28</v>
      </c>
      <c r="H1560" s="7">
        <f t="shared" si="292"/>
        <v>6.6472755279391098</v>
      </c>
      <c r="I1560" s="9">
        <f t="shared" si="293"/>
        <v>6.4356712685845335E-2</v>
      </c>
      <c r="J1560" s="9">
        <f t="shared" si="294"/>
        <v>46915.099999999991</v>
      </c>
      <c r="K1560" s="9">
        <f t="shared" si="285"/>
        <v>44984.120999999999</v>
      </c>
      <c r="L1560" s="9">
        <f t="shared" si="284"/>
        <v>49965.574666666667</v>
      </c>
      <c r="M1560" s="9">
        <f t="shared" si="295"/>
        <v>5.1422978305531206E-2</v>
      </c>
      <c r="N1560" s="9">
        <f t="shared" si="286"/>
        <v>4.5123112962533414E-2</v>
      </c>
    </row>
    <row r="1561" spans="1:14" x14ac:dyDescent="0.35">
      <c r="A1561" s="1">
        <v>44649</v>
      </c>
      <c r="B1561" s="2" t="s">
        <v>1560</v>
      </c>
      <c r="C1561">
        <f t="shared" si="287"/>
        <v>52936.27</v>
      </c>
      <c r="D1561">
        <f t="shared" si="288"/>
        <v>2022</v>
      </c>
      <c r="E1561">
        <f t="shared" si="289"/>
        <v>3</v>
      </c>
      <c r="F1561" t="str">
        <f t="shared" si="291"/>
        <v>March</v>
      </c>
      <c r="G1561">
        <f t="shared" si="290"/>
        <v>29</v>
      </c>
      <c r="H1561" s="7">
        <f t="shared" si="292"/>
        <v>1.6739742382173486</v>
      </c>
      <c r="I1561" s="9">
        <f t="shared" si="293"/>
        <v>1.6601177121086268E-2</v>
      </c>
      <c r="J1561" s="9">
        <f t="shared" si="294"/>
        <v>48691.677142857145</v>
      </c>
      <c r="K1561" s="9">
        <f t="shared" si="285"/>
        <v>45120.345999999998</v>
      </c>
      <c r="L1561" s="9">
        <f t="shared" si="284"/>
        <v>49934.539333333334</v>
      </c>
      <c r="M1561" s="9">
        <f t="shared" si="295"/>
        <v>4.5516069996684352E-2</v>
      </c>
      <c r="N1561" s="9">
        <f t="shared" si="286"/>
        <v>4.5002354382059809E-2</v>
      </c>
    </row>
    <row r="1562" spans="1:14" x14ac:dyDescent="0.35">
      <c r="A1562" s="1">
        <v>44650</v>
      </c>
      <c r="B1562" s="2" t="s">
        <v>1561</v>
      </c>
      <c r="C1562">
        <f t="shared" si="287"/>
        <v>52926.75</v>
      </c>
      <c r="D1562">
        <f t="shared" si="288"/>
        <v>2022</v>
      </c>
      <c r="E1562">
        <f t="shared" si="289"/>
        <v>3</v>
      </c>
      <c r="F1562" t="str">
        <f t="shared" si="291"/>
        <v>March</v>
      </c>
      <c r="G1562">
        <f t="shared" si="290"/>
        <v>30</v>
      </c>
      <c r="H1562" s="7">
        <f t="shared" si="292"/>
        <v>-1.7983888929077926E-2</v>
      </c>
      <c r="I1562" s="9">
        <f t="shared" si="293"/>
        <v>-1.7985506224283676E-4</v>
      </c>
      <c r="J1562" s="9">
        <f t="shared" si="294"/>
        <v>49941.551428571423</v>
      </c>
      <c r="K1562" s="9">
        <f t="shared" si="285"/>
        <v>45246.749333333333</v>
      </c>
      <c r="L1562" s="9">
        <f t="shared" si="284"/>
        <v>49900.980444444445</v>
      </c>
      <c r="M1562" s="9">
        <f t="shared" si="295"/>
        <v>4.1746211593232864E-2</v>
      </c>
      <c r="N1562" s="9">
        <f t="shared" si="286"/>
        <v>4.5001242292548142E-2</v>
      </c>
    </row>
    <row r="1563" spans="1:14" x14ac:dyDescent="0.35">
      <c r="A1563" s="1">
        <v>44651</v>
      </c>
      <c r="B1563" s="2" t="s">
        <v>1562</v>
      </c>
      <c r="C1563">
        <f t="shared" si="287"/>
        <v>52957.85</v>
      </c>
      <c r="D1563">
        <f t="shared" si="288"/>
        <v>2022</v>
      </c>
      <c r="E1563">
        <f t="shared" si="289"/>
        <v>3</v>
      </c>
      <c r="F1563" t="str">
        <f t="shared" si="291"/>
        <v>March</v>
      </c>
      <c r="G1563">
        <f t="shared" si="290"/>
        <v>31</v>
      </c>
      <c r="H1563" s="7">
        <f t="shared" si="292"/>
        <v>5.8760456668883965E-2</v>
      </c>
      <c r="I1563" s="9">
        <f t="shared" si="293"/>
        <v>5.8743199472483638E-4</v>
      </c>
      <c r="J1563" s="9">
        <f t="shared" si="294"/>
        <v>51177.891428571427</v>
      </c>
      <c r="K1563" s="9">
        <f t="shared" si="285"/>
        <v>45403.840666666663</v>
      </c>
      <c r="L1563" s="9">
        <f t="shared" si="284"/>
        <v>49872.389333333333</v>
      </c>
      <c r="M1563" s="9">
        <f t="shared" si="295"/>
        <v>4.1961339299696344E-2</v>
      </c>
      <c r="N1563" s="9">
        <f t="shared" si="286"/>
        <v>4.4832822668852794E-2</v>
      </c>
    </row>
    <row r="1564" spans="1:14" x14ac:dyDescent="0.35">
      <c r="A1564" s="1">
        <v>44652</v>
      </c>
      <c r="B1564" s="2" t="s">
        <v>1563</v>
      </c>
      <c r="C1564">
        <f t="shared" si="287"/>
        <v>51840.09</v>
      </c>
      <c r="D1564">
        <f t="shared" si="288"/>
        <v>2022</v>
      </c>
      <c r="E1564">
        <f t="shared" si="289"/>
        <v>4</v>
      </c>
      <c r="F1564" t="str">
        <f t="shared" si="291"/>
        <v>April</v>
      </c>
      <c r="G1564">
        <f t="shared" si="290"/>
        <v>1</v>
      </c>
      <c r="H1564" s="7">
        <f t="shared" si="292"/>
        <v>-2.1106597038965931</v>
      </c>
      <c r="I1564" s="9">
        <f t="shared" si="293"/>
        <v>-2.1332525974324897E-2</v>
      </c>
      <c r="J1564" s="9">
        <f t="shared" si="294"/>
        <v>51573.034285714282</v>
      </c>
      <c r="K1564" s="9">
        <f t="shared" si="285"/>
        <v>45521.800999999999</v>
      </c>
      <c r="L1564" s="9">
        <f t="shared" ref="L1564:L1627" si="296">AVERAGE(C1475:C1564)</f>
        <v>49823.951888888885</v>
      </c>
      <c r="M1564" s="9">
        <f t="shared" si="295"/>
        <v>2.7927437475106082E-2</v>
      </c>
      <c r="N1564" s="9">
        <f t="shared" si="286"/>
        <v>4.505403262916368E-2</v>
      </c>
    </row>
    <row r="1565" spans="1:14" x14ac:dyDescent="0.35">
      <c r="A1565" s="1">
        <v>44655</v>
      </c>
      <c r="B1565" s="2" t="s">
        <v>1564</v>
      </c>
      <c r="C1565">
        <f t="shared" si="287"/>
        <v>51038.18</v>
      </c>
      <c r="D1565">
        <f t="shared" si="288"/>
        <v>2022</v>
      </c>
      <c r="E1565">
        <f t="shared" si="289"/>
        <v>4</v>
      </c>
      <c r="F1565" t="str">
        <f t="shared" si="291"/>
        <v>April</v>
      </c>
      <c r="G1565">
        <f t="shared" si="290"/>
        <v>4</v>
      </c>
      <c r="H1565" s="7">
        <f t="shared" si="292"/>
        <v>-1.5468916045477472</v>
      </c>
      <c r="I1565" s="9">
        <f t="shared" si="293"/>
        <v>-1.5589808060071432E-2</v>
      </c>
      <c r="J1565" s="9">
        <f t="shared" si="294"/>
        <v>51797.63</v>
      </c>
      <c r="K1565" s="9">
        <f t="shared" si="285"/>
        <v>45560.59</v>
      </c>
      <c r="L1565" s="9">
        <f t="shared" si="296"/>
        <v>49775.288444444435</v>
      </c>
      <c r="M1565" s="9">
        <f t="shared" si="295"/>
        <v>2.9294718919853351E-2</v>
      </c>
      <c r="N1565" s="9">
        <f t="shared" si="286"/>
        <v>4.4810225803522806E-2</v>
      </c>
    </row>
    <row r="1566" spans="1:14" x14ac:dyDescent="0.35">
      <c r="A1566" s="1">
        <v>44656</v>
      </c>
      <c r="B1566" s="2" t="s">
        <v>1565</v>
      </c>
      <c r="C1566">
        <f t="shared" si="287"/>
        <v>53444.83</v>
      </c>
      <c r="D1566">
        <f t="shared" si="288"/>
        <v>2022</v>
      </c>
      <c r="E1566">
        <f t="shared" si="289"/>
        <v>4</v>
      </c>
      <c r="F1566" t="str">
        <f t="shared" si="291"/>
        <v>April</v>
      </c>
      <c r="G1566">
        <f t="shared" si="290"/>
        <v>5</v>
      </c>
      <c r="H1566" s="7">
        <f t="shared" si="292"/>
        <v>4.7153914971105975</v>
      </c>
      <c r="I1566" s="9">
        <f t="shared" si="293"/>
        <v>4.6075926787182357E-2</v>
      </c>
      <c r="J1566" s="9">
        <f t="shared" si="294"/>
        <v>52458.384285714288</v>
      </c>
      <c r="K1566" s="9">
        <f t="shared" si="285"/>
        <v>45741.699000000008</v>
      </c>
      <c r="L1566" s="9">
        <f t="shared" si="296"/>
        <v>49749.254333333331</v>
      </c>
      <c r="M1566" s="9">
        <f t="shared" si="295"/>
        <v>3.1802369389260066E-2</v>
      </c>
      <c r="N1566" s="9">
        <f t="shared" si="286"/>
        <v>4.4928735362770811E-2</v>
      </c>
    </row>
    <row r="1567" spans="1:14" x14ac:dyDescent="0.35">
      <c r="A1567" s="1">
        <v>44657</v>
      </c>
      <c r="B1567" s="2" t="s">
        <v>1566</v>
      </c>
      <c r="C1567">
        <f t="shared" si="287"/>
        <v>55047.199999999997</v>
      </c>
      <c r="D1567">
        <f t="shared" si="288"/>
        <v>2022</v>
      </c>
      <c r="E1567">
        <f t="shared" si="289"/>
        <v>4</v>
      </c>
      <c r="F1567" t="str">
        <f t="shared" si="291"/>
        <v>April</v>
      </c>
      <c r="G1567">
        <f t="shared" si="290"/>
        <v>6</v>
      </c>
      <c r="H1567" s="7">
        <f t="shared" si="292"/>
        <v>2.9981758759453352</v>
      </c>
      <c r="I1567" s="9">
        <f t="shared" si="293"/>
        <v>2.9541092142443177E-2</v>
      </c>
      <c r="J1567" s="9">
        <f t="shared" si="294"/>
        <v>52884.452857142853</v>
      </c>
      <c r="K1567" s="9">
        <f t="shared" si="285"/>
        <v>46020.275666666668</v>
      </c>
      <c r="L1567" s="9">
        <f t="shared" si="296"/>
        <v>49740.104444444449</v>
      </c>
      <c r="M1567" s="9">
        <f t="shared" si="295"/>
        <v>2.4243538152164321E-2</v>
      </c>
      <c r="N1567" s="9">
        <f t="shared" si="286"/>
        <v>4.4764500689622823E-2</v>
      </c>
    </row>
    <row r="1568" spans="1:14" x14ac:dyDescent="0.35">
      <c r="A1568" s="1">
        <v>44658</v>
      </c>
      <c r="B1568" s="2" t="s">
        <v>1567</v>
      </c>
      <c r="C1568">
        <f t="shared" si="287"/>
        <v>54809.51</v>
      </c>
      <c r="D1568">
        <f t="shared" si="288"/>
        <v>2022</v>
      </c>
      <c r="E1568">
        <f t="shared" si="289"/>
        <v>4</v>
      </c>
      <c r="F1568" t="str">
        <f t="shared" si="291"/>
        <v>April</v>
      </c>
      <c r="G1568">
        <f t="shared" si="290"/>
        <v>7</v>
      </c>
      <c r="H1568" s="7">
        <f t="shared" si="292"/>
        <v>-0.43179307939367501</v>
      </c>
      <c r="I1568" s="9">
        <f t="shared" si="293"/>
        <v>-4.3272799795713484E-3</v>
      </c>
      <c r="J1568" s="9">
        <f t="shared" si="294"/>
        <v>53152.058571428577</v>
      </c>
      <c r="K1568" s="9">
        <f t="shared" ref="K1568:K1631" si="297">AVERAGE(C1539:C1568)</f>
        <v>46264.035333333333</v>
      </c>
      <c r="L1568" s="9">
        <f t="shared" si="296"/>
        <v>49735.279000000002</v>
      </c>
      <c r="M1568" s="9">
        <f t="shared" si="295"/>
        <v>2.4290367289947996E-2</v>
      </c>
      <c r="N1568" s="9">
        <f t="shared" si="286"/>
        <v>4.4743474074027526E-2</v>
      </c>
    </row>
    <row r="1569" spans="1:14" x14ac:dyDescent="0.35">
      <c r="A1569" s="1">
        <v>44659</v>
      </c>
      <c r="B1569" s="2" t="s">
        <v>1568</v>
      </c>
      <c r="C1569">
        <f t="shared" si="287"/>
        <v>54881.56</v>
      </c>
      <c r="D1569">
        <f t="shared" si="288"/>
        <v>2022</v>
      </c>
      <c r="E1569">
        <f t="shared" si="289"/>
        <v>4</v>
      </c>
      <c r="F1569" t="str">
        <f t="shared" si="291"/>
        <v>April</v>
      </c>
      <c r="G1569">
        <f t="shared" si="290"/>
        <v>8</v>
      </c>
      <c r="H1569" s="7">
        <f t="shared" si="292"/>
        <v>0.13145528941965662</v>
      </c>
      <c r="I1569" s="9">
        <f t="shared" si="293"/>
        <v>1.3136896259989636E-3</v>
      </c>
      <c r="J1569" s="9">
        <f t="shared" si="294"/>
        <v>53431.317142857144</v>
      </c>
      <c r="K1569" s="9">
        <f t="shared" si="297"/>
        <v>46552.075666666664</v>
      </c>
      <c r="L1569" s="9">
        <f t="shared" si="296"/>
        <v>49735.670999999995</v>
      </c>
      <c r="M1569" s="9">
        <f t="shared" si="295"/>
        <v>2.4244129865329655E-2</v>
      </c>
      <c r="N1569" s="9">
        <f t="shared" ref="N1569:N1632" si="298">STDEV(I1540:I1569)</f>
        <v>4.4351886961326289E-2</v>
      </c>
    </row>
    <row r="1570" spans="1:14" x14ac:dyDescent="0.35">
      <c r="A1570" s="1">
        <v>44662</v>
      </c>
      <c r="B1570" s="2" t="s">
        <v>1569</v>
      </c>
      <c r="C1570">
        <f t="shared" si="287"/>
        <v>57336.21</v>
      </c>
      <c r="D1570">
        <f t="shared" si="288"/>
        <v>2022</v>
      </c>
      <c r="E1570">
        <f t="shared" si="289"/>
        <v>4</v>
      </c>
      <c r="F1570" t="str">
        <f t="shared" si="291"/>
        <v>April</v>
      </c>
      <c r="G1570">
        <f t="shared" si="290"/>
        <v>11</v>
      </c>
      <c r="H1570" s="7">
        <f t="shared" si="292"/>
        <v>4.4726316088682641</v>
      </c>
      <c r="I1570" s="9">
        <f t="shared" si="293"/>
        <v>4.3754952635648797E-2</v>
      </c>
      <c r="J1570" s="9">
        <f t="shared" si="294"/>
        <v>54056.797142857147</v>
      </c>
      <c r="K1570" s="9">
        <f t="shared" si="297"/>
        <v>46976.659333333337</v>
      </c>
      <c r="L1570" s="9">
        <f t="shared" si="296"/>
        <v>49766.941111111111</v>
      </c>
      <c r="M1570" s="9">
        <f t="shared" si="295"/>
        <v>2.8069236267747238E-2</v>
      </c>
      <c r="N1570" s="9">
        <f t="shared" si="298"/>
        <v>4.4150205265480788E-2</v>
      </c>
    </row>
    <row r="1571" spans="1:14" x14ac:dyDescent="0.35">
      <c r="A1571" s="1">
        <v>44663</v>
      </c>
      <c r="B1571" s="2" t="s">
        <v>1570</v>
      </c>
      <c r="C1571">
        <f t="shared" si="287"/>
        <v>57793.03</v>
      </c>
      <c r="D1571">
        <f t="shared" si="288"/>
        <v>2022</v>
      </c>
      <c r="E1571">
        <f t="shared" si="289"/>
        <v>4</v>
      </c>
      <c r="F1571" t="str">
        <f t="shared" si="291"/>
        <v>April</v>
      </c>
      <c r="G1571">
        <f t="shared" si="290"/>
        <v>12</v>
      </c>
      <c r="H1571" s="7">
        <f t="shared" si="292"/>
        <v>0.796739093846628</v>
      </c>
      <c r="I1571" s="9">
        <f t="shared" si="293"/>
        <v>7.9358188664379326E-3</v>
      </c>
      <c r="J1571" s="9">
        <f t="shared" si="294"/>
        <v>54907.217142857146</v>
      </c>
      <c r="K1571" s="9">
        <f t="shared" si="297"/>
        <v>47401.070666666674</v>
      </c>
      <c r="L1571" s="9">
        <f t="shared" si="296"/>
        <v>49802.22822222222</v>
      </c>
      <c r="M1571" s="9">
        <f t="shared" si="295"/>
        <v>2.4319201545026883E-2</v>
      </c>
      <c r="N1571" s="9">
        <f t="shared" si="298"/>
        <v>4.4148750642111073E-2</v>
      </c>
    </row>
    <row r="1572" spans="1:14" x14ac:dyDescent="0.35">
      <c r="A1572" s="1">
        <v>44664</v>
      </c>
      <c r="B1572" s="2" t="s">
        <v>1571</v>
      </c>
      <c r="C1572">
        <f t="shared" si="287"/>
        <v>57940.97</v>
      </c>
      <c r="D1572">
        <f t="shared" si="288"/>
        <v>2022</v>
      </c>
      <c r="E1572">
        <f t="shared" si="289"/>
        <v>4</v>
      </c>
      <c r="F1572" t="str">
        <f t="shared" si="291"/>
        <v>April</v>
      </c>
      <c r="G1572">
        <f t="shared" si="290"/>
        <v>13</v>
      </c>
      <c r="H1572" s="7">
        <f t="shared" si="292"/>
        <v>0.25598242556239453</v>
      </c>
      <c r="I1572" s="9">
        <f t="shared" si="293"/>
        <v>2.5565534860552343E-3</v>
      </c>
      <c r="J1572" s="9">
        <f t="shared" si="294"/>
        <v>55893.329999999994</v>
      </c>
      <c r="K1572" s="9">
        <f t="shared" si="297"/>
        <v>47874.688333333332</v>
      </c>
      <c r="L1572" s="9">
        <f t="shared" si="296"/>
        <v>49848.375444444442</v>
      </c>
      <c r="M1572" s="9">
        <f t="shared" si="295"/>
        <v>2.1218689984660134E-2</v>
      </c>
      <c r="N1572" s="9">
        <f t="shared" si="298"/>
        <v>4.3573803936297228E-2</v>
      </c>
    </row>
    <row r="1573" spans="1:14" x14ac:dyDescent="0.35">
      <c r="A1573" s="1">
        <v>44665</v>
      </c>
      <c r="B1573" s="2" t="s">
        <v>1572</v>
      </c>
      <c r="C1573">
        <f t="shared" si="287"/>
        <v>57714.66</v>
      </c>
      <c r="D1573">
        <f t="shared" si="288"/>
        <v>2022</v>
      </c>
      <c r="E1573">
        <f t="shared" si="289"/>
        <v>4</v>
      </c>
      <c r="F1573" t="str">
        <f t="shared" si="291"/>
        <v>April</v>
      </c>
      <c r="G1573">
        <f t="shared" si="290"/>
        <v>14</v>
      </c>
      <c r="H1573" s="7">
        <f t="shared" si="292"/>
        <v>-0.39058717864060211</v>
      </c>
      <c r="I1573" s="9">
        <f t="shared" si="293"/>
        <v>-3.9135196244238502E-3</v>
      </c>
      <c r="J1573" s="9">
        <f t="shared" si="294"/>
        <v>56503.305714285714</v>
      </c>
      <c r="K1573" s="9">
        <f t="shared" si="297"/>
        <v>48315.5</v>
      </c>
      <c r="L1573" s="9">
        <f t="shared" si="296"/>
        <v>49885.623222222217</v>
      </c>
      <c r="M1573" s="9">
        <f t="shared" si="295"/>
        <v>1.8477465802588761E-2</v>
      </c>
      <c r="N1573" s="9">
        <f t="shared" si="298"/>
        <v>4.3613723100400341E-2</v>
      </c>
    </row>
    <row r="1574" spans="1:14" x14ac:dyDescent="0.35">
      <c r="A1574" s="1">
        <v>44670</v>
      </c>
      <c r="B1574" s="2" t="s">
        <v>1573</v>
      </c>
      <c r="C1574">
        <f t="shared" si="287"/>
        <v>58187.96</v>
      </c>
      <c r="D1574">
        <f t="shared" si="288"/>
        <v>2022</v>
      </c>
      <c r="E1574">
        <f t="shared" si="289"/>
        <v>4</v>
      </c>
      <c r="F1574" t="str">
        <f t="shared" si="291"/>
        <v>April</v>
      </c>
      <c r="G1574">
        <f t="shared" si="290"/>
        <v>19</v>
      </c>
      <c r="H1574" s="7">
        <f t="shared" si="292"/>
        <v>0.82006893915687207</v>
      </c>
      <c r="I1574" s="9">
        <f t="shared" si="293"/>
        <v>8.1672464506951491E-3</v>
      </c>
      <c r="J1574" s="9">
        <f t="shared" si="294"/>
        <v>56951.985714285729</v>
      </c>
      <c r="K1574" s="9">
        <f t="shared" si="297"/>
        <v>48807.977666666658</v>
      </c>
      <c r="L1574" s="9">
        <f t="shared" si="296"/>
        <v>49930.58388888889</v>
      </c>
      <c r="M1574" s="9">
        <f t="shared" si="295"/>
        <v>1.656624499049052E-2</v>
      </c>
      <c r="N1574" s="9">
        <f t="shared" si="298"/>
        <v>4.3162410056524693E-2</v>
      </c>
    </row>
    <row r="1575" spans="1:14" x14ac:dyDescent="0.35">
      <c r="A1575" s="1">
        <v>44671</v>
      </c>
      <c r="B1575" s="2" t="s">
        <v>1574</v>
      </c>
      <c r="C1575">
        <f t="shared" si="287"/>
        <v>57861.760000000002</v>
      </c>
      <c r="D1575">
        <f t="shared" si="288"/>
        <v>2022</v>
      </c>
      <c r="E1575">
        <f t="shared" si="289"/>
        <v>4</v>
      </c>
      <c r="F1575" t="str">
        <f t="shared" si="291"/>
        <v>April</v>
      </c>
      <c r="G1575">
        <f t="shared" si="290"/>
        <v>20</v>
      </c>
      <c r="H1575" s="7">
        <f t="shared" si="292"/>
        <v>-0.56059707197158504</v>
      </c>
      <c r="I1575" s="9">
        <f t="shared" si="293"/>
        <v>-5.6217431477042813E-3</v>
      </c>
      <c r="J1575" s="9">
        <f t="shared" si="294"/>
        <v>57388.021428571432</v>
      </c>
      <c r="K1575" s="9">
        <f t="shared" si="297"/>
        <v>49305.141999999993</v>
      </c>
      <c r="L1575" s="9">
        <f t="shared" si="296"/>
        <v>49977.402888888886</v>
      </c>
      <c r="M1575" s="9">
        <f t="shared" si="295"/>
        <v>1.6732224180392996E-2</v>
      </c>
      <c r="N1575" s="9">
        <f t="shared" si="298"/>
        <v>4.3087453135522168E-2</v>
      </c>
    </row>
    <row r="1576" spans="1:14" x14ac:dyDescent="0.35">
      <c r="A1576" s="1">
        <v>44672</v>
      </c>
      <c r="B1576" s="2" t="s">
        <v>1575</v>
      </c>
      <c r="C1576">
        <f t="shared" si="287"/>
        <v>57835.69</v>
      </c>
      <c r="D1576">
        <f t="shared" si="288"/>
        <v>2022</v>
      </c>
      <c r="E1576">
        <f t="shared" si="289"/>
        <v>4</v>
      </c>
      <c r="F1576" t="str">
        <f t="shared" si="291"/>
        <v>April</v>
      </c>
      <c r="G1576">
        <f t="shared" si="290"/>
        <v>21</v>
      </c>
      <c r="H1576" s="7">
        <f t="shared" si="292"/>
        <v>-4.505566370604646E-2</v>
      </c>
      <c r="I1576" s="9">
        <f t="shared" si="293"/>
        <v>-4.5065816820027055E-4</v>
      </c>
      <c r="J1576" s="9">
        <f t="shared" si="294"/>
        <v>57810.04</v>
      </c>
      <c r="K1576" s="9">
        <f t="shared" si="297"/>
        <v>49731.453333333324</v>
      </c>
      <c r="L1576" s="9">
        <f t="shared" si="296"/>
        <v>50020.976666666662</v>
      </c>
      <c r="M1576" s="9">
        <f t="shared" si="295"/>
        <v>1.6858011060365764E-2</v>
      </c>
      <c r="N1576" s="9">
        <f t="shared" si="298"/>
        <v>4.2524459823122487E-2</v>
      </c>
    </row>
    <row r="1577" spans="1:14" x14ac:dyDescent="0.35">
      <c r="A1577" s="1">
        <v>44673</v>
      </c>
      <c r="B1577" s="2" t="s">
        <v>1576</v>
      </c>
      <c r="C1577">
        <f t="shared" si="287"/>
        <v>57744.13</v>
      </c>
      <c r="D1577">
        <f t="shared" si="288"/>
        <v>2022</v>
      </c>
      <c r="E1577">
        <f t="shared" si="289"/>
        <v>4</v>
      </c>
      <c r="F1577" t="str">
        <f t="shared" si="291"/>
        <v>April</v>
      </c>
      <c r="G1577">
        <f t="shared" si="290"/>
        <v>22</v>
      </c>
      <c r="H1577" s="7">
        <f t="shared" si="292"/>
        <v>-0.15831055184092202</v>
      </c>
      <c r="I1577" s="9">
        <f t="shared" si="293"/>
        <v>-1.584359954061253E-3</v>
      </c>
      <c r="J1577" s="9">
        <f t="shared" si="294"/>
        <v>57868.314285714288</v>
      </c>
      <c r="K1577" s="9">
        <f t="shared" si="297"/>
        <v>50284.612666666653</v>
      </c>
      <c r="L1577" s="9">
        <f t="shared" si="296"/>
        <v>50057.603333333333</v>
      </c>
      <c r="M1577" s="9">
        <f t="shared" si="295"/>
        <v>5.4569559053040968E-3</v>
      </c>
      <c r="N1577" s="9">
        <f t="shared" si="298"/>
        <v>3.8287551721288504E-2</v>
      </c>
    </row>
    <row r="1578" spans="1:14" x14ac:dyDescent="0.35">
      <c r="A1578" s="1">
        <v>44676</v>
      </c>
      <c r="B1578" s="2" t="s">
        <v>1577</v>
      </c>
      <c r="C1578">
        <f t="shared" si="287"/>
        <v>56981.2</v>
      </c>
      <c r="D1578">
        <f t="shared" si="288"/>
        <v>2022</v>
      </c>
      <c r="E1578">
        <f t="shared" si="289"/>
        <v>4</v>
      </c>
      <c r="F1578" t="str">
        <f t="shared" si="291"/>
        <v>April</v>
      </c>
      <c r="G1578">
        <f t="shared" si="290"/>
        <v>25</v>
      </c>
      <c r="H1578" s="7">
        <f t="shared" si="292"/>
        <v>-1.3212252050554754</v>
      </c>
      <c r="I1578" s="9">
        <f t="shared" si="293"/>
        <v>-1.3300310344989493E-2</v>
      </c>
      <c r="J1578" s="9">
        <f t="shared" si="294"/>
        <v>57752.338571428576</v>
      </c>
      <c r="K1578" s="9">
        <f t="shared" si="297"/>
        <v>50812.340999999986</v>
      </c>
      <c r="L1578" s="9">
        <f t="shared" si="296"/>
        <v>50074.339666666667</v>
      </c>
      <c r="M1578" s="9">
        <f t="shared" si="295"/>
        <v>6.7228567000091792E-3</v>
      </c>
      <c r="N1578" s="9">
        <f t="shared" si="298"/>
        <v>3.8499254467138186E-2</v>
      </c>
    </row>
    <row r="1579" spans="1:14" x14ac:dyDescent="0.35">
      <c r="A1579" s="1">
        <v>44677</v>
      </c>
      <c r="B1579" s="2" t="s">
        <v>1578</v>
      </c>
      <c r="C1579">
        <f t="shared" si="287"/>
        <v>56847.74</v>
      </c>
      <c r="D1579">
        <f t="shared" si="288"/>
        <v>2022</v>
      </c>
      <c r="E1579">
        <f t="shared" si="289"/>
        <v>4</v>
      </c>
      <c r="F1579" t="str">
        <f t="shared" si="291"/>
        <v>April</v>
      </c>
      <c r="G1579">
        <f t="shared" si="290"/>
        <v>26</v>
      </c>
      <c r="H1579" s="7">
        <f t="shared" si="292"/>
        <v>-0.23421760159491051</v>
      </c>
      <c r="I1579" s="9">
        <f t="shared" si="293"/>
        <v>-2.3449232006256177E-3</v>
      </c>
      <c r="J1579" s="9">
        <f t="shared" si="294"/>
        <v>57596.162857142859</v>
      </c>
      <c r="K1579" s="9">
        <f t="shared" si="297"/>
        <v>51431.691999999988</v>
      </c>
      <c r="L1579" s="9">
        <f t="shared" si="296"/>
        <v>50103.423777777782</v>
      </c>
      <c r="M1579" s="9">
        <f t="shared" si="295"/>
        <v>6.4148261624518491E-3</v>
      </c>
      <c r="N1579" s="9">
        <f t="shared" si="298"/>
        <v>3.5246262628117961E-2</v>
      </c>
    </row>
    <row r="1580" spans="1:14" x14ac:dyDescent="0.35">
      <c r="A1580" s="1">
        <v>44679</v>
      </c>
      <c r="B1580" s="2" t="s">
        <v>1579</v>
      </c>
      <c r="C1580">
        <f t="shared" si="287"/>
        <v>57276.49</v>
      </c>
      <c r="D1580">
        <f t="shared" si="288"/>
        <v>2022</v>
      </c>
      <c r="E1580">
        <f t="shared" si="289"/>
        <v>4</v>
      </c>
      <c r="F1580" t="str">
        <f t="shared" si="291"/>
        <v>April</v>
      </c>
      <c r="G1580">
        <f t="shared" si="290"/>
        <v>28</v>
      </c>
      <c r="H1580" s="7">
        <f t="shared" si="292"/>
        <v>0.75420764308308474</v>
      </c>
      <c r="I1580" s="9">
        <f t="shared" si="293"/>
        <v>7.5137771734226392E-3</v>
      </c>
      <c r="J1580" s="9">
        <f t="shared" si="294"/>
        <v>57533.567142857137</v>
      </c>
      <c r="K1580" s="9">
        <f t="shared" si="297"/>
        <v>51998.508333333317</v>
      </c>
      <c r="L1580" s="9">
        <f t="shared" si="296"/>
        <v>50137.335888888891</v>
      </c>
      <c r="M1580" s="9">
        <f t="shared" si="295"/>
        <v>7.4339081075888245E-3</v>
      </c>
      <c r="N1580" s="9">
        <f t="shared" si="298"/>
        <v>3.4522130366442028E-2</v>
      </c>
    </row>
    <row r="1581" spans="1:14" x14ac:dyDescent="0.35">
      <c r="A1581" s="1">
        <v>44680</v>
      </c>
      <c r="B1581" s="2" t="s">
        <v>1580</v>
      </c>
      <c r="C1581">
        <f t="shared" si="287"/>
        <v>57531.49</v>
      </c>
      <c r="D1581">
        <f t="shared" si="288"/>
        <v>2022</v>
      </c>
      <c r="E1581">
        <f t="shared" si="289"/>
        <v>4</v>
      </c>
      <c r="F1581" t="str">
        <f t="shared" si="291"/>
        <v>April</v>
      </c>
      <c r="G1581">
        <f t="shared" si="290"/>
        <v>29</v>
      </c>
      <c r="H1581" s="7">
        <f t="shared" si="292"/>
        <v>0.44520884572361197</v>
      </c>
      <c r="I1581" s="9">
        <f t="shared" si="293"/>
        <v>4.4422072286346079E-3</v>
      </c>
      <c r="J1581" s="9">
        <f t="shared" si="294"/>
        <v>57439.785714285717</v>
      </c>
      <c r="K1581" s="9">
        <f t="shared" si="297"/>
        <v>52650.790999999983</v>
      </c>
      <c r="L1581" s="9">
        <f t="shared" si="296"/>
        <v>50177.227777777785</v>
      </c>
      <c r="M1581" s="9">
        <f t="shared" si="295"/>
        <v>6.764046852423297E-3</v>
      </c>
      <c r="N1581" s="9">
        <f t="shared" si="298"/>
        <v>3.1877952506410893E-2</v>
      </c>
    </row>
    <row r="1582" spans="1:14" x14ac:dyDescent="0.35">
      <c r="A1582" s="1">
        <v>44684</v>
      </c>
      <c r="B1582" s="2" t="s">
        <v>1581</v>
      </c>
      <c r="C1582">
        <f t="shared" si="287"/>
        <v>57426.2</v>
      </c>
      <c r="D1582">
        <f t="shared" si="288"/>
        <v>2022</v>
      </c>
      <c r="E1582">
        <f t="shared" si="289"/>
        <v>5</v>
      </c>
      <c r="F1582" t="str">
        <f t="shared" si="291"/>
        <v>May</v>
      </c>
      <c r="G1582">
        <f t="shared" si="290"/>
        <v>3</v>
      </c>
      <c r="H1582" s="7">
        <f t="shared" si="292"/>
        <v>-0.18301281611166489</v>
      </c>
      <c r="I1582" s="9">
        <f t="shared" si="293"/>
        <v>-1.8318048917265722E-3</v>
      </c>
      <c r="J1582" s="9">
        <f t="shared" si="294"/>
        <v>57377.562857142861</v>
      </c>
      <c r="K1582" s="9">
        <f t="shared" si="297"/>
        <v>53278.16833333332</v>
      </c>
      <c r="L1582" s="9">
        <f t="shared" si="296"/>
        <v>50214.992000000013</v>
      </c>
      <c r="M1582" s="9">
        <f t="shared" si="295"/>
        <v>6.5383414424646956E-3</v>
      </c>
      <c r="N1582" s="9">
        <f t="shared" si="298"/>
        <v>3.2000036889107207E-2</v>
      </c>
    </row>
    <row r="1583" spans="1:14" x14ac:dyDescent="0.35">
      <c r="A1583" s="1">
        <v>44685</v>
      </c>
      <c r="B1583" s="2" t="s">
        <v>1582</v>
      </c>
      <c r="C1583">
        <f t="shared" si="287"/>
        <v>56817.03</v>
      </c>
      <c r="D1583">
        <f t="shared" si="288"/>
        <v>2022</v>
      </c>
      <c r="E1583">
        <f t="shared" si="289"/>
        <v>5</v>
      </c>
      <c r="F1583" t="str">
        <f t="shared" si="291"/>
        <v>May</v>
      </c>
      <c r="G1583">
        <f t="shared" si="290"/>
        <v>4</v>
      </c>
      <c r="H1583" s="7">
        <f t="shared" si="292"/>
        <v>-1.0607875847609598</v>
      </c>
      <c r="I1583" s="9">
        <f t="shared" si="293"/>
        <v>-1.0664540446216838E-2</v>
      </c>
      <c r="J1583" s="9">
        <f t="shared" si="294"/>
        <v>57232.04</v>
      </c>
      <c r="K1583" s="9">
        <f t="shared" si="297"/>
        <v>53786.083333333328</v>
      </c>
      <c r="L1583" s="9">
        <f t="shared" si="296"/>
        <v>50265.512333333347</v>
      </c>
      <c r="M1583" s="9">
        <f t="shared" si="295"/>
        <v>7.4506701954631356E-3</v>
      </c>
      <c r="N1583" s="9">
        <f t="shared" si="298"/>
        <v>3.011871643022327E-2</v>
      </c>
    </row>
    <row r="1584" spans="1:14" x14ac:dyDescent="0.35">
      <c r="A1584" s="1">
        <v>44686</v>
      </c>
      <c r="B1584" s="2" t="s">
        <v>1583</v>
      </c>
      <c r="C1584">
        <f t="shared" si="287"/>
        <v>55828.49</v>
      </c>
      <c r="D1584">
        <f t="shared" si="288"/>
        <v>2022</v>
      </c>
      <c r="E1584">
        <f t="shared" si="289"/>
        <v>5</v>
      </c>
      <c r="F1584" t="str">
        <f t="shared" si="291"/>
        <v>May</v>
      </c>
      <c r="G1584">
        <f t="shared" si="290"/>
        <v>5</v>
      </c>
      <c r="H1584" s="7">
        <f t="shared" si="292"/>
        <v>-1.7398656705568751</v>
      </c>
      <c r="I1584" s="9">
        <f t="shared" si="293"/>
        <v>-1.7551792166871624E-2</v>
      </c>
      <c r="J1584" s="9">
        <f t="shared" si="294"/>
        <v>56958.377142857142</v>
      </c>
      <c r="K1584" s="9">
        <f t="shared" si="297"/>
        <v>54297.025333333324</v>
      </c>
      <c r="L1584" s="9">
        <f t="shared" si="296"/>
        <v>50289.832888888901</v>
      </c>
      <c r="M1584" s="9">
        <f t="shared" si="295"/>
        <v>9.3196808301686581E-3</v>
      </c>
      <c r="N1584" s="9">
        <f t="shared" si="298"/>
        <v>2.9791569921985377E-2</v>
      </c>
    </row>
    <row r="1585" spans="1:14" x14ac:dyDescent="0.35">
      <c r="A1585" s="1">
        <v>44687</v>
      </c>
      <c r="B1585" s="2" t="s">
        <v>1584</v>
      </c>
      <c r="C1585">
        <f t="shared" si="287"/>
        <v>56079.54</v>
      </c>
      <c r="D1585">
        <f t="shared" si="288"/>
        <v>2022</v>
      </c>
      <c r="E1585">
        <f t="shared" si="289"/>
        <v>5</v>
      </c>
      <c r="F1585" t="str">
        <f t="shared" si="291"/>
        <v>May</v>
      </c>
      <c r="G1585">
        <f t="shared" si="290"/>
        <v>6</v>
      </c>
      <c r="H1585" s="7">
        <f t="shared" si="292"/>
        <v>0.44968079917619647</v>
      </c>
      <c r="I1585" s="9">
        <f t="shared" si="293"/>
        <v>4.4867275592535968E-3</v>
      </c>
      <c r="J1585" s="9">
        <f t="shared" si="294"/>
        <v>56829.568571428557</v>
      </c>
      <c r="K1585" s="9">
        <f t="shared" si="297"/>
        <v>54693.75566666665</v>
      </c>
      <c r="L1585" s="9">
        <f t="shared" si="296"/>
        <v>50320.768888888902</v>
      </c>
      <c r="M1585" s="9">
        <f t="shared" si="295"/>
        <v>9.0427501187532715E-3</v>
      </c>
      <c r="N1585" s="9">
        <f t="shared" si="298"/>
        <v>2.6091687612274705E-2</v>
      </c>
    </row>
    <row r="1586" spans="1:14" x14ac:dyDescent="0.35">
      <c r="A1586" s="1">
        <v>44690</v>
      </c>
      <c r="B1586" s="2" t="s">
        <v>1585</v>
      </c>
      <c r="C1586">
        <f t="shared" si="287"/>
        <v>56590.93</v>
      </c>
      <c r="D1586">
        <f t="shared" si="288"/>
        <v>2022</v>
      </c>
      <c r="E1586">
        <f t="shared" si="289"/>
        <v>5</v>
      </c>
      <c r="F1586" t="str">
        <f t="shared" si="291"/>
        <v>May</v>
      </c>
      <c r="G1586">
        <f t="shared" si="290"/>
        <v>9</v>
      </c>
      <c r="H1586" s="7">
        <f t="shared" si="292"/>
        <v>0.91190120318390511</v>
      </c>
      <c r="I1586" s="9">
        <f t="shared" si="293"/>
        <v>9.0776848934023564E-3</v>
      </c>
      <c r="J1586" s="9">
        <f t="shared" si="294"/>
        <v>56792.881428571425</v>
      </c>
      <c r="K1586" s="9">
        <f t="shared" si="297"/>
        <v>55103.337666666652</v>
      </c>
      <c r="L1586" s="9">
        <f t="shared" si="296"/>
        <v>50353.194444444453</v>
      </c>
      <c r="M1586" s="9">
        <f t="shared" si="295"/>
        <v>1.0007912256646889E-2</v>
      </c>
      <c r="N1586" s="9">
        <f t="shared" si="298"/>
        <v>2.6074427185013991E-2</v>
      </c>
    </row>
    <row r="1587" spans="1:14" x14ac:dyDescent="0.35">
      <c r="A1587" s="1">
        <v>44691</v>
      </c>
      <c r="B1587" s="2" t="s">
        <v>1586</v>
      </c>
      <c r="C1587">
        <f t="shared" si="287"/>
        <v>56370.720000000001</v>
      </c>
      <c r="D1587">
        <f t="shared" si="288"/>
        <v>2022</v>
      </c>
      <c r="E1587">
        <f t="shared" si="289"/>
        <v>5</v>
      </c>
      <c r="F1587" t="str">
        <f t="shared" si="291"/>
        <v>May</v>
      </c>
      <c r="G1587">
        <f t="shared" si="290"/>
        <v>10</v>
      </c>
      <c r="H1587" s="7">
        <f t="shared" si="292"/>
        <v>-0.38912596064422184</v>
      </c>
      <c r="I1587" s="9">
        <f t="shared" si="293"/>
        <v>-3.898850254959214E-3</v>
      </c>
      <c r="J1587" s="9">
        <f t="shared" si="294"/>
        <v>56663.485714285714</v>
      </c>
      <c r="K1587" s="9">
        <f t="shared" si="297"/>
        <v>55346.558666666657</v>
      </c>
      <c r="L1587" s="9">
        <f t="shared" si="296"/>
        <v>50374.16377777778</v>
      </c>
      <c r="M1587" s="9">
        <f t="shared" si="295"/>
        <v>9.3659252297020202E-3</v>
      </c>
      <c r="N1587" s="9">
        <f t="shared" si="298"/>
        <v>1.9145220776013099E-2</v>
      </c>
    </row>
    <row r="1588" spans="1:14" x14ac:dyDescent="0.35">
      <c r="A1588" s="1">
        <v>44692</v>
      </c>
      <c r="B1588" s="2" t="s">
        <v>1587</v>
      </c>
      <c r="C1588">
        <f t="shared" si="287"/>
        <v>55748.24</v>
      </c>
      <c r="D1588">
        <f t="shared" si="288"/>
        <v>2022</v>
      </c>
      <c r="E1588">
        <f t="shared" si="289"/>
        <v>5</v>
      </c>
      <c r="F1588" t="str">
        <f t="shared" si="291"/>
        <v>May</v>
      </c>
      <c r="G1588">
        <f t="shared" si="290"/>
        <v>11</v>
      </c>
      <c r="H1588" s="7">
        <f t="shared" si="292"/>
        <v>-1.1042612192996704</v>
      </c>
      <c r="I1588" s="9">
        <f t="shared" si="293"/>
        <v>-1.1104034428202061E-2</v>
      </c>
      <c r="J1588" s="9">
        <f t="shared" si="294"/>
        <v>56408.735714285714</v>
      </c>
      <c r="K1588" s="9">
        <f t="shared" si="297"/>
        <v>55555.96633333333</v>
      </c>
      <c r="L1588" s="9">
        <f t="shared" si="296"/>
        <v>50385.98511111112</v>
      </c>
      <c r="M1588" s="9">
        <f t="shared" si="295"/>
        <v>9.3502186091691166E-3</v>
      </c>
      <c r="N1588" s="9">
        <f t="shared" si="298"/>
        <v>1.9345931435921511E-2</v>
      </c>
    </row>
    <row r="1589" spans="1:14" x14ac:dyDescent="0.35">
      <c r="A1589" s="1">
        <v>44693</v>
      </c>
      <c r="B1589" s="2" t="s">
        <v>1588</v>
      </c>
      <c r="C1589">
        <f t="shared" si="287"/>
        <v>55902.94</v>
      </c>
      <c r="D1589">
        <f t="shared" si="288"/>
        <v>2022</v>
      </c>
      <c r="E1589">
        <f t="shared" si="289"/>
        <v>5</v>
      </c>
      <c r="F1589" t="str">
        <f t="shared" si="291"/>
        <v>May</v>
      </c>
      <c r="G1589">
        <f t="shared" si="290"/>
        <v>12</v>
      </c>
      <c r="H1589" s="7">
        <f t="shared" si="292"/>
        <v>0.27749754969843782</v>
      </c>
      <c r="I1589" s="9">
        <f t="shared" si="293"/>
        <v>2.7711323605778128E-3</v>
      </c>
      <c r="J1589" s="9">
        <f t="shared" si="294"/>
        <v>56191.127142857134</v>
      </c>
      <c r="K1589" s="9">
        <f t="shared" si="297"/>
        <v>55792.079333333328</v>
      </c>
      <c r="L1589" s="9">
        <f t="shared" si="296"/>
        <v>50399.102444444463</v>
      </c>
      <c r="M1589" s="9">
        <f t="shared" si="295"/>
        <v>9.7233850438839808E-3</v>
      </c>
      <c r="N1589" s="9">
        <f t="shared" si="298"/>
        <v>1.9075998754951487E-2</v>
      </c>
    </row>
    <row r="1590" spans="1:14" x14ac:dyDescent="0.35">
      <c r="A1590" s="1">
        <v>44694</v>
      </c>
      <c r="B1590" s="2" t="s">
        <v>1589</v>
      </c>
      <c r="C1590">
        <f t="shared" si="287"/>
        <v>57261.04</v>
      </c>
      <c r="D1590">
        <f t="shared" si="288"/>
        <v>2022</v>
      </c>
      <c r="E1590">
        <f t="shared" si="289"/>
        <v>5</v>
      </c>
      <c r="F1590" t="str">
        <f t="shared" si="291"/>
        <v>May</v>
      </c>
      <c r="G1590">
        <f t="shared" si="290"/>
        <v>13</v>
      </c>
      <c r="H1590" s="7">
        <f t="shared" si="292"/>
        <v>2.4293892235363623</v>
      </c>
      <c r="I1590" s="9">
        <f t="shared" si="293"/>
        <v>2.4003489575604962E-2</v>
      </c>
      <c r="J1590" s="9">
        <f t="shared" si="294"/>
        <v>56254.557142857135</v>
      </c>
      <c r="K1590" s="9">
        <f t="shared" si="297"/>
        <v>55965.29</v>
      </c>
      <c r="L1590" s="9">
        <f t="shared" si="296"/>
        <v>50444.171888888894</v>
      </c>
      <c r="M1590" s="9">
        <f t="shared" si="295"/>
        <v>1.3688749593240616E-2</v>
      </c>
      <c r="N1590" s="9">
        <f t="shared" si="298"/>
        <v>1.5863106774414291E-2</v>
      </c>
    </row>
    <row r="1591" spans="1:14" x14ac:dyDescent="0.35">
      <c r="A1591" s="1">
        <v>44697</v>
      </c>
      <c r="B1591" s="2" t="s">
        <v>1590</v>
      </c>
      <c r="C1591">
        <f t="shared" si="287"/>
        <v>56894.67</v>
      </c>
      <c r="D1591">
        <f t="shared" si="288"/>
        <v>2022</v>
      </c>
      <c r="E1591">
        <f t="shared" si="289"/>
        <v>5</v>
      </c>
      <c r="F1591" t="str">
        <f t="shared" si="291"/>
        <v>May</v>
      </c>
      <c r="G1591">
        <f t="shared" si="290"/>
        <v>16</v>
      </c>
      <c r="H1591" s="7">
        <f t="shared" si="292"/>
        <v>-0.63982421555738878</v>
      </c>
      <c r="I1591" s="9">
        <f t="shared" si="293"/>
        <v>-6.4187986373922378E-3</v>
      </c>
      <c r="J1591" s="9">
        <f t="shared" si="294"/>
        <v>56406.868571428568</v>
      </c>
      <c r="K1591" s="9">
        <f t="shared" si="297"/>
        <v>56097.236666666664</v>
      </c>
      <c r="L1591" s="9">
        <f t="shared" si="296"/>
        <v>50480.276222222237</v>
      </c>
      <c r="M1591" s="9">
        <f t="shared" si="295"/>
        <v>1.1654467130992585E-2</v>
      </c>
      <c r="N1591" s="9">
        <f t="shared" si="298"/>
        <v>1.5747404381334748E-2</v>
      </c>
    </row>
    <row r="1592" spans="1:14" x14ac:dyDescent="0.35">
      <c r="A1592" s="1">
        <v>44698</v>
      </c>
      <c r="B1592" s="2" t="s">
        <v>1591</v>
      </c>
      <c r="C1592">
        <f t="shared" si="287"/>
        <v>57918.89</v>
      </c>
      <c r="D1592">
        <f t="shared" si="288"/>
        <v>2022</v>
      </c>
      <c r="E1592">
        <f t="shared" si="289"/>
        <v>5</v>
      </c>
      <c r="F1592" t="str">
        <f t="shared" si="291"/>
        <v>May</v>
      </c>
      <c r="G1592">
        <f t="shared" si="290"/>
        <v>17</v>
      </c>
      <c r="H1592" s="7">
        <f t="shared" si="292"/>
        <v>1.8002037800728981</v>
      </c>
      <c r="I1592" s="9">
        <f t="shared" si="293"/>
        <v>1.7841919895216524E-2</v>
      </c>
      <c r="J1592" s="9">
        <f t="shared" si="294"/>
        <v>56669.632857142853</v>
      </c>
      <c r="K1592" s="9">
        <f t="shared" si="297"/>
        <v>56263.641333333326</v>
      </c>
      <c r="L1592" s="9">
        <f t="shared" si="296"/>
        <v>50540.521000000008</v>
      </c>
      <c r="M1592" s="9">
        <f t="shared" si="295"/>
        <v>1.3009602822957544E-2</v>
      </c>
      <c r="N1592" s="9">
        <f t="shared" si="298"/>
        <v>1.59873624813863E-2</v>
      </c>
    </row>
    <row r="1593" spans="1:14" x14ac:dyDescent="0.35">
      <c r="A1593" s="1">
        <v>44699</v>
      </c>
      <c r="B1593" s="2" t="s">
        <v>1592</v>
      </c>
      <c r="C1593">
        <f t="shared" si="287"/>
        <v>57976.39</v>
      </c>
      <c r="D1593">
        <f t="shared" si="288"/>
        <v>2022</v>
      </c>
      <c r="E1593">
        <f t="shared" si="289"/>
        <v>5</v>
      </c>
      <c r="F1593" t="str">
        <f t="shared" si="291"/>
        <v>May</v>
      </c>
      <c r="G1593">
        <f t="shared" si="290"/>
        <v>18</v>
      </c>
      <c r="H1593" s="7">
        <f t="shared" si="292"/>
        <v>9.9276764454567401E-2</v>
      </c>
      <c r="I1593" s="9">
        <f t="shared" si="293"/>
        <v>9.9227517665806658E-4</v>
      </c>
      <c r="J1593" s="9">
        <f t="shared" si="294"/>
        <v>56867.555714285714</v>
      </c>
      <c r="K1593" s="9">
        <f t="shared" si="297"/>
        <v>56430.925999999985</v>
      </c>
      <c r="L1593" s="9">
        <f t="shared" si="296"/>
        <v>50618.818777777786</v>
      </c>
      <c r="M1593" s="9">
        <f t="shared" si="295"/>
        <v>1.2905380482245942E-2</v>
      </c>
      <c r="N1593" s="9">
        <f t="shared" si="298"/>
        <v>1.5985422658996405E-2</v>
      </c>
    </row>
    <row r="1594" spans="1:14" x14ac:dyDescent="0.35">
      <c r="A1594" s="1">
        <v>44700</v>
      </c>
      <c r="B1594" s="2" t="s">
        <v>1593</v>
      </c>
      <c r="C1594">
        <f t="shared" si="287"/>
        <v>58850.41</v>
      </c>
      <c r="D1594">
        <f t="shared" si="288"/>
        <v>2022</v>
      </c>
      <c r="E1594">
        <f t="shared" si="289"/>
        <v>5</v>
      </c>
      <c r="F1594" t="str">
        <f t="shared" si="291"/>
        <v>May</v>
      </c>
      <c r="G1594">
        <f t="shared" si="290"/>
        <v>19</v>
      </c>
      <c r="H1594" s="7">
        <f t="shared" si="292"/>
        <v>1.5075447091479894</v>
      </c>
      <c r="I1594" s="9">
        <f t="shared" si="293"/>
        <v>1.4962941841088576E-2</v>
      </c>
      <c r="J1594" s="9">
        <f t="shared" si="294"/>
        <v>57221.797142857155</v>
      </c>
      <c r="K1594" s="9">
        <f t="shared" si="297"/>
        <v>56664.603333333311</v>
      </c>
      <c r="L1594" s="9">
        <f t="shared" si="296"/>
        <v>50711.790000000008</v>
      </c>
      <c r="M1594" s="9">
        <f t="shared" si="295"/>
        <v>1.3081865945568209E-2</v>
      </c>
      <c r="N1594" s="9">
        <f t="shared" si="298"/>
        <v>1.5443223019379554E-2</v>
      </c>
    </row>
    <row r="1595" spans="1:14" x14ac:dyDescent="0.35">
      <c r="A1595" s="1">
        <v>44701</v>
      </c>
      <c r="B1595" s="2" t="s">
        <v>1594</v>
      </c>
      <c r="C1595">
        <f t="shared" si="287"/>
        <v>59001.87</v>
      </c>
      <c r="D1595">
        <f t="shared" si="288"/>
        <v>2022</v>
      </c>
      <c r="E1595">
        <f t="shared" si="289"/>
        <v>5</v>
      </c>
      <c r="F1595" t="str">
        <f t="shared" si="291"/>
        <v>May</v>
      </c>
      <c r="G1595">
        <f t="shared" si="290"/>
        <v>20</v>
      </c>
      <c r="H1595" s="7">
        <f t="shared" si="292"/>
        <v>0.25736439219369772</v>
      </c>
      <c r="I1595" s="9">
        <f t="shared" si="293"/>
        <v>2.5703377717724994E-3</v>
      </c>
      <c r="J1595" s="9">
        <f t="shared" si="294"/>
        <v>57686.601428571441</v>
      </c>
      <c r="K1595" s="9">
        <f t="shared" si="297"/>
        <v>56930.059666666653</v>
      </c>
      <c r="L1595" s="9">
        <f t="shared" si="296"/>
        <v>50796.376111111131</v>
      </c>
      <c r="M1595" s="9">
        <f t="shared" si="295"/>
        <v>1.0917990793581066E-2</v>
      </c>
      <c r="N1595" s="9">
        <f t="shared" si="298"/>
        <v>1.4988865195721087E-2</v>
      </c>
    </row>
    <row r="1596" spans="1:14" x14ac:dyDescent="0.35">
      <c r="A1596" s="1">
        <v>44704</v>
      </c>
      <c r="B1596" s="2" t="s">
        <v>1595</v>
      </c>
      <c r="C1596">
        <f t="shared" si="287"/>
        <v>58217.43</v>
      </c>
      <c r="D1596">
        <f t="shared" si="288"/>
        <v>2022</v>
      </c>
      <c r="E1596">
        <f t="shared" si="289"/>
        <v>5</v>
      </c>
      <c r="F1596" t="str">
        <f t="shared" si="291"/>
        <v>May</v>
      </c>
      <c r="G1596">
        <f t="shared" si="290"/>
        <v>23</v>
      </c>
      <c r="H1596" s="7">
        <f t="shared" si="292"/>
        <v>-1.3295171830994548</v>
      </c>
      <c r="I1596" s="9">
        <f t="shared" si="293"/>
        <v>-1.3384343881767954E-2</v>
      </c>
      <c r="J1596" s="9">
        <f t="shared" si="294"/>
        <v>58017.242857142861</v>
      </c>
      <c r="K1596" s="9">
        <f t="shared" si="297"/>
        <v>57089.146333333316</v>
      </c>
      <c r="L1596" s="9">
        <f t="shared" si="296"/>
        <v>50882.170333333335</v>
      </c>
      <c r="M1596" s="9">
        <f t="shared" si="295"/>
        <v>1.3608926293402534E-2</v>
      </c>
      <c r="N1596" s="9">
        <f t="shared" si="298"/>
        <v>1.3167853460955295E-2</v>
      </c>
    </row>
    <row r="1597" spans="1:14" x14ac:dyDescent="0.35">
      <c r="A1597" s="1">
        <v>44705</v>
      </c>
      <c r="B1597" s="2" t="s">
        <v>1596</v>
      </c>
      <c r="C1597">
        <f t="shared" si="287"/>
        <v>58063.59</v>
      </c>
      <c r="D1597">
        <f t="shared" si="288"/>
        <v>2022</v>
      </c>
      <c r="E1597">
        <f t="shared" si="289"/>
        <v>5</v>
      </c>
      <c r="F1597" t="str">
        <f t="shared" si="291"/>
        <v>May</v>
      </c>
      <c r="G1597">
        <f t="shared" si="290"/>
        <v>24</v>
      </c>
      <c r="H1597" s="7">
        <f t="shared" si="292"/>
        <v>-0.26425075789158636</v>
      </c>
      <c r="I1597" s="9">
        <f t="shared" si="293"/>
        <v>-2.6460051650254238E-3</v>
      </c>
      <c r="J1597" s="9">
        <f t="shared" si="294"/>
        <v>58131.892857142855</v>
      </c>
      <c r="K1597" s="9">
        <f t="shared" si="297"/>
        <v>57189.692666666662</v>
      </c>
      <c r="L1597" s="9">
        <f t="shared" si="296"/>
        <v>50965.071333333341</v>
      </c>
      <c r="M1597" s="9">
        <f t="shared" si="295"/>
        <v>1.1176490951044928E-2</v>
      </c>
      <c r="N1597" s="9">
        <f t="shared" si="298"/>
        <v>1.2193428801479724E-2</v>
      </c>
    </row>
    <row r="1598" spans="1:14" x14ac:dyDescent="0.35">
      <c r="A1598" s="1">
        <v>44706</v>
      </c>
      <c r="B1598" s="2" t="s">
        <v>1597</v>
      </c>
      <c r="C1598">
        <f t="shared" si="287"/>
        <v>57967.13</v>
      </c>
      <c r="D1598">
        <f t="shared" si="288"/>
        <v>2022</v>
      </c>
      <c r="E1598">
        <f t="shared" si="289"/>
        <v>5</v>
      </c>
      <c r="F1598" t="str">
        <f t="shared" si="291"/>
        <v>May</v>
      </c>
      <c r="G1598">
        <f t="shared" si="290"/>
        <v>25</v>
      </c>
      <c r="H1598" s="7">
        <f t="shared" si="292"/>
        <v>-0.1661282053004286</v>
      </c>
      <c r="I1598" s="9">
        <f t="shared" si="293"/>
        <v>-1.6626635122417525E-3</v>
      </c>
      <c r="J1598" s="9">
        <f t="shared" si="294"/>
        <v>58285.101428571426</v>
      </c>
      <c r="K1598" s="9">
        <f t="shared" si="297"/>
        <v>57294.946666666656</v>
      </c>
      <c r="L1598" s="9">
        <f t="shared" si="296"/>
        <v>51052.770444444453</v>
      </c>
      <c r="M1598" s="9">
        <f t="shared" si="295"/>
        <v>1.0715270043007407E-2</v>
      </c>
      <c r="N1598" s="9">
        <f t="shared" si="298"/>
        <v>1.2157071359807096E-2</v>
      </c>
    </row>
    <row r="1599" spans="1:14" x14ac:dyDescent="0.35">
      <c r="A1599" s="1">
        <v>44707</v>
      </c>
      <c r="B1599" s="2" t="s">
        <v>1598</v>
      </c>
      <c r="C1599">
        <f t="shared" si="287"/>
        <v>57572.72</v>
      </c>
      <c r="D1599">
        <f t="shared" si="288"/>
        <v>2022</v>
      </c>
      <c r="E1599">
        <f t="shared" si="289"/>
        <v>5</v>
      </c>
      <c r="F1599" t="str">
        <f t="shared" si="291"/>
        <v>May</v>
      </c>
      <c r="G1599">
        <f t="shared" si="290"/>
        <v>26</v>
      </c>
      <c r="H1599" s="7">
        <f t="shared" si="292"/>
        <v>-0.68040284209343505</v>
      </c>
      <c r="I1599" s="9">
        <f t="shared" si="293"/>
        <v>-6.8272813580972846E-3</v>
      </c>
      <c r="J1599" s="9">
        <f t="shared" si="294"/>
        <v>58235.648571428574</v>
      </c>
      <c r="K1599" s="9">
        <f t="shared" si="297"/>
        <v>57384.651999999995</v>
      </c>
      <c r="L1599" s="9">
        <f t="shared" si="296"/>
        <v>51135.276111111118</v>
      </c>
      <c r="M1599" s="9">
        <f t="shared" si="295"/>
        <v>8.7736846834252907E-3</v>
      </c>
      <c r="N1599" s="9">
        <f t="shared" si="298"/>
        <v>1.226027175157913E-2</v>
      </c>
    </row>
    <row r="1600" spans="1:14" x14ac:dyDescent="0.35">
      <c r="A1600" s="1">
        <v>44708</v>
      </c>
      <c r="B1600" s="2" t="s">
        <v>1599</v>
      </c>
      <c r="C1600">
        <f t="shared" si="287"/>
        <v>57484.84</v>
      </c>
      <c r="D1600">
        <f t="shared" si="288"/>
        <v>2022</v>
      </c>
      <c r="E1600">
        <f t="shared" si="289"/>
        <v>5</v>
      </c>
      <c r="F1600" t="str">
        <f t="shared" si="291"/>
        <v>May</v>
      </c>
      <c r="G1600">
        <f t="shared" si="290"/>
        <v>27</v>
      </c>
      <c r="H1600" s="7">
        <f t="shared" si="292"/>
        <v>-0.15264173726724159</v>
      </c>
      <c r="I1600" s="9">
        <f t="shared" si="293"/>
        <v>-1.5275835345211252E-3</v>
      </c>
      <c r="J1600" s="9">
        <f t="shared" si="294"/>
        <v>58165.427142857145</v>
      </c>
      <c r="K1600" s="9">
        <f t="shared" si="297"/>
        <v>57389.606333333322</v>
      </c>
      <c r="L1600" s="9">
        <f t="shared" si="296"/>
        <v>51207.077000000005</v>
      </c>
      <c r="M1600" s="9">
        <f t="shared" si="295"/>
        <v>8.7368099682131328E-3</v>
      </c>
      <c r="N1600" s="9">
        <f t="shared" si="298"/>
        <v>9.3275953261761531E-3</v>
      </c>
    </row>
    <row r="1601" spans="1:14" x14ac:dyDescent="0.35">
      <c r="A1601" s="1">
        <v>44711</v>
      </c>
      <c r="B1601" s="2" t="s">
        <v>1600</v>
      </c>
      <c r="C1601">
        <f t="shared" si="287"/>
        <v>57128.68</v>
      </c>
      <c r="D1601">
        <f t="shared" si="288"/>
        <v>2022</v>
      </c>
      <c r="E1601">
        <f t="shared" si="289"/>
        <v>5</v>
      </c>
      <c r="F1601" t="str">
        <f t="shared" si="291"/>
        <v>May</v>
      </c>
      <c r="G1601">
        <f t="shared" si="290"/>
        <v>30</v>
      </c>
      <c r="H1601" s="7">
        <f t="shared" si="292"/>
        <v>-0.61957204716929926</v>
      </c>
      <c r="I1601" s="9">
        <f t="shared" si="293"/>
        <v>-6.2149935962747859E-3</v>
      </c>
      <c r="J1601" s="9">
        <f t="shared" si="294"/>
        <v>57919.46571428571</v>
      </c>
      <c r="K1601" s="9">
        <f t="shared" si="297"/>
        <v>57367.461333333325</v>
      </c>
      <c r="L1601" s="9">
        <f t="shared" si="296"/>
        <v>51262.476222222227</v>
      </c>
      <c r="M1601" s="9">
        <f t="shared" si="295"/>
        <v>5.1175354366427978E-3</v>
      </c>
      <c r="N1601" s="9">
        <f t="shared" si="298"/>
        <v>9.2746101554271806E-3</v>
      </c>
    </row>
    <row r="1602" spans="1:14" x14ac:dyDescent="0.35">
      <c r="A1602" s="1">
        <v>44712</v>
      </c>
      <c r="B1602" s="2" t="s">
        <v>1601</v>
      </c>
      <c r="C1602">
        <f t="shared" si="287"/>
        <v>57322.33</v>
      </c>
      <c r="D1602">
        <f t="shared" si="288"/>
        <v>2022</v>
      </c>
      <c r="E1602">
        <f t="shared" si="289"/>
        <v>5</v>
      </c>
      <c r="F1602" t="str">
        <f t="shared" si="291"/>
        <v>May</v>
      </c>
      <c r="G1602">
        <f t="shared" si="290"/>
        <v>31</v>
      </c>
      <c r="H1602" s="7">
        <f t="shared" si="292"/>
        <v>0.33897159885367811</v>
      </c>
      <c r="I1602" s="9">
        <f t="shared" si="293"/>
        <v>3.3839838511879076E-3</v>
      </c>
      <c r="J1602" s="9">
        <f t="shared" si="294"/>
        <v>57679.531428571427</v>
      </c>
      <c r="K1602" s="9">
        <f t="shared" si="297"/>
        <v>57346.839999999989</v>
      </c>
      <c r="L1602" s="9">
        <f t="shared" si="296"/>
        <v>51322.167222222233</v>
      </c>
      <c r="M1602" s="9">
        <f t="shared" si="295"/>
        <v>5.3038945157682319E-3</v>
      </c>
      <c r="N1602" s="9">
        <f t="shared" si="298"/>
        <v>9.2848852900855941E-3</v>
      </c>
    </row>
    <row r="1603" spans="1:14" x14ac:dyDescent="0.35">
      <c r="A1603" s="1">
        <v>44713</v>
      </c>
      <c r="B1603" s="2" t="s">
        <v>1602</v>
      </c>
      <c r="C1603">
        <f t="shared" ref="C1603:C1666" si="299">_xlfn.NUMBERVALUE(B1603,".",",")</f>
        <v>57384.41</v>
      </c>
      <c r="D1603">
        <f t="shared" ref="D1603:D1666" si="300">YEAR(A1603)</f>
        <v>2022</v>
      </c>
      <c r="E1603">
        <f t="shared" ref="E1603:E1666" si="301">MONTH(A1603)</f>
        <v>6</v>
      </c>
      <c r="F1603" t="str">
        <f t="shared" si="291"/>
        <v>June</v>
      </c>
      <c r="G1603">
        <f t="shared" ref="G1603:G1666" si="302">DAY(A1603)</f>
        <v>1</v>
      </c>
      <c r="H1603" s="7">
        <f t="shared" si="292"/>
        <v>0.10829985452440916</v>
      </c>
      <c r="I1603" s="9">
        <f t="shared" si="293"/>
        <v>1.0824125253871785E-3</v>
      </c>
      <c r="J1603" s="9">
        <f t="shared" si="294"/>
        <v>57560.528571428578</v>
      </c>
      <c r="K1603" s="9">
        <f t="shared" si="297"/>
        <v>57335.831666666665</v>
      </c>
      <c r="L1603" s="9">
        <f t="shared" si="296"/>
        <v>51388.860000000015</v>
      </c>
      <c r="M1603" s="9">
        <f t="shared" si="295"/>
        <v>3.6580367404832441E-3</v>
      </c>
      <c r="N1603" s="9">
        <f t="shared" si="298"/>
        <v>9.2636907136405405E-3</v>
      </c>
    </row>
    <row r="1604" spans="1:14" x14ac:dyDescent="0.35">
      <c r="A1604" s="1">
        <v>44714</v>
      </c>
      <c r="B1604" s="2" t="s">
        <v>1603</v>
      </c>
      <c r="C1604">
        <f t="shared" si="299"/>
        <v>57195.35</v>
      </c>
      <c r="D1604">
        <f t="shared" si="300"/>
        <v>2022</v>
      </c>
      <c r="E1604">
        <f t="shared" si="301"/>
        <v>6</v>
      </c>
      <c r="F1604" t="str">
        <f t="shared" ref="F1604:F1667" si="303">TEXT(A1604,"mmmm")</f>
        <v>June</v>
      </c>
      <c r="G1604">
        <f t="shared" si="302"/>
        <v>2</v>
      </c>
      <c r="H1604" s="7">
        <f t="shared" ref="H1604:H1667" si="304">((C1604-C1603)/C1603)*100</f>
        <v>-0.32946230518010888</v>
      </c>
      <c r="I1604" s="9">
        <f t="shared" ref="I1604:I1667" si="305">LN(C1604/C1603)</f>
        <v>-3.3000622724012941E-3</v>
      </c>
      <c r="J1604" s="9">
        <f t="shared" si="294"/>
        <v>57436.494285714281</v>
      </c>
      <c r="K1604" s="9">
        <f t="shared" si="297"/>
        <v>57302.744666666673</v>
      </c>
      <c r="L1604" s="9">
        <f t="shared" si="296"/>
        <v>51472.933666666679</v>
      </c>
      <c r="M1604" s="9">
        <f t="shared" si="295"/>
        <v>3.6837957494912487E-3</v>
      </c>
      <c r="N1604" s="9">
        <f t="shared" si="298"/>
        <v>9.1426985107181512E-3</v>
      </c>
    </row>
    <row r="1605" spans="1:14" x14ac:dyDescent="0.35">
      <c r="A1605" s="1">
        <v>44715</v>
      </c>
      <c r="B1605" s="2" t="s">
        <v>1604</v>
      </c>
      <c r="C1605">
        <f t="shared" si="299"/>
        <v>57810</v>
      </c>
      <c r="D1605">
        <f t="shared" si="300"/>
        <v>2022</v>
      </c>
      <c r="E1605">
        <f t="shared" si="301"/>
        <v>6</v>
      </c>
      <c r="F1605" t="str">
        <f t="shared" si="303"/>
        <v>June</v>
      </c>
      <c r="G1605">
        <f t="shared" si="302"/>
        <v>3</v>
      </c>
      <c r="H1605" s="7">
        <f t="shared" si="304"/>
        <v>1.074650299368745</v>
      </c>
      <c r="I1605" s="9">
        <f t="shared" si="305"/>
        <v>1.0689169719438726E-2</v>
      </c>
      <c r="J1605" s="9">
        <f t="shared" si="294"/>
        <v>57414.04714285714</v>
      </c>
      <c r="K1605" s="9">
        <f t="shared" si="297"/>
        <v>57301.019333333345</v>
      </c>
      <c r="L1605" s="9">
        <f t="shared" si="296"/>
        <v>51569.566333333343</v>
      </c>
      <c r="M1605" s="9">
        <f t="shared" si="295"/>
        <v>6.1140632951856297E-3</v>
      </c>
      <c r="N1605" s="9">
        <f t="shared" si="298"/>
        <v>9.315494793618E-3</v>
      </c>
    </row>
    <row r="1606" spans="1:14" x14ac:dyDescent="0.35">
      <c r="A1606" s="1">
        <v>44718</v>
      </c>
      <c r="B1606" s="2" t="s">
        <v>1605</v>
      </c>
      <c r="C1606">
        <f t="shared" si="299"/>
        <v>57718</v>
      </c>
      <c r="D1606">
        <f t="shared" si="300"/>
        <v>2022</v>
      </c>
      <c r="E1606">
        <f t="shared" si="301"/>
        <v>6</v>
      </c>
      <c r="F1606" t="str">
        <f t="shared" si="303"/>
        <v>June</v>
      </c>
      <c r="G1606">
        <f t="shared" si="302"/>
        <v>6</v>
      </c>
      <c r="H1606" s="7">
        <f t="shared" si="304"/>
        <v>-0.15914201695208441</v>
      </c>
      <c r="I1606" s="9">
        <f t="shared" si="305"/>
        <v>-1.592687823690952E-3</v>
      </c>
      <c r="J1606" s="9">
        <f t="shared" si="294"/>
        <v>57434.801428571423</v>
      </c>
      <c r="K1606" s="9">
        <f t="shared" si="297"/>
        <v>57297.096333333335</v>
      </c>
      <c r="L1606" s="9">
        <f t="shared" si="296"/>
        <v>51653.632444444462</v>
      </c>
      <c r="M1606" s="9">
        <f t="shared" si="295"/>
        <v>5.4827101455301609E-3</v>
      </c>
      <c r="N1606" s="9">
        <f t="shared" si="298"/>
        <v>9.3196063343046719E-3</v>
      </c>
    </row>
    <row r="1607" spans="1:14" x14ac:dyDescent="0.35">
      <c r="A1607" s="1">
        <v>44719</v>
      </c>
      <c r="B1607" s="2" t="s">
        <v>1606</v>
      </c>
      <c r="C1607">
        <f t="shared" si="299"/>
        <v>57084.1</v>
      </c>
      <c r="D1607">
        <f t="shared" si="300"/>
        <v>2022</v>
      </c>
      <c r="E1607">
        <f t="shared" si="301"/>
        <v>6</v>
      </c>
      <c r="F1607" t="str">
        <f t="shared" si="303"/>
        <v>June</v>
      </c>
      <c r="G1607">
        <f t="shared" si="302"/>
        <v>7</v>
      </c>
      <c r="H1607" s="7">
        <f t="shared" si="304"/>
        <v>-1.0982709033577072</v>
      </c>
      <c r="I1607" s="9">
        <f t="shared" si="305"/>
        <v>-1.1043464229725023E-2</v>
      </c>
      <c r="J1607" s="9">
        <f t="shared" si="294"/>
        <v>57377.552857142859</v>
      </c>
      <c r="K1607" s="9">
        <f t="shared" si="297"/>
        <v>57275.095333333345</v>
      </c>
      <c r="L1607" s="9">
        <f t="shared" si="296"/>
        <v>51728.79566666668</v>
      </c>
      <c r="M1607" s="9">
        <f t="shared" si="295"/>
        <v>6.9988253729471699E-3</v>
      </c>
      <c r="N1607" s="9">
        <f t="shared" si="298"/>
        <v>9.5303104314550888E-3</v>
      </c>
    </row>
    <row r="1608" spans="1:14" x14ac:dyDescent="0.35">
      <c r="A1608" s="1">
        <v>44720</v>
      </c>
      <c r="B1608" s="2" t="s">
        <v>1607</v>
      </c>
      <c r="C1608">
        <f t="shared" si="299"/>
        <v>57703.56</v>
      </c>
      <c r="D1608">
        <f t="shared" si="300"/>
        <v>2022</v>
      </c>
      <c r="E1608">
        <f t="shared" si="301"/>
        <v>6</v>
      </c>
      <c r="F1608" t="str">
        <f t="shared" si="303"/>
        <v>June</v>
      </c>
      <c r="G1608">
        <f t="shared" si="302"/>
        <v>8</v>
      </c>
      <c r="H1608" s="7">
        <f t="shared" si="304"/>
        <v>1.0851708269027613</v>
      </c>
      <c r="I1608" s="9">
        <f t="shared" si="305"/>
        <v>1.0793251010022518E-2</v>
      </c>
      <c r="J1608" s="9">
        <f t="shared" si="294"/>
        <v>57459.678571428565</v>
      </c>
      <c r="K1608" s="9">
        <f t="shared" si="297"/>
        <v>57299.174000000006</v>
      </c>
      <c r="L1608" s="9">
        <f t="shared" si="296"/>
        <v>51812.136888888905</v>
      </c>
      <c r="M1608" s="9">
        <f t="shared" si="295"/>
        <v>7.7935764470492205E-3</v>
      </c>
      <c r="N1608" s="9">
        <f t="shared" si="298"/>
        <v>9.4187801154085142E-3</v>
      </c>
    </row>
    <row r="1609" spans="1:14" x14ac:dyDescent="0.35">
      <c r="A1609" s="1">
        <v>44721</v>
      </c>
      <c r="B1609" s="2" t="s">
        <v>1608</v>
      </c>
      <c r="C1609">
        <f t="shared" si="299"/>
        <v>57430.7</v>
      </c>
      <c r="D1609">
        <f t="shared" si="300"/>
        <v>2022</v>
      </c>
      <c r="E1609">
        <f t="shared" si="301"/>
        <v>6</v>
      </c>
      <c r="F1609" t="str">
        <f t="shared" si="303"/>
        <v>June</v>
      </c>
      <c r="G1609">
        <f t="shared" si="302"/>
        <v>9</v>
      </c>
      <c r="H1609" s="7">
        <f t="shared" si="304"/>
        <v>-0.47286510572311413</v>
      </c>
      <c r="I1609" s="9">
        <f t="shared" si="305"/>
        <v>-4.7398664975449182E-3</v>
      </c>
      <c r="J1609" s="9">
        <f t="shared" ref="J1609:J1672" si="306">AVERAGE(C1603:C1609)</f>
        <v>57475.159999999996</v>
      </c>
      <c r="K1609" s="9">
        <f t="shared" si="297"/>
        <v>57318.606000000014</v>
      </c>
      <c r="L1609" s="9">
        <f t="shared" si="296"/>
        <v>51883.549333333351</v>
      </c>
      <c r="M1609" s="9">
        <f t="shared" si="295"/>
        <v>8.0546685128285306E-3</v>
      </c>
      <c r="N1609" s="9">
        <f t="shared" si="298"/>
        <v>9.453109276911259E-3</v>
      </c>
    </row>
    <row r="1610" spans="1:14" x14ac:dyDescent="0.35">
      <c r="A1610" s="1">
        <v>44722</v>
      </c>
      <c r="B1610" s="2" t="s">
        <v>1609</v>
      </c>
      <c r="C1610">
        <f t="shared" si="299"/>
        <v>57244.87</v>
      </c>
      <c r="D1610">
        <f t="shared" si="300"/>
        <v>2022</v>
      </c>
      <c r="E1610">
        <f t="shared" si="301"/>
        <v>6</v>
      </c>
      <c r="F1610" t="str">
        <f t="shared" si="303"/>
        <v>June</v>
      </c>
      <c r="G1610">
        <f t="shared" si="302"/>
        <v>10</v>
      </c>
      <c r="H1610" s="7">
        <f t="shared" si="304"/>
        <v>-0.32357258400123018</v>
      </c>
      <c r="I1610" s="9">
        <f t="shared" si="305"/>
        <v>-3.2409721209428546E-3</v>
      </c>
      <c r="J1610" s="9">
        <f t="shared" si="306"/>
        <v>57455.22571428572</v>
      </c>
      <c r="K1610" s="9">
        <f t="shared" si="297"/>
        <v>57317.552000000018</v>
      </c>
      <c r="L1610" s="9">
        <f t="shared" si="296"/>
        <v>51963.829000000012</v>
      </c>
      <c r="M1610" s="9">
        <f t="shared" ref="M1610:M1673" si="307">STDEV(I1604:I1610)</f>
        <v>8.1472003654576314E-3</v>
      </c>
      <c r="N1610" s="9">
        <f t="shared" si="298"/>
        <v>9.3752859070106356E-3</v>
      </c>
    </row>
    <row r="1611" spans="1:14" x14ac:dyDescent="0.35">
      <c r="A1611" s="1">
        <v>44725</v>
      </c>
      <c r="B1611" s="2" t="s">
        <v>1610</v>
      </c>
      <c r="C1611">
        <f t="shared" si="299"/>
        <v>57092.85</v>
      </c>
      <c r="D1611">
        <f t="shared" si="300"/>
        <v>2022</v>
      </c>
      <c r="E1611">
        <f t="shared" si="301"/>
        <v>6</v>
      </c>
      <c r="F1611" t="str">
        <f t="shared" si="303"/>
        <v>June</v>
      </c>
      <c r="G1611">
        <f t="shared" si="302"/>
        <v>13</v>
      </c>
      <c r="H1611" s="7">
        <f t="shared" si="304"/>
        <v>-0.2655609140172806</v>
      </c>
      <c r="I1611" s="9">
        <f t="shared" si="305"/>
        <v>-2.6591415252675264E-3</v>
      </c>
      <c r="J1611" s="9">
        <f t="shared" si="306"/>
        <v>57440.58285714285</v>
      </c>
      <c r="K1611" s="9">
        <f t="shared" si="297"/>
        <v>57302.930666666682</v>
      </c>
      <c r="L1611" s="9">
        <f t="shared" si="296"/>
        <v>52044.505222222229</v>
      </c>
      <c r="M1611" s="9">
        <f t="shared" si="307"/>
        <v>8.1120179673744314E-3</v>
      </c>
      <c r="N1611" s="9">
        <f t="shared" si="298"/>
        <v>9.3483891593638645E-3</v>
      </c>
    </row>
    <row r="1612" spans="1:14" x14ac:dyDescent="0.35">
      <c r="A1612" s="1">
        <v>44726</v>
      </c>
      <c r="B1612" s="2" t="s">
        <v>1611</v>
      </c>
      <c r="C1612">
        <f t="shared" si="299"/>
        <v>57411.21</v>
      </c>
      <c r="D1612">
        <f t="shared" si="300"/>
        <v>2022</v>
      </c>
      <c r="E1612">
        <f t="shared" si="301"/>
        <v>6</v>
      </c>
      <c r="F1612" t="str">
        <f t="shared" si="303"/>
        <v>June</v>
      </c>
      <c r="G1612">
        <f t="shared" si="302"/>
        <v>14</v>
      </c>
      <c r="H1612" s="7">
        <f t="shared" si="304"/>
        <v>0.5576179854395088</v>
      </c>
      <c r="I1612" s="9">
        <f t="shared" si="305"/>
        <v>5.5606905177181636E-3</v>
      </c>
      <c r="J1612" s="9">
        <f t="shared" si="306"/>
        <v>57383.612857142856</v>
      </c>
      <c r="K1612" s="9">
        <f t="shared" si="297"/>
        <v>57302.431000000004</v>
      </c>
      <c r="L1612" s="9">
        <f t="shared" si="296"/>
        <v>52135.916888888903</v>
      </c>
      <c r="M1612" s="9">
        <f t="shared" si="307"/>
        <v>7.1309925117185313E-3</v>
      </c>
      <c r="N1612" s="9">
        <f t="shared" si="298"/>
        <v>9.4026685143355371E-3</v>
      </c>
    </row>
    <row r="1613" spans="1:14" x14ac:dyDescent="0.35">
      <c r="A1613" s="1">
        <v>44727</v>
      </c>
      <c r="B1613" s="2" t="s">
        <v>1612</v>
      </c>
      <c r="C1613">
        <f t="shared" si="299"/>
        <v>57558.92</v>
      </c>
      <c r="D1613">
        <f t="shared" si="300"/>
        <v>2022</v>
      </c>
      <c r="E1613">
        <f t="shared" si="301"/>
        <v>6</v>
      </c>
      <c r="F1613" t="str">
        <f t="shared" si="303"/>
        <v>June</v>
      </c>
      <c r="G1613">
        <f t="shared" si="302"/>
        <v>15</v>
      </c>
      <c r="H1613" s="7">
        <f t="shared" si="304"/>
        <v>0.25728424814596162</v>
      </c>
      <c r="I1613" s="9">
        <f t="shared" si="305"/>
        <v>2.5695383883032612E-3</v>
      </c>
      <c r="J1613" s="9">
        <f t="shared" si="306"/>
        <v>57360.887142857136</v>
      </c>
      <c r="K1613" s="9">
        <f t="shared" si="297"/>
        <v>57327.160666666678</v>
      </c>
      <c r="L1613" s="9">
        <f t="shared" si="296"/>
        <v>52228.942777777796</v>
      </c>
      <c r="M1613" s="9">
        <f t="shared" si="307"/>
        <v>7.2448745553010761E-3</v>
      </c>
      <c r="N1613" s="9">
        <f t="shared" si="298"/>
        <v>9.1936212653297537E-3</v>
      </c>
    </row>
    <row r="1614" spans="1:14" x14ac:dyDescent="0.35">
      <c r="A1614" s="1">
        <v>44729</v>
      </c>
      <c r="B1614" s="2" t="s">
        <v>1613</v>
      </c>
      <c r="C1614">
        <f t="shared" si="299"/>
        <v>57767.81</v>
      </c>
      <c r="D1614">
        <f t="shared" si="300"/>
        <v>2022</v>
      </c>
      <c r="E1614">
        <f t="shared" si="301"/>
        <v>6</v>
      </c>
      <c r="F1614" t="str">
        <f t="shared" si="303"/>
        <v>June</v>
      </c>
      <c r="G1614">
        <f t="shared" si="302"/>
        <v>17</v>
      </c>
      <c r="H1614" s="7">
        <f t="shared" si="304"/>
        <v>0.36291507901815989</v>
      </c>
      <c r="I1614" s="9">
        <f t="shared" si="305"/>
        <v>3.6225813120727445E-3</v>
      </c>
      <c r="J1614" s="9">
        <f t="shared" si="306"/>
        <v>57458.559999999998</v>
      </c>
      <c r="K1614" s="9">
        <f t="shared" si="297"/>
        <v>57391.804666666678</v>
      </c>
      <c r="L1614" s="9">
        <f t="shared" si="296"/>
        <v>52311.510444444451</v>
      </c>
      <c r="M1614" s="9">
        <f t="shared" si="307"/>
        <v>5.5816926446462514E-3</v>
      </c>
      <c r="N1614" s="9">
        <f t="shared" si="298"/>
        <v>8.5560162502046413E-3</v>
      </c>
    </row>
    <row r="1615" spans="1:14" x14ac:dyDescent="0.35">
      <c r="A1615" s="1">
        <v>44732</v>
      </c>
      <c r="B1615" s="2" t="s">
        <v>1614</v>
      </c>
      <c r="C1615">
        <f t="shared" si="299"/>
        <v>57326.18</v>
      </c>
      <c r="D1615">
        <f t="shared" si="300"/>
        <v>2022</v>
      </c>
      <c r="E1615">
        <f t="shared" si="301"/>
        <v>6</v>
      </c>
      <c r="F1615" t="str">
        <f t="shared" si="303"/>
        <v>June</v>
      </c>
      <c r="G1615">
        <f t="shared" si="302"/>
        <v>20</v>
      </c>
      <c r="H1615" s="7">
        <f t="shared" si="304"/>
        <v>-0.76449150487096085</v>
      </c>
      <c r="I1615" s="9">
        <f t="shared" si="305"/>
        <v>-7.6742872059519301E-3</v>
      </c>
      <c r="J1615" s="9">
        <f t="shared" si="306"/>
        <v>57404.648571428566</v>
      </c>
      <c r="K1615" s="9">
        <f t="shared" si="297"/>
        <v>57433.359333333341</v>
      </c>
      <c r="L1615" s="9">
        <f t="shared" si="296"/>
        <v>52383.387444444445</v>
      </c>
      <c r="M1615" s="9">
        <f t="shared" si="307"/>
        <v>4.889316003156923E-3</v>
      </c>
      <c r="N1615" s="9">
        <f t="shared" si="298"/>
        <v>8.6790984575060605E-3</v>
      </c>
    </row>
    <row r="1616" spans="1:14" x14ac:dyDescent="0.35">
      <c r="A1616" s="1">
        <v>44733</v>
      </c>
      <c r="B1616" s="2" t="s">
        <v>1615</v>
      </c>
      <c r="C1616">
        <f t="shared" si="299"/>
        <v>56749.120000000003</v>
      </c>
      <c r="D1616">
        <f t="shared" si="300"/>
        <v>2022</v>
      </c>
      <c r="E1616">
        <f t="shared" si="301"/>
        <v>6</v>
      </c>
      <c r="F1616" t="str">
        <f t="shared" si="303"/>
        <v>June</v>
      </c>
      <c r="G1616">
        <f t="shared" si="302"/>
        <v>21</v>
      </c>
      <c r="H1616" s="7">
        <f t="shared" si="304"/>
        <v>-1.0066255941002831</v>
      </c>
      <c r="I1616" s="9">
        <f t="shared" si="305"/>
        <v>-1.0117263286024266E-2</v>
      </c>
      <c r="J1616" s="9">
        <f t="shared" si="306"/>
        <v>57307.279999999992</v>
      </c>
      <c r="K1616" s="9">
        <f t="shared" si="297"/>
        <v>57438.632333333342</v>
      </c>
      <c r="L1616" s="9">
        <f t="shared" si="296"/>
        <v>52458.053000000014</v>
      </c>
      <c r="M1616" s="9">
        <f t="shared" si="307"/>
        <v>5.9035754335029474E-3</v>
      </c>
      <c r="N1616" s="9">
        <f t="shared" si="298"/>
        <v>8.7499438861283127E-3</v>
      </c>
    </row>
    <row r="1617" spans="1:14" x14ac:dyDescent="0.35">
      <c r="A1617" s="1">
        <v>44734</v>
      </c>
      <c r="B1617" s="2" t="s">
        <v>1616</v>
      </c>
      <c r="C1617">
        <f t="shared" si="299"/>
        <v>55824.08</v>
      </c>
      <c r="D1617">
        <f t="shared" si="300"/>
        <v>2022</v>
      </c>
      <c r="E1617">
        <f t="shared" si="301"/>
        <v>6</v>
      </c>
      <c r="F1617" t="str">
        <f t="shared" si="303"/>
        <v>June</v>
      </c>
      <c r="G1617">
        <f t="shared" si="302"/>
        <v>22</v>
      </c>
      <c r="H1617" s="7">
        <f t="shared" si="304"/>
        <v>-1.6300517082908084</v>
      </c>
      <c r="I1617" s="9">
        <f t="shared" si="305"/>
        <v>-1.6434832114582708E-2</v>
      </c>
      <c r="J1617" s="9">
        <f t="shared" si="306"/>
        <v>57104.31</v>
      </c>
      <c r="K1617" s="9">
        <f t="shared" si="297"/>
        <v>57420.411000000015</v>
      </c>
      <c r="L1617" s="9">
        <f t="shared" si="296"/>
        <v>52528.018000000011</v>
      </c>
      <c r="M1617" s="9">
        <f t="shared" si="307"/>
        <v>8.1531093841213896E-3</v>
      </c>
      <c r="N1617" s="9">
        <f t="shared" si="298"/>
        <v>9.2331509499549297E-3</v>
      </c>
    </row>
    <row r="1618" spans="1:14" x14ac:dyDescent="0.35">
      <c r="A1618" s="1">
        <v>44735</v>
      </c>
      <c r="B1618" s="2" t="s">
        <v>1617</v>
      </c>
      <c r="C1618">
        <f t="shared" si="299"/>
        <v>55766.45</v>
      </c>
      <c r="D1618">
        <f t="shared" si="300"/>
        <v>2022</v>
      </c>
      <c r="E1618">
        <f t="shared" si="301"/>
        <v>6</v>
      </c>
      <c r="F1618" t="str">
        <f t="shared" si="303"/>
        <v>June</v>
      </c>
      <c r="G1618">
        <f t="shared" si="302"/>
        <v>23</v>
      </c>
      <c r="H1618" s="7">
        <f t="shared" si="304"/>
        <v>-0.10323501972626266</v>
      </c>
      <c r="I1618" s="9">
        <f t="shared" si="305"/>
        <v>-1.0328834377530999E-3</v>
      </c>
      <c r="J1618" s="9">
        <f t="shared" si="306"/>
        <v>56914.82428571429</v>
      </c>
      <c r="K1618" s="9">
        <f t="shared" si="297"/>
        <v>57421.018000000011</v>
      </c>
      <c r="L1618" s="9">
        <f t="shared" si="296"/>
        <v>52596.513888888912</v>
      </c>
      <c r="M1618" s="9">
        <f t="shared" si="307"/>
        <v>8.2070594400542127E-3</v>
      </c>
      <c r="N1618" s="9">
        <f t="shared" si="298"/>
        <v>9.0080617970324864E-3</v>
      </c>
    </row>
    <row r="1619" spans="1:14" x14ac:dyDescent="0.35">
      <c r="A1619" s="1">
        <v>44736</v>
      </c>
      <c r="B1619" s="2" t="s">
        <v>1618</v>
      </c>
      <c r="C1619">
        <f t="shared" si="299"/>
        <v>55417.93</v>
      </c>
      <c r="D1619">
        <f t="shared" si="300"/>
        <v>2022</v>
      </c>
      <c r="E1619">
        <f t="shared" si="301"/>
        <v>6</v>
      </c>
      <c r="F1619" t="str">
        <f t="shared" si="303"/>
        <v>June</v>
      </c>
      <c r="G1619">
        <f t="shared" si="302"/>
        <v>24</v>
      </c>
      <c r="H1619" s="7">
        <f t="shared" si="304"/>
        <v>-0.62496357577001371</v>
      </c>
      <c r="I1619" s="9">
        <f t="shared" si="305"/>
        <v>-6.2692464805305954E-3</v>
      </c>
      <c r="J1619" s="9">
        <f t="shared" si="306"/>
        <v>56630.07</v>
      </c>
      <c r="K1619" s="9">
        <f t="shared" si="297"/>
        <v>57404.851000000002</v>
      </c>
      <c r="L1619" s="9">
        <f t="shared" si="296"/>
        <v>52677.729888888905</v>
      </c>
      <c r="M1619" s="9">
        <f t="shared" si="307"/>
        <v>7.2234944878501002E-3</v>
      </c>
      <c r="N1619" s="9">
        <f t="shared" si="298"/>
        <v>9.0635818706797863E-3</v>
      </c>
    </row>
    <row r="1620" spans="1:14" x14ac:dyDescent="0.35">
      <c r="A1620" s="1">
        <v>44739</v>
      </c>
      <c r="B1620" s="2" t="s">
        <v>1619</v>
      </c>
      <c r="C1620">
        <f t="shared" si="299"/>
        <v>55269.2</v>
      </c>
      <c r="D1620">
        <f t="shared" si="300"/>
        <v>2022</v>
      </c>
      <c r="E1620">
        <f t="shared" si="301"/>
        <v>6</v>
      </c>
      <c r="F1620" t="str">
        <f t="shared" si="303"/>
        <v>June</v>
      </c>
      <c r="G1620">
        <f t="shared" si="302"/>
        <v>27</v>
      </c>
      <c r="H1620" s="7">
        <f t="shared" si="304"/>
        <v>-0.26837884417552804</v>
      </c>
      <c r="I1620" s="9">
        <f t="shared" si="305"/>
        <v>-2.6873962584789929E-3</v>
      </c>
      <c r="J1620" s="9">
        <f t="shared" si="306"/>
        <v>56302.967142857146</v>
      </c>
      <c r="K1620" s="9">
        <f t="shared" si="297"/>
        <v>57338.456333333328</v>
      </c>
      <c r="L1620" s="9">
        <f t="shared" si="296"/>
        <v>52762.622444444467</v>
      </c>
      <c r="M1620" s="9">
        <f t="shared" si="307"/>
        <v>6.5405185289868642E-3</v>
      </c>
      <c r="N1620" s="9">
        <f t="shared" si="298"/>
        <v>7.821521013296865E-3</v>
      </c>
    </row>
    <row r="1621" spans="1:14" x14ac:dyDescent="0.35">
      <c r="A1621" s="1">
        <v>44740</v>
      </c>
      <c r="B1621" s="2" t="s">
        <v>1620</v>
      </c>
      <c r="C1621">
        <f t="shared" si="299"/>
        <v>55307.31</v>
      </c>
      <c r="D1621">
        <f t="shared" si="300"/>
        <v>2022</v>
      </c>
      <c r="E1621">
        <f t="shared" si="301"/>
        <v>6</v>
      </c>
      <c r="F1621" t="str">
        <f t="shared" si="303"/>
        <v>June</v>
      </c>
      <c r="G1621">
        <f t="shared" si="302"/>
        <v>28</v>
      </c>
      <c r="H1621" s="7">
        <f t="shared" si="304"/>
        <v>6.8953413474413569E-2</v>
      </c>
      <c r="I1621" s="9">
        <f t="shared" si="305"/>
        <v>6.8929651530753075E-4</v>
      </c>
      <c r="J1621" s="9">
        <f t="shared" si="306"/>
        <v>55951.467142857146</v>
      </c>
      <c r="K1621" s="9">
        <f t="shared" si="297"/>
        <v>57285.544333333339</v>
      </c>
      <c r="L1621" s="9">
        <f t="shared" si="296"/>
        <v>52834.375666666696</v>
      </c>
      <c r="M1621" s="9">
        <f t="shared" si="307"/>
        <v>5.8987661548814191E-3</v>
      </c>
      <c r="N1621" s="9">
        <f t="shared" si="298"/>
        <v>7.7648119687359109E-3</v>
      </c>
    </row>
    <row r="1622" spans="1:14" x14ac:dyDescent="0.35">
      <c r="A1622" s="1">
        <v>44741</v>
      </c>
      <c r="B1622" s="2" t="s">
        <v>1621</v>
      </c>
      <c r="C1622">
        <f t="shared" si="299"/>
        <v>54779.76</v>
      </c>
      <c r="D1622">
        <f t="shared" si="300"/>
        <v>2022</v>
      </c>
      <c r="E1622">
        <f t="shared" si="301"/>
        <v>6</v>
      </c>
      <c r="F1622" t="str">
        <f t="shared" si="303"/>
        <v>June</v>
      </c>
      <c r="G1622">
        <f t="shared" si="302"/>
        <v>29</v>
      </c>
      <c r="H1622" s="7">
        <f t="shared" si="304"/>
        <v>-0.95385221230248896</v>
      </c>
      <c r="I1622" s="9">
        <f t="shared" si="305"/>
        <v>-9.58430519298893E-3</v>
      </c>
      <c r="J1622" s="9">
        <f t="shared" si="306"/>
        <v>55587.692857142865</v>
      </c>
      <c r="K1622" s="9">
        <f t="shared" si="297"/>
        <v>57180.906666666662</v>
      </c>
      <c r="L1622" s="9">
        <f t="shared" si="296"/>
        <v>52897.099111111129</v>
      </c>
      <c r="M1622" s="9">
        <f t="shared" si="307"/>
        <v>6.0202767107049313E-3</v>
      </c>
      <c r="N1622" s="9">
        <f t="shared" si="298"/>
        <v>7.0593310671467659E-3</v>
      </c>
    </row>
    <row r="1623" spans="1:14" x14ac:dyDescent="0.35">
      <c r="A1623" s="1">
        <v>44742</v>
      </c>
      <c r="B1623" s="2" t="s">
        <v>1622</v>
      </c>
      <c r="C1623">
        <f t="shared" si="299"/>
        <v>55022.87</v>
      </c>
      <c r="D1623">
        <f t="shared" si="300"/>
        <v>2022</v>
      </c>
      <c r="E1623">
        <f t="shared" si="301"/>
        <v>6</v>
      </c>
      <c r="F1623" t="str">
        <f t="shared" si="303"/>
        <v>June</v>
      </c>
      <c r="G1623">
        <f t="shared" si="302"/>
        <v>30</v>
      </c>
      <c r="H1623" s="7">
        <f t="shared" si="304"/>
        <v>0.44379529957780134</v>
      </c>
      <c r="I1623" s="9">
        <f t="shared" si="305"/>
        <v>4.428134321540083E-3</v>
      </c>
      <c r="J1623" s="9">
        <f t="shared" si="306"/>
        <v>55341.085714285713</v>
      </c>
      <c r="K1623" s="9">
        <f t="shared" si="297"/>
        <v>57082.455999999998</v>
      </c>
      <c r="L1623" s="9">
        <f t="shared" si="296"/>
        <v>52972.407555555583</v>
      </c>
      <c r="M1623" s="9">
        <f t="shared" si="307"/>
        <v>6.9918342591883216E-3</v>
      </c>
      <c r="N1623" s="9">
        <f t="shared" si="298"/>
        <v>7.1346277254012418E-3</v>
      </c>
    </row>
    <row r="1624" spans="1:14" x14ac:dyDescent="0.35">
      <c r="A1624" s="1">
        <v>44743</v>
      </c>
      <c r="B1624" s="2" t="s">
        <v>1623</v>
      </c>
      <c r="C1624">
        <f t="shared" si="299"/>
        <v>54485.41</v>
      </c>
      <c r="D1624">
        <f t="shared" si="300"/>
        <v>2022</v>
      </c>
      <c r="E1624">
        <f t="shared" si="301"/>
        <v>7</v>
      </c>
      <c r="F1624" t="str">
        <f t="shared" si="303"/>
        <v>July</v>
      </c>
      <c r="G1624">
        <f t="shared" si="302"/>
        <v>1</v>
      </c>
      <c r="H1624" s="7">
        <f t="shared" si="304"/>
        <v>-0.97679383136502906</v>
      </c>
      <c r="I1624" s="9">
        <f t="shared" si="305"/>
        <v>-9.8159575784477603E-3</v>
      </c>
      <c r="J1624" s="9">
        <f t="shared" si="306"/>
        <v>55149.84714285715</v>
      </c>
      <c r="K1624" s="9">
        <f t="shared" si="297"/>
        <v>56936.955999999998</v>
      </c>
      <c r="L1624" s="9">
        <f t="shared" si="296"/>
        <v>53041.120111111137</v>
      </c>
      <c r="M1624" s="9">
        <f t="shared" si="307"/>
        <v>5.3498274270371441E-3</v>
      </c>
      <c r="N1624" s="9">
        <f t="shared" si="298"/>
        <v>6.5437709577050177E-3</v>
      </c>
    </row>
    <row r="1625" spans="1:14" x14ac:dyDescent="0.35">
      <c r="A1625" s="1">
        <v>44746</v>
      </c>
      <c r="B1625" s="2" t="s">
        <v>1624</v>
      </c>
      <c r="C1625">
        <f t="shared" si="299"/>
        <v>54814.07</v>
      </c>
      <c r="D1625">
        <f t="shared" si="300"/>
        <v>2022</v>
      </c>
      <c r="E1625">
        <f t="shared" si="301"/>
        <v>7</v>
      </c>
      <c r="F1625" t="str">
        <f t="shared" si="303"/>
        <v>July</v>
      </c>
      <c r="G1625">
        <f t="shared" si="302"/>
        <v>4</v>
      </c>
      <c r="H1625" s="7">
        <f t="shared" si="304"/>
        <v>0.60320735404211179</v>
      </c>
      <c r="I1625" s="9">
        <f t="shared" si="305"/>
        <v>6.0139534162589178E-3</v>
      </c>
      <c r="J1625" s="9">
        <f t="shared" si="306"/>
        <v>55013.792857142857</v>
      </c>
      <c r="K1625" s="9">
        <f t="shared" si="297"/>
        <v>56797.362666666661</v>
      </c>
      <c r="L1625" s="9">
        <f t="shared" si="296"/>
        <v>53096.004111111142</v>
      </c>
      <c r="M1625" s="9">
        <f t="shared" si="307"/>
        <v>6.4368761743762055E-3</v>
      </c>
      <c r="N1625" s="9">
        <f t="shared" si="298"/>
        <v>6.666088319321411E-3</v>
      </c>
    </row>
    <row r="1626" spans="1:14" x14ac:dyDescent="0.35">
      <c r="A1626" s="1">
        <v>44747</v>
      </c>
      <c r="B1626" s="2" t="s">
        <v>1625</v>
      </c>
      <c r="C1626">
        <f t="shared" si="299"/>
        <v>55349.01</v>
      </c>
      <c r="D1626">
        <f t="shared" si="300"/>
        <v>2022</v>
      </c>
      <c r="E1626">
        <f t="shared" si="301"/>
        <v>7</v>
      </c>
      <c r="F1626" t="str">
        <f t="shared" si="303"/>
        <v>July</v>
      </c>
      <c r="G1626">
        <f t="shared" si="302"/>
        <v>5</v>
      </c>
      <c r="H1626" s="7">
        <f t="shared" si="304"/>
        <v>0.97591731466027309</v>
      </c>
      <c r="I1626" s="9">
        <f t="shared" si="305"/>
        <v>9.7118599921461567E-3</v>
      </c>
      <c r="J1626" s="9">
        <f t="shared" si="306"/>
        <v>55003.947142857141</v>
      </c>
      <c r="K1626" s="9">
        <f t="shared" si="297"/>
        <v>56701.748666666666</v>
      </c>
      <c r="L1626" s="9">
        <f t="shared" si="296"/>
        <v>53177.531333333354</v>
      </c>
      <c r="M1626" s="9">
        <f t="shared" si="307"/>
        <v>7.5914882960852765E-3</v>
      </c>
      <c r="N1626" s="9">
        <f t="shared" si="298"/>
        <v>6.6938553273893477E-3</v>
      </c>
    </row>
    <row r="1627" spans="1:14" x14ac:dyDescent="0.35">
      <c r="A1627" s="1">
        <v>44748</v>
      </c>
      <c r="B1627" s="2" t="s">
        <v>1626</v>
      </c>
      <c r="C1627">
        <f t="shared" si="299"/>
        <v>55702.45</v>
      </c>
      <c r="D1627">
        <f t="shared" si="300"/>
        <v>2022</v>
      </c>
      <c r="E1627">
        <f t="shared" si="301"/>
        <v>7</v>
      </c>
      <c r="F1627" t="str">
        <f t="shared" si="303"/>
        <v>July</v>
      </c>
      <c r="G1627">
        <f t="shared" si="302"/>
        <v>6</v>
      </c>
      <c r="H1627" s="7">
        <f t="shared" si="304"/>
        <v>0.63856607372018948</v>
      </c>
      <c r="I1627" s="9">
        <f t="shared" si="305"/>
        <v>6.3653587874169162E-3</v>
      </c>
      <c r="J1627" s="9">
        <f t="shared" si="306"/>
        <v>55065.840000000004</v>
      </c>
      <c r="K1627" s="9">
        <f t="shared" si="297"/>
        <v>56623.043999999994</v>
      </c>
      <c r="L1627" s="9">
        <f t="shared" si="296"/>
        <v>53277.670777777799</v>
      </c>
      <c r="M1627" s="9">
        <f t="shared" si="307"/>
        <v>7.8590824293290149E-3</v>
      </c>
      <c r="N1627" s="9">
        <f t="shared" si="298"/>
        <v>6.8495829044575773E-3</v>
      </c>
    </row>
    <row r="1628" spans="1:14" x14ac:dyDescent="0.35">
      <c r="A1628" s="1">
        <v>44749</v>
      </c>
      <c r="B1628" s="2" t="s">
        <v>1627</v>
      </c>
      <c r="C1628">
        <f t="shared" si="299"/>
        <v>56173.86</v>
      </c>
      <c r="D1628">
        <f t="shared" si="300"/>
        <v>2022</v>
      </c>
      <c r="E1628">
        <f t="shared" si="301"/>
        <v>7</v>
      </c>
      <c r="F1628" t="str">
        <f t="shared" si="303"/>
        <v>July</v>
      </c>
      <c r="G1628">
        <f t="shared" si="302"/>
        <v>7</v>
      </c>
      <c r="H1628" s="7">
        <f t="shared" si="304"/>
        <v>0.84630029738369406</v>
      </c>
      <c r="I1628" s="9">
        <f t="shared" si="305"/>
        <v>8.4273925372643204E-3</v>
      </c>
      <c r="J1628" s="9">
        <f t="shared" si="306"/>
        <v>55189.632857142853</v>
      </c>
      <c r="K1628" s="9">
        <f t="shared" si="297"/>
        <v>56563.268333333333</v>
      </c>
      <c r="L1628" s="9">
        <f t="shared" ref="L1628:L1691" si="308">AVERAGE(C1539:C1628)</f>
        <v>53374.08344444447</v>
      </c>
      <c r="M1628" s="9">
        <f t="shared" si="307"/>
        <v>8.3198509345438609E-3</v>
      </c>
      <c r="N1628" s="9">
        <f t="shared" si="298"/>
        <v>7.0792930888298614E-3</v>
      </c>
    </row>
    <row r="1629" spans="1:14" x14ac:dyDescent="0.35">
      <c r="A1629" s="1">
        <v>44750</v>
      </c>
      <c r="B1629" s="2" t="s">
        <v>1628</v>
      </c>
      <c r="C1629">
        <f t="shared" si="299"/>
        <v>56053.38</v>
      </c>
      <c r="D1629">
        <f t="shared" si="300"/>
        <v>2022</v>
      </c>
      <c r="E1629">
        <f t="shared" si="301"/>
        <v>7</v>
      </c>
      <c r="F1629" t="str">
        <f t="shared" si="303"/>
        <v>July</v>
      </c>
      <c r="G1629">
        <f t="shared" si="302"/>
        <v>8</v>
      </c>
      <c r="H1629" s="7">
        <f t="shared" si="304"/>
        <v>-0.21447698271046925</v>
      </c>
      <c r="I1629" s="9">
        <f t="shared" si="305"/>
        <v>-2.1470731398834197E-3</v>
      </c>
      <c r="J1629" s="9">
        <f t="shared" si="306"/>
        <v>55371.578571428567</v>
      </c>
      <c r="K1629" s="9">
        <f t="shared" si="297"/>
        <v>56512.623666666666</v>
      </c>
      <c r="L1629" s="9">
        <f t="shared" si="308"/>
        <v>53483.117111111133</v>
      </c>
      <c r="M1629" s="9">
        <f t="shared" si="307"/>
        <v>6.9177762946376264E-3</v>
      </c>
      <c r="N1629" s="9">
        <f t="shared" si="298"/>
        <v>6.9986408724042621E-3</v>
      </c>
    </row>
    <row r="1630" spans="1:14" x14ac:dyDescent="0.35">
      <c r="A1630" s="1">
        <v>44753</v>
      </c>
      <c r="B1630" s="2" t="s">
        <v>1629</v>
      </c>
      <c r="C1630">
        <f t="shared" si="299"/>
        <v>56747.88</v>
      </c>
      <c r="D1630">
        <f t="shared" si="300"/>
        <v>2022</v>
      </c>
      <c r="E1630">
        <f t="shared" si="301"/>
        <v>7</v>
      </c>
      <c r="F1630" t="str">
        <f t="shared" si="303"/>
        <v>July</v>
      </c>
      <c r="G1630">
        <f t="shared" si="302"/>
        <v>11</v>
      </c>
      <c r="H1630" s="7">
        <f t="shared" si="304"/>
        <v>1.238997541272266</v>
      </c>
      <c r="I1630" s="9">
        <f t="shared" si="305"/>
        <v>1.2313847834912036E-2</v>
      </c>
      <c r="J1630" s="9">
        <f t="shared" si="306"/>
        <v>55618.008571428574</v>
      </c>
      <c r="K1630" s="9">
        <f t="shared" si="297"/>
        <v>56488.058333333334</v>
      </c>
      <c r="L1630" s="9">
        <f t="shared" si="308"/>
        <v>53618.108000000029</v>
      </c>
      <c r="M1630" s="9">
        <f t="shared" si="307"/>
        <v>7.7296953848160236E-3</v>
      </c>
      <c r="N1630" s="9">
        <f t="shared" si="298"/>
        <v>7.3999956270228489E-3</v>
      </c>
    </row>
    <row r="1631" spans="1:14" x14ac:dyDescent="0.35">
      <c r="A1631" s="1">
        <v>44754</v>
      </c>
      <c r="B1631" s="2" t="s">
        <v>1630</v>
      </c>
      <c r="C1631">
        <f t="shared" si="299"/>
        <v>56759.62</v>
      </c>
      <c r="D1631">
        <f t="shared" si="300"/>
        <v>2022</v>
      </c>
      <c r="E1631">
        <f t="shared" si="301"/>
        <v>7</v>
      </c>
      <c r="F1631" t="str">
        <f t="shared" si="303"/>
        <v>July</v>
      </c>
      <c r="G1631">
        <f t="shared" si="302"/>
        <v>12</v>
      </c>
      <c r="H1631" s="7">
        <f t="shared" si="304"/>
        <v>2.068799750758132E-2</v>
      </c>
      <c r="I1631" s="9">
        <f t="shared" si="305"/>
        <v>2.0685857836478603E-4</v>
      </c>
      <c r="J1631" s="9">
        <f t="shared" si="306"/>
        <v>55942.895714285718</v>
      </c>
      <c r="K1631" s="9">
        <f t="shared" si="297"/>
        <v>56475.756333333331</v>
      </c>
      <c r="L1631" s="9">
        <f t="shared" si="308"/>
        <v>53748.096111111139</v>
      </c>
      <c r="M1631" s="9">
        <f t="shared" si="307"/>
        <v>5.1547464492913949E-3</v>
      </c>
      <c r="N1631" s="9">
        <f t="shared" si="298"/>
        <v>7.3193276408961222E-3</v>
      </c>
    </row>
    <row r="1632" spans="1:14" x14ac:dyDescent="0.35">
      <c r="A1632" s="1">
        <v>44755</v>
      </c>
      <c r="B1632" s="2" t="s">
        <v>1631</v>
      </c>
      <c r="C1632">
        <f t="shared" si="299"/>
        <v>56540.25</v>
      </c>
      <c r="D1632">
        <f t="shared" si="300"/>
        <v>2022</v>
      </c>
      <c r="E1632">
        <f t="shared" si="301"/>
        <v>7</v>
      </c>
      <c r="F1632" t="str">
        <f t="shared" si="303"/>
        <v>July</v>
      </c>
      <c r="G1632">
        <f t="shared" si="302"/>
        <v>13</v>
      </c>
      <c r="H1632" s="7">
        <f t="shared" si="304"/>
        <v>-0.3864895501414608</v>
      </c>
      <c r="I1632" s="9">
        <f t="shared" si="305"/>
        <v>-3.8723835098398479E-3</v>
      </c>
      <c r="J1632" s="9">
        <f t="shared" si="306"/>
        <v>56189.492857142861</v>
      </c>
      <c r="K1632" s="9">
        <f t="shared" ref="K1632:K1695" si="309">AVERAGE(C1603:C1632)</f>
        <v>56449.687000000005</v>
      </c>
      <c r="L1632" s="9">
        <f t="shared" si="308"/>
        <v>53890.40511111114</v>
      </c>
      <c r="M1632" s="9">
        <f t="shared" si="307"/>
        <v>6.3219227882744256E-3</v>
      </c>
      <c r="N1632" s="9">
        <f t="shared" si="298"/>
        <v>7.3161552787636541E-3</v>
      </c>
    </row>
    <row r="1633" spans="1:14" x14ac:dyDescent="0.35">
      <c r="A1633" s="1">
        <v>44756</v>
      </c>
      <c r="B1633" s="2" t="s">
        <v>1632</v>
      </c>
      <c r="C1633">
        <f t="shared" si="299"/>
        <v>57313.440000000002</v>
      </c>
      <c r="D1633">
        <f t="shared" si="300"/>
        <v>2022</v>
      </c>
      <c r="E1633">
        <f t="shared" si="301"/>
        <v>7</v>
      </c>
      <c r="F1633" t="str">
        <f t="shared" si="303"/>
        <v>July</v>
      </c>
      <c r="G1633">
        <f t="shared" si="302"/>
        <v>14</v>
      </c>
      <c r="H1633" s="7">
        <f t="shared" si="304"/>
        <v>1.367503681006013</v>
      </c>
      <c r="I1633" s="9">
        <f t="shared" si="305"/>
        <v>1.3582377286739448E-2</v>
      </c>
      <c r="J1633" s="9">
        <f t="shared" si="306"/>
        <v>56470.125714285714</v>
      </c>
      <c r="K1633" s="9">
        <f t="shared" si="309"/>
        <v>56447.321333333341</v>
      </c>
      <c r="L1633" s="9">
        <f t="shared" si="308"/>
        <v>54032.884333333372</v>
      </c>
      <c r="M1633" s="9">
        <f t="shared" si="307"/>
        <v>6.9944342084829652E-3</v>
      </c>
      <c r="N1633" s="9">
        <f t="shared" ref="N1633:N1696" si="310">STDEV(I1604:I1633)</f>
        <v>7.7499869435969041E-3</v>
      </c>
    </row>
    <row r="1634" spans="1:14" x14ac:dyDescent="0.35">
      <c r="A1634" s="1">
        <v>44757</v>
      </c>
      <c r="B1634" s="2" t="s">
        <v>1633</v>
      </c>
      <c r="C1634">
        <f t="shared" si="299"/>
        <v>57372.55</v>
      </c>
      <c r="D1634">
        <f t="shared" si="300"/>
        <v>2022</v>
      </c>
      <c r="E1634">
        <f t="shared" si="301"/>
        <v>7</v>
      </c>
      <c r="F1634" t="str">
        <f t="shared" si="303"/>
        <v>July</v>
      </c>
      <c r="G1634">
        <f t="shared" si="302"/>
        <v>15</v>
      </c>
      <c r="H1634" s="7">
        <f t="shared" si="304"/>
        <v>0.10313462252483985</v>
      </c>
      <c r="I1634" s="9">
        <f t="shared" si="305"/>
        <v>1.0308147531201011E-3</v>
      </c>
      <c r="J1634" s="9">
        <f t="shared" si="306"/>
        <v>56708.711428571427</v>
      </c>
      <c r="K1634" s="9">
        <f t="shared" si="309"/>
        <v>56453.228000000003</v>
      </c>
      <c r="L1634" s="9">
        <f t="shared" si="308"/>
        <v>54187.983444444486</v>
      </c>
      <c r="M1634" s="9">
        <f t="shared" si="307"/>
        <v>7.10831825590999E-3</v>
      </c>
      <c r="N1634" s="9">
        <f t="shared" si="310"/>
        <v>7.7274943158189098E-3</v>
      </c>
    </row>
    <row r="1635" spans="1:14" x14ac:dyDescent="0.35">
      <c r="A1635" s="1">
        <v>44760</v>
      </c>
      <c r="B1635" s="2" t="s">
        <v>1634</v>
      </c>
      <c r="C1635">
        <f t="shared" si="299"/>
        <v>56467.03</v>
      </c>
      <c r="D1635">
        <f t="shared" si="300"/>
        <v>2022</v>
      </c>
      <c r="E1635">
        <f t="shared" si="301"/>
        <v>7</v>
      </c>
      <c r="F1635" t="str">
        <f t="shared" si="303"/>
        <v>July</v>
      </c>
      <c r="G1635">
        <f t="shared" si="302"/>
        <v>18</v>
      </c>
      <c r="H1635" s="7">
        <f t="shared" si="304"/>
        <v>-1.5783157625031554</v>
      </c>
      <c r="I1635" s="9">
        <f t="shared" si="305"/>
        <v>-1.5909037940159299E-2</v>
      </c>
      <c r="J1635" s="9">
        <f t="shared" si="306"/>
        <v>56750.592857142859</v>
      </c>
      <c r="K1635" s="9">
        <f t="shared" si="309"/>
        <v>56408.462333333329</v>
      </c>
      <c r="L1635" s="9">
        <f t="shared" si="308"/>
        <v>54338.207888888923</v>
      </c>
      <c r="M1635" s="9">
        <f t="shared" si="307"/>
        <v>1.0050282468441247E-2</v>
      </c>
      <c r="N1635" s="9">
        <f t="shared" si="310"/>
        <v>7.9923520865253072E-3</v>
      </c>
    </row>
    <row r="1636" spans="1:14" x14ac:dyDescent="0.35">
      <c r="A1636" s="1">
        <v>44761</v>
      </c>
      <c r="B1636" s="2" t="s">
        <v>1635</v>
      </c>
      <c r="C1636">
        <f t="shared" si="299"/>
        <v>56054.77</v>
      </c>
      <c r="D1636">
        <f t="shared" si="300"/>
        <v>2022</v>
      </c>
      <c r="E1636">
        <f t="shared" si="301"/>
        <v>7</v>
      </c>
      <c r="F1636" t="str">
        <f t="shared" si="303"/>
        <v>July</v>
      </c>
      <c r="G1636">
        <f t="shared" si="302"/>
        <v>19</v>
      </c>
      <c r="H1636" s="7">
        <f t="shared" si="304"/>
        <v>-0.73008975325956049</v>
      </c>
      <c r="I1636" s="9">
        <f t="shared" si="305"/>
        <v>-7.3276795196343452E-3</v>
      </c>
      <c r="J1636" s="9">
        <f t="shared" si="306"/>
        <v>56750.791428571436</v>
      </c>
      <c r="K1636" s="9">
        <f t="shared" si="309"/>
        <v>56353.02133333333</v>
      </c>
      <c r="L1636" s="9">
        <f t="shared" si="308"/>
        <v>54460.523666666697</v>
      </c>
      <c r="M1636" s="9">
        <f t="shared" si="307"/>
        <v>1.0480178372476508E-2</v>
      </c>
      <c r="N1636" s="9">
        <f t="shared" si="310"/>
        <v>8.0804751639025861E-3</v>
      </c>
    </row>
    <row r="1637" spans="1:14" x14ac:dyDescent="0.35">
      <c r="A1637" s="1">
        <v>44762</v>
      </c>
      <c r="B1637" s="2" t="s">
        <v>1636</v>
      </c>
      <c r="C1637">
        <f t="shared" si="299"/>
        <v>56235.94</v>
      </c>
      <c r="D1637">
        <f t="shared" si="300"/>
        <v>2022</v>
      </c>
      <c r="E1637">
        <f t="shared" si="301"/>
        <v>7</v>
      </c>
      <c r="F1637" t="str">
        <f t="shared" si="303"/>
        <v>July</v>
      </c>
      <c r="G1637">
        <f t="shared" si="302"/>
        <v>20</v>
      </c>
      <c r="H1637" s="7">
        <f t="shared" si="304"/>
        <v>0.32320175428425724</v>
      </c>
      <c r="I1637" s="9">
        <f t="shared" si="305"/>
        <v>3.2268058007525967E-3</v>
      </c>
      <c r="J1637" s="9">
        <f t="shared" si="306"/>
        <v>56677.657142857148</v>
      </c>
      <c r="K1637" s="9">
        <f t="shared" si="309"/>
        <v>56324.749333333326</v>
      </c>
      <c r="L1637" s="9">
        <f t="shared" si="308"/>
        <v>54628.152444444473</v>
      </c>
      <c r="M1637" s="9">
        <f t="shared" si="307"/>
        <v>9.1838110087092226E-3</v>
      </c>
      <c r="N1637" s="9">
        <f t="shared" si="310"/>
        <v>7.8849743543343565E-3</v>
      </c>
    </row>
    <row r="1638" spans="1:14" x14ac:dyDescent="0.35">
      <c r="A1638" s="1">
        <v>44763</v>
      </c>
      <c r="B1638" s="2" t="s">
        <v>1637</v>
      </c>
      <c r="C1638">
        <f t="shared" si="299"/>
        <v>56338.33</v>
      </c>
      <c r="D1638">
        <f t="shared" si="300"/>
        <v>2022</v>
      </c>
      <c r="E1638">
        <f t="shared" si="301"/>
        <v>7</v>
      </c>
      <c r="F1638" t="str">
        <f t="shared" si="303"/>
        <v>July</v>
      </c>
      <c r="G1638">
        <f t="shared" si="302"/>
        <v>21</v>
      </c>
      <c r="H1638" s="7">
        <f t="shared" si="304"/>
        <v>0.18207217661872355</v>
      </c>
      <c r="I1638" s="9">
        <f t="shared" si="305"/>
        <v>1.8190662614832971E-3</v>
      </c>
      <c r="J1638" s="9">
        <f t="shared" si="306"/>
        <v>56617.472857142857</v>
      </c>
      <c r="K1638" s="9">
        <f t="shared" si="309"/>
        <v>56279.241666666669</v>
      </c>
      <c r="L1638" s="9">
        <f t="shared" si="308"/>
        <v>54796.918888888918</v>
      </c>
      <c r="M1638" s="9">
        <f t="shared" si="307"/>
        <v>9.2477344241566218E-3</v>
      </c>
      <c r="N1638" s="9">
        <f t="shared" si="310"/>
        <v>7.6071337257911315E-3</v>
      </c>
    </row>
    <row r="1639" spans="1:14" x14ac:dyDescent="0.35">
      <c r="A1639" s="1">
        <v>44764</v>
      </c>
      <c r="B1639" s="2" t="s">
        <v>1638</v>
      </c>
      <c r="C1639">
        <f t="shared" si="299"/>
        <v>56399.1</v>
      </c>
      <c r="D1639">
        <f t="shared" si="300"/>
        <v>2022</v>
      </c>
      <c r="E1639">
        <f t="shared" si="301"/>
        <v>7</v>
      </c>
      <c r="F1639" t="str">
        <f t="shared" si="303"/>
        <v>July</v>
      </c>
      <c r="G1639">
        <f t="shared" si="302"/>
        <v>22</v>
      </c>
      <c r="H1639" s="7">
        <f t="shared" si="304"/>
        <v>0.10786617210697726</v>
      </c>
      <c r="I1639" s="9">
        <f t="shared" si="305"/>
        <v>1.0780803835224177E-3</v>
      </c>
      <c r="J1639" s="9">
        <f t="shared" si="306"/>
        <v>56597.30857142857</v>
      </c>
      <c r="K1639" s="9">
        <f t="shared" si="309"/>
        <v>56244.854999999996</v>
      </c>
      <c r="L1639" s="9">
        <f t="shared" si="308"/>
        <v>54998.384333333364</v>
      </c>
      <c r="M1639" s="9">
        <f t="shared" si="307"/>
        <v>9.1862842509979181E-3</v>
      </c>
      <c r="N1639" s="9">
        <f t="shared" si="310"/>
        <v>7.5772812862215785E-3</v>
      </c>
    </row>
    <row r="1640" spans="1:14" x14ac:dyDescent="0.35">
      <c r="A1640" s="1">
        <v>44767</v>
      </c>
      <c r="B1640" s="2" t="s">
        <v>1639</v>
      </c>
      <c r="C1640">
        <f t="shared" si="299"/>
        <v>56174.93</v>
      </c>
      <c r="D1640">
        <f t="shared" si="300"/>
        <v>2022</v>
      </c>
      <c r="E1640">
        <f t="shared" si="301"/>
        <v>7</v>
      </c>
      <c r="F1640" t="str">
        <f t="shared" si="303"/>
        <v>July</v>
      </c>
      <c r="G1640">
        <f t="shared" si="302"/>
        <v>25</v>
      </c>
      <c r="H1640" s="7">
        <f t="shared" si="304"/>
        <v>-0.39747088162754063</v>
      </c>
      <c r="I1640" s="9">
        <f t="shared" si="305"/>
        <v>-3.982628965185757E-3</v>
      </c>
      <c r="J1640" s="9">
        <f t="shared" si="306"/>
        <v>56434.66428571428</v>
      </c>
      <c r="K1640" s="9">
        <f t="shared" si="309"/>
        <v>56209.190333333332</v>
      </c>
      <c r="L1640" s="9">
        <f t="shared" si="308"/>
        <v>55175.083555555568</v>
      </c>
      <c r="M1640" s="9">
        <f t="shared" si="307"/>
        <v>6.8445519190070908E-3</v>
      </c>
      <c r="N1640" s="9">
        <f t="shared" si="310"/>
        <v>7.5873839221405823E-3</v>
      </c>
    </row>
    <row r="1641" spans="1:14" x14ac:dyDescent="0.35">
      <c r="A1641" s="1">
        <v>44768</v>
      </c>
      <c r="B1641" s="2" t="s">
        <v>1640</v>
      </c>
      <c r="C1641">
        <f t="shared" si="299"/>
        <v>56617.02</v>
      </c>
      <c r="D1641">
        <f t="shared" si="300"/>
        <v>2022</v>
      </c>
      <c r="E1641">
        <f t="shared" si="301"/>
        <v>7</v>
      </c>
      <c r="F1641" t="str">
        <f t="shared" si="303"/>
        <v>July</v>
      </c>
      <c r="G1641">
        <f t="shared" si="302"/>
        <v>26</v>
      </c>
      <c r="H1641" s="7">
        <f t="shared" si="304"/>
        <v>0.78698807457347342</v>
      </c>
      <c r="I1641" s="9">
        <f t="shared" si="305"/>
        <v>7.839074755018445E-3</v>
      </c>
      <c r="J1641" s="9">
        <f t="shared" si="306"/>
        <v>56326.731428571431</v>
      </c>
      <c r="K1641" s="9">
        <f t="shared" si="309"/>
        <v>56193.329333333335</v>
      </c>
      <c r="L1641" s="9">
        <f t="shared" si="308"/>
        <v>55382.35033333335</v>
      </c>
      <c r="M1641" s="9">
        <f t="shared" si="307"/>
        <v>7.8939222532372118E-3</v>
      </c>
      <c r="N1641" s="9">
        <f t="shared" si="310"/>
        <v>7.7312503662599523E-3</v>
      </c>
    </row>
    <row r="1642" spans="1:14" x14ac:dyDescent="0.35">
      <c r="A1642" s="1">
        <v>44769</v>
      </c>
      <c r="B1642" s="2" t="s">
        <v>1641</v>
      </c>
      <c r="C1642">
        <f t="shared" si="299"/>
        <v>57483</v>
      </c>
      <c r="D1642">
        <f t="shared" si="300"/>
        <v>2022</v>
      </c>
      <c r="E1642">
        <f t="shared" si="301"/>
        <v>7</v>
      </c>
      <c r="F1642" t="str">
        <f t="shared" si="303"/>
        <v>July</v>
      </c>
      <c r="G1642">
        <f t="shared" si="302"/>
        <v>27</v>
      </c>
      <c r="H1642" s="7">
        <f t="shared" si="304"/>
        <v>1.5295400570358582</v>
      </c>
      <c r="I1642" s="9">
        <f t="shared" si="305"/>
        <v>1.5179605195955443E-2</v>
      </c>
      <c r="J1642" s="9">
        <f t="shared" si="306"/>
        <v>56471.87</v>
      </c>
      <c r="K1642" s="9">
        <f t="shared" si="309"/>
        <v>56195.722333333339</v>
      </c>
      <c r="L1642" s="9">
        <f t="shared" si="308"/>
        <v>55592.107222222236</v>
      </c>
      <c r="M1642" s="9">
        <f t="shared" si="307"/>
        <v>7.4261235513983755E-3</v>
      </c>
      <c r="N1642" s="9">
        <f t="shared" si="310"/>
        <v>8.168857222182838E-3</v>
      </c>
    </row>
    <row r="1643" spans="1:14" x14ac:dyDescent="0.35">
      <c r="A1643" s="1">
        <v>44770</v>
      </c>
      <c r="B1643" s="2" t="s">
        <v>1642</v>
      </c>
      <c r="C1643">
        <f t="shared" si="299"/>
        <v>57652.58</v>
      </c>
      <c r="D1643">
        <f t="shared" si="300"/>
        <v>2022</v>
      </c>
      <c r="E1643">
        <f t="shared" si="301"/>
        <v>7</v>
      </c>
      <c r="F1643" t="str">
        <f t="shared" si="303"/>
        <v>July</v>
      </c>
      <c r="G1643">
        <f t="shared" si="302"/>
        <v>28</v>
      </c>
      <c r="H1643" s="7">
        <f t="shared" si="304"/>
        <v>0.29500895917054043</v>
      </c>
      <c r="I1643" s="9">
        <f t="shared" si="305"/>
        <v>2.9457466167527838E-3</v>
      </c>
      <c r="J1643" s="9">
        <f t="shared" si="306"/>
        <v>56700.128571428577</v>
      </c>
      <c r="K1643" s="9">
        <f t="shared" si="309"/>
        <v>56198.844333333342</v>
      </c>
      <c r="L1643" s="9">
        <f t="shared" si="308"/>
        <v>55770.696111111123</v>
      </c>
      <c r="M1643" s="9">
        <f t="shared" si="307"/>
        <v>6.0338793575506495E-3</v>
      </c>
      <c r="N1643" s="9">
        <f t="shared" si="310"/>
        <v>8.1731593025820386E-3</v>
      </c>
    </row>
    <row r="1644" spans="1:14" x14ac:dyDescent="0.35">
      <c r="A1644" s="1">
        <v>44771</v>
      </c>
      <c r="B1644" s="2" t="s">
        <v>1643</v>
      </c>
      <c r="C1644">
        <f t="shared" si="299"/>
        <v>57246.91</v>
      </c>
      <c r="D1644">
        <f t="shared" si="300"/>
        <v>2022</v>
      </c>
      <c r="E1644">
        <f t="shared" si="301"/>
        <v>7</v>
      </c>
      <c r="F1644" t="str">
        <f t="shared" si="303"/>
        <v>July</v>
      </c>
      <c r="G1644">
        <f t="shared" si="302"/>
        <v>29</v>
      </c>
      <c r="H1644" s="7">
        <f t="shared" si="304"/>
        <v>-0.70364587326360462</v>
      </c>
      <c r="I1644" s="9">
        <f t="shared" si="305"/>
        <v>-7.0613313538397263E-3</v>
      </c>
      <c r="J1644" s="9">
        <f t="shared" si="306"/>
        <v>56844.552857142859</v>
      </c>
      <c r="K1644" s="9">
        <f t="shared" si="309"/>
        <v>56181.481000000007</v>
      </c>
      <c r="L1644" s="9">
        <f t="shared" si="308"/>
        <v>55956.770333333341</v>
      </c>
      <c r="M1644" s="9">
        <f t="shared" si="307"/>
        <v>7.364231661503351E-3</v>
      </c>
      <c r="N1644" s="9">
        <f t="shared" si="310"/>
        <v>8.2447641605623064E-3</v>
      </c>
    </row>
    <row r="1645" spans="1:14" x14ac:dyDescent="0.35">
      <c r="A1645" s="1">
        <v>44774</v>
      </c>
      <c r="B1645" s="2" t="s">
        <v>1644</v>
      </c>
      <c r="C1645">
        <f t="shared" si="299"/>
        <v>56928.87</v>
      </c>
      <c r="D1645">
        <f t="shared" si="300"/>
        <v>2022</v>
      </c>
      <c r="E1645">
        <f t="shared" si="301"/>
        <v>8</v>
      </c>
      <c r="F1645" t="str">
        <f t="shared" si="303"/>
        <v>August</v>
      </c>
      <c r="G1645">
        <f t="shared" si="302"/>
        <v>1</v>
      </c>
      <c r="H1645" s="7">
        <f t="shared" si="304"/>
        <v>-0.55555836987533624</v>
      </c>
      <c r="I1645" s="9">
        <f t="shared" si="305"/>
        <v>-5.5710733498781015E-3</v>
      </c>
      <c r="J1645" s="9">
        <f t="shared" si="306"/>
        <v>56928.915714285722</v>
      </c>
      <c r="K1645" s="9">
        <f t="shared" si="309"/>
        <v>56168.237333333338</v>
      </c>
      <c r="L1645" s="9">
        <f t="shared" si="308"/>
        <v>56098.450777777784</v>
      </c>
      <c r="M1645" s="9">
        <f t="shared" si="307"/>
        <v>7.9889361859870212E-3</v>
      </c>
      <c r="N1645" s="9">
        <f t="shared" si="310"/>
        <v>8.1886648633040151E-3</v>
      </c>
    </row>
    <row r="1646" spans="1:14" x14ac:dyDescent="0.35">
      <c r="A1646" s="1">
        <v>44775</v>
      </c>
      <c r="B1646" s="2" t="s">
        <v>1645</v>
      </c>
      <c r="C1646">
        <f t="shared" si="299"/>
        <v>56650.01</v>
      </c>
      <c r="D1646">
        <f t="shared" si="300"/>
        <v>2022</v>
      </c>
      <c r="E1646">
        <f t="shared" si="301"/>
        <v>8</v>
      </c>
      <c r="F1646" t="str">
        <f t="shared" si="303"/>
        <v>August</v>
      </c>
      <c r="G1646">
        <f t="shared" si="302"/>
        <v>2</v>
      </c>
      <c r="H1646" s="7">
        <f t="shared" si="304"/>
        <v>-0.48983933810736197</v>
      </c>
      <c r="I1646" s="9">
        <f t="shared" si="305"/>
        <v>-4.9104298322000441E-3</v>
      </c>
      <c r="J1646" s="9">
        <f t="shared" si="306"/>
        <v>56964.760000000009</v>
      </c>
      <c r="K1646" s="9">
        <f t="shared" si="309"/>
        <v>56164.933666666671</v>
      </c>
      <c r="L1646" s="9">
        <f t="shared" si="308"/>
        <v>56235.63455555556</v>
      </c>
      <c r="M1646" s="9">
        <f t="shared" si="307"/>
        <v>8.3527134325590731E-3</v>
      </c>
      <c r="N1646" s="9">
        <f t="shared" si="310"/>
        <v>8.0254691737236174E-3</v>
      </c>
    </row>
    <row r="1647" spans="1:14" x14ac:dyDescent="0.35">
      <c r="A1647" s="1">
        <v>44776</v>
      </c>
      <c r="B1647" s="2" t="s">
        <v>1646</v>
      </c>
      <c r="C1647">
        <f t="shared" si="299"/>
        <v>56425.11</v>
      </c>
      <c r="D1647">
        <f t="shared" si="300"/>
        <v>2022</v>
      </c>
      <c r="E1647">
        <f t="shared" si="301"/>
        <v>8</v>
      </c>
      <c r="F1647" t="str">
        <f t="shared" si="303"/>
        <v>August</v>
      </c>
      <c r="G1647">
        <f t="shared" si="302"/>
        <v>3</v>
      </c>
      <c r="H1647" s="7">
        <f t="shared" si="304"/>
        <v>-0.39699904730820246</v>
      </c>
      <c r="I1647" s="9">
        <f t="shared" si="305"/>
        <v>-3.9778918043331416E-3</v>
      </c>
      <c r="J1647" s="9">
        <f t="shared" si="306"/>
        <v>57000.5</v>
      </c>
      <c r="K1647" s="9">
        <f t="shared" si="309"/>
        <v>56184.968000000015</v>
      </c>
      <c r="L1647" s="9">
        <f t="shared" si="308"/>
        <v>56317.312555555567</v>
      </c>
      <c r="M1647" s="9">
        <f t="shared" si="307"/>
        <v>8.3522772206357024E-3</v>
      </c>
      <c r="N1647" s="9">
        <f t="shared" si="310"/>
        <v>7.4506087454419747E-3</v>
      </c>
    </row>
    <row r="1648" spans="1:14" x14ac:dyDescent="0.35">
      <c r="A1648" s="1">
        <v>44777</v>
      </c>
      <c r="B1648" s="2" t="s">
        <v>1647</v>
      </c>
      <c r="C1648">
        <f t="shared" si="299"/>
        <v>55872.6</v>
      </c>
      <c r="D1648">
        <f t="shared" si="300"/>
        <v>2022</v>
      </c>
      <c r="E1648">
        <f t="shared" si="301"/>
        <v>8</v>
      </c>
      <c r="F1648" t="str">
        <f t="shared" si="303"/>
        <v>August</v>
      </c>
      <c r="G1648">
        <f t="shared" si="302"/>
        <v>4</v>
      </c>
      <c r="H1648" s="7">
        <f t="shared" si="304"/>
        <v>-0.97919171092444834</v>
      </c>
      <c r="I1648" s="9">
        <f t="shared" si="305"/>
        <v>-9.8401732010819087E-3</v>
      </c>
      <c r="J1648" s="9">
        <f t="shared" si="306"/>
        <v>56894.154285714278</v>
      </c>
      <c r="K1648" s="9">
        <f t="shared" si="309"/>
        <v>56188.506333333346</v>
      </c>
      <c r="L1648" s="9">
        <f t="shared" si="308"/>
        <v>56388.496888888898</v>
      </c>
      <c r="M1648" s="9">
        <f t="shared" si="307"/>
        <v>8.4826919268384763E-3</v>
      </c>
      <c r="N1648" s="9">
        <f t="shared" si="310"/>
        <v>7.6773286694011029E-3</v>
      </c>
    </row>
    <row r="1649" spans="1:14" x14ac:dyDescent="0.35">
      <c r="A1649" s="1">
        <v>44778</v>
      </c>
      <c r="B1649" s="2" t="s">
        <v>1648</v>
      </c>
      <c r="C1649">
        <f t="shared" si="299"/>
        <v>55716.69</v>
      </c>
      <c r="D1649">
        <f t="shared" si="300"/>
        <v>2022</v>
      </c>
      <c r="E1649">
        <f t="shared" si="301"/>
        <v>8</v>
      </c>
      <c r="F1649" t="str">
        <f t="shared" si="303"/>
        <v>August</v>
      </c>
      <c r="G1649">
        <f t="shared" si="302"/>
        <v>5</v>
      </c>
      <c r="H1649" s="7">
        <f t="shared" si="304"/>
        <v>-0.27904554289579547</v>
      </c>
      <c r="I1649" s="9">
        <f t="shared" si="305"/>
        <v>-2.7943560076589967E-3</v>
      </c>
      <c r="J1649" s="9">
        <f t="shared" si="306"/>
        <v>56641.82428571429</v>
      </c>
      <c r="K1649" s="9">
        <f t="shared" si="309"/>
        <v>56198.465000000011</v>
      </c>
      <c r="L1649" s="9">
        <f t="shared" si="308"/>
        <v>56465.13177777778</v>
      </c>
      <c r="M1649" s="9">
        <f t="shared" si="307"/>
        <v>3.9791629136150426E-3</v>
      </c>
      <c r="N1649" s="9">
        <f t="shared" si="310"/>
        <v>7.604358617586366E-3</v>
      </c>
    </row>
    <row r="1650" spans="1:14" x14ac:dyDescent="0.35">
      <c r="A1650" s="1">
        <v>44781</v>
      </c>
      <c r="B1650" s="2" t="s">
        <v>1649</v>
      </c>
      <c r="C1650">
        <f t="shared" si="299"/>
        <v>55761.98</v>
      </c>
      <c r="D1650">
        <f t="shared" si="300"/>
        <v>2022</v>
      </c>
      <c r="E1650">
        <f t="shared" si="301"/>
        <v>8</v>
      </c>
      <c r="F1650" t="str">
        <f t="shared" si="303"/>
        <v>August</v>
      </c>
      <c r="G1650">
        <f t="shared" si="302"/>
        <v>8</v>
      </c>
      <c r="H1650" s="7">
        <f t="shared" si="304"/>
        <v>8.1286235776032056E-2</v>
      </c>
      <c r="I1650" s="9">
        <f t="shared" si="305"/>
        <v>8.1253216407657679E-4</v>
      </c>
      <c r="J1650" s="9">
        <f t="shared" si="306"/>
        <v>56371.73857142857</v>
      </c>
      <c r="K1650" s="9">
        <f t="shared" si="309"/>
        <v>56214.891000000011</v>
      </c>
      <c r="L1650" s="9">
        <f t="shared" si="308"/>
        <v>56506.212444444456</v>
      </c>
      <c r="M1650" s="9">
        <f t="shared" si="307"/>
        <v>3.3494587959817033E-3</v>
      </c>
      <c r="N1650" s="9">
        <f t="shared" si="310"/>
        <v>7.5856877915677608E-3</v>
      </c>
    </row>
    <row r="1651" spans="1:14" x14ac:dyDescent="0.35">
      <c r="A1651" s="1">
        <v>44783</v>
      </c>
      <c r="B1651" s="2" t="s">
        <v>1650</v>
      </c>
      <c r="C1651">
        <f t="shared" si="299"/>
        <v>55141.98</v>
      </c>
      <c r="D1651">
        <f t="shared" si="300"/>
        <v>2022</v>
      </c>
      <c r="E1651">
        <f t="shared" si="301"/>
        <v>8</v>
      </c>
      <c r="F1651" t="str">
        <f t="shared" si="303"/>
        <v>August</v>
      </c>
      <c r="G1651">
        <f t="shared" si="302"/>
        <v>10</v>
      </c>
      <c r="H1651" s="7">
        <f t="shared" si="304"/>
        <v>-1.11186869619766</v>
      </c>
      <c r="I1651" s="9">
        <f t="shared" si="305"/>
        <v>-1.1180961600255954E-2</v>
      </c>
      <c r="J1651" s="9">
        <f t="shared" si="306"/>
        <v>56071.034285714282</v>
      </c>
      <c r="K1651" s="9">
        <f t="shared" si="309"/>
        <v>56209.380000000005</v>
      </c>
      <c r="L1651" s="9">
        <f t="shared" si="308"/>
        <v>56530.720333333345</v>
      </c>
      <c r="M1651" s="9">
        <f t="shared" si="307"/>
        <v>4.0986713681703995E-3</v>
      </c>
      <c r="N1651" s="9">
        <f t="shared" si="310"/>
        <v>7.8687586852504744E-3</v>
      </c>
    </row>
    <row r="1652" spans="1:14" x14ac:dyDescent="0.35">
      <c r="A1652" s="1">
        <v>44784</v>
      </c>
      <c r="B1652" s="2" t="s">
        <v>1651</v>
      </c>
      <c r="C1652">
        <f t="shared" si="299"/>
        <v>55478.45</v>
      </c>
      <c r="D1652">
        <f t="shared" si="300"/>
        <v>2022</v>
      </c>
      <c r="E1652">
        <f t="shared" si="301"/>
        <v>8</v>
      </c>
      <c r="F1652" t="str">
        <f t="shared" si="303"/>
        <v>August</v>
      </c>
      <c r="G1652">
        <f t="shared" si="302"/>
        <v>11</v>
      </c>
      <c r="H1652" s="7">
        <f t="shared" si="304"/>
        <v>0.61018846258330561</v>
      </c>
      <c r="I1652" s="9">
        <f t="shared" si="305"/>
        <v>6.0833435134308523E-3</v>
      </c>
      <c r="J1652" s="9">
        <f t="shared" si="306"/>
        <v>55863.83142857143</v>
      </c>
      <c r="K1652" s="9">
        <f t="shared" si="309"/>
        <v>56232.669666666668</v>
      </c>
      <c r="L1652" s="9">
        <f t="shared" si="308"/>
        <v>56559.072555555569</v>
      </c>
      <c r="M1652" s="9">
        <f t="shared" si="307"/>
        <v>5.9456512778435578E-3</v>
      </c>
      <c r="N1652" s="9">
        <f t="shared" si="310"/>
        <v>7.7363811734608772E-3</v>
      </c>
    </row>
    <row r="1653" spans="1:14" x14ac:dyDescent="0.35">
      <c r="A1653" s="1">
        <v>44785</v>
      </c>
      <c r="B1653" s="2" t="s">
        <v>1652</v>
      </c>
      <c r="C1653">
        <f t="shared" si="299"/>
        <v>55571.45</v>
      </c>
      <c r="D1653">
        <f t="shared" si="300"/>
        <v>2022</v>
      </c>
      <c r="E1653">
        <f t="shared" si="301"/>
        <v>8</v>
      </c>
      <c r="F1653" t="str">
        <f t="shared" si="303"/>
        <v>August</v>
      </c>
      <c r="G1653">
        <f t="shared" si="302"/>
        <v>12</v>
      </c>
      <c r="H1653" s="7">
        <f t="shared" si="304"/>
        <v>0.16763265736515709</v>
      </c>
      <c r="I1653" s="9">
        <f t="shared" si="305"/>
        <v>1.6749231064879947E-3</v>
      </c>
      <c r="J1653" s="9">
        <f t="shared" si="306"/>
        <v>55709.751428571428</v>
      </c>
      <c r="K1653" s="9">
        <f t="shared" si="309"/>
        <v>56250.955666666669</v>
      </c>
      <c r="L1653" s="9">
        <f t="shared" si="308"/>
        <v>56588.112555555563</v>
      </c>
      <c r="M1653" s="9">
        <f t="shared" si="307"/>
        <v>6.2337894498653819E-3</v>
      </c>
      <c r="N1653" s="9">
        <f t="shared" si="310"/>
        <v>7.7034850923856299E-3</v>
      </c>
    </row>
    <row r="1654" spans="1:14" x14ac:dyDescent="0.35">
      <c r="A1654" s="1">
        <v>44788</v>
      </c>
      <c r="B1654" s="2" t="s">
        <v>1653</v>
      </c>
      <c r="C1654">
        <f t="shared" si="299"/>
        <v>55936.83</v>
      </c>
      <c r="D1654">
        <f t="shared" si="300"/>
        <v>2022</v>
      </c>
      <c r="E1654">
        <f t="shared" si="301"/>
        <v>8</v>
      </c>
      <c r="F1654" t="str">
        <f t="shared" si="303"/>
        <v>August</v>
      </c>
      <c r="G1654">
        <f t="shared" si="302"/>
        <v>15</v>
      </c>
      <c r="H1654" s="7">
        <f t="shared" si="304"/>
        <v>0.65749589042575762</v>
      </c>
      <c r="I1654" s="9">
        <f t="shared" si="305"/>
        <v>6.5534381425385695E-3</v>
      </c>
      <c r="J1654" s="9">
        <f t="shared" si="306"/>
        <v>55639.997142857152</v>
      </c>
      <c r="K1654" s="9">
        <f t="shared" si="309"/>
        <v>56299.336333333333</v>
      </c>
      <c r="L1654" s="9">
        <f t="shared" si="308"/>
        <v>56633.6318888889</v>
      </c>
      <c r="M1654" s="9">
        <f t="shared" si="307"/>
        <v>7.0978917577764955E-3</v>
      </c>
      <c r="N1654" s="9">
        <f t="shared" si="310"/>
        <v>7.537956981419458E-3</v>
      </c>
    </row>
    <row r="1655" spans="1:14" x14ac:dyDescent="0.35">
      <c r="A1655" s="1">
        <v>44789</v>
      </c>
      <c r="B1655" s="2" t="s">
        <v>1654</v>
      </c>
      <c r="C1655">
        <f t="shared" si="299"/>
        <v>56110.78</v>
      </c>
      <c r="D1655">
        <f t="shared" si="300"/>
        <v>2022</v>
      </c>
      <c r="E1655">
        <f t="shared" si="301"/>
        <v>8</v>
      </c>
      <c r="F1655" t="str">
        <f t="shared" si="303"/>
        <v>August</v>
      </c>
      <c r="G1655">
        <f t="shared" si="302"/>
        <v>16</v>
      </c>
      <c r="H1655" s="7">
        <f t="shared" si="304"/>
        <v>0.31097579179942281</v>
      </c>
      <c r="I1655" s="9">
        <f t="shared" si="305"/>
        <v>3.1049326219202314E-3</v>
      </c>
      <c r="J1655" s="9">
        <f t="shared" si="306"/>
        <v>55674.02285714286</v>
      </c>
      <c r="K1655" s="9">
        <f t="shared" si="309"/>
        <v>56342.560000000005</v>
      </c>
      <c r="L1655" s="9">
        <f t="shared" si="308"/>
        <v>56689.994111111126</v>
      </c>
      <c r="M1655" s="9">
        <f t="shared" si="307"/>
        <v>6.1005203807069893E-3</v>
      </c>
      <c r="N1655" s="9">
        <f t="shared" si="310"/>
        <v>7.4881343244931585E-3</v>
      </c>
    </row>
    <row r="1656" spans="1:14" x14ac:dyDescent="0.35">
      <c r="A1656" s="1">
        <v>44790</v>
      </c>
      <c r="B1656" s="2" t="s">
        <v>1655</v>
      </c>
      <c r="C1656">
        <f t="shared" si="299"/>
        <v>55722.79</v>
      </c>
      <c r="D1656">
        <f t="shared" si="300"/>
        <v>2022</v>
      </c>
      <c r="E1656">
        <f t="shared" si="301"/>
        <v>8</v>
      </c>
      <c r="F1656" t="str">
        <f t="shared" si="303"/>
        <v>August</v>
      </c>
      <c r="G1656">
        <f t="shared" si="302"/>
        <v>17</v>
      </c>
      <c r="H1656" s="7">
        <f t="shared" si="304"/>
        <v>-0.69147140709859667</v>
      </c>
      <c r="I1656" s="9">
        <f t="shared" si="305"/>
        <v>-6.9387314860666852E-3</v>
      </c>
      <c r="J1656" s="9">
        <f t="shared" si="306"/>
        <v>55674.894285714276</v>
      </c>
      <c r="K1656" s="9">
        <f t="shared" si="309"/>
        <v>56355.019333333337</v>
      </c>
      <c r="L1656" s="9">
        <f t="shared" si="308"/>
        <v>56715.304777777797</v>
      </c>
      <c r="M1656" s="9">
        <f t="shared" si="307"/>
        <v>6.6610683213861608E-3</v>
      </c>
      <c r="N1656" s="9">
        <f t="shared" si="310"/>
        <v>7.41998873505574E-3</v>
      </c>
    </row>
    <row r="1657" spans="1:14" x14ac:dyDescent="0.35">
      <c r="A1657" s="1">
        <v>44791</v>
      </c>
      <c r="B1657" s="2" t="s">
        <v>1656</v>
      </c>
      <c r="C1657">
        <f t="shared" si="299"/>
        <v>55993.42</v>
      </c>
      <c r="D1657">
        <f t="shared" si="300"/>
        <v>2022</v>
      </c>
      <c r="E1657">
        <f t="shared" si="301"/>
        <v>8</v>
      </c>
      <c r="F1657" t="str">
        <f t="shared" si="303"/>
        <v>August</v>
      </c>
      <c r="G1657">
        <f t="shared" si="302"/>
        <v>18</v>
      </c>
      <c r="H1657" s="7">
        <f t="shared" si="304"/>
        <v>0.48567202037083457</v>
      </c>
      <c r="I1657" s="9">
        <f t="shared" si="305"/>
        <v>4.8449643859196506E-3</v>
      </c>
      <c r="J1657" s="9">
        <f t="shared" si="306"/>
        <v>55707.957142857136</v>
      </c>
      <c r="K1657" s="9">
        <f t="shared" si="309"/>
        <v>56364.718333333338</v>
      </c>
      <c r="L1657" s="9">
        <f t="shared" si="308"/>
        <v>56725.818333333358</v>
      </c>
      <c r="M1657" s="9">
        <f t="shared" si="307"/>
        <v>6.9111431534651241E-3</v>
      </c>
      <c r="N1657" s="9">
        <f t="shared" si="310"/>
        <v>7.381691661280625E-3</v>
      </c>
    </row>
    <row r="1658" spans="1:14" x14ac:dyDescent="0.35">
      <c r="A1658" s="1">
        <v>44792</v>
      </c>
      <c r="B1658" s="2" t="s">
        <v>1657</v>
      </c>
      <c r="C1658">
        <f t="shared" si="299"/>
        <v>56090.51</v>
      </c>
      <c r="D1658">
        <f t="shared" si="300"/>
        <v>2022</v>
      </c>
      <c r="E1658">
        <f t="shared" si="301"/>
        <v>8</v>
      </c>
      <c r="F1658" t="str">
        <f t="shared" si="303"/>
        <v>August</v>
      </c>
      <c r="G1658">
        <f t="shared" si="302"/>
        <v>19</v>
      </c>
      <c r="H1658" s="7">
        <f t="shared" si="304"/>
        <v>0.17339537395644664</v>
      </c>
      <c r="I1658" s="9">
        <f t="shared" si="305"/>
        <v>1.7324521772880493E-3</v>
      </c>
      <c r="J1658" s="9">
        <f t="shared" si="306"/>
        <v>55843.461428571427</v>
      </c>
      <c r="K1658" s="9">
        <f t="shared" si="309"/>
        <v>56361.94000000001</v>
      </c>
      <c r="L1658" s="9">
        <f t="shared" si="308"/>
        <v>56740.051666666688</v>
      </c>
      <c r="M1658" s="9">
        <f t="shared" si="307"/>
        <v>4.5728692353827882E-3</v>
      </c>
      <c r="N1658" s="9">
        <f t="shared" si="310"/>
        <v>7.223055882816483E-3</v>
      </c>
    </row>
    <row r="1659" spans="1:14" x14ac:dyDescent="0.35">
      <c r="A1659" s="1">
        <v>44795</v>
      </c>
      <c r="B1659" s="2" t="s">
        <v>1658</v>
      </c>
      <c r="C1659">
        <f t="shared" si="299"/>
        <v>55573.79</v>
      </c>
      <c r="D1659">
        <f t="shared" si="300"/>
        <v>2022</v>
      </c>
      <c r="E1659">
        <f t="shared" si="301"/>
        <v>8</v>
      </c>
      <c r="F1659" t="str">
        <f t="shared" si="303"/>
        <v>August</v>
      </c>
      <c r="G1659">
        <f t="shared" si="302"/>
        <v>22</v>
      </c>
      <c r="H1659" s="7">
        <f t="shared" si="304"/>
        <v>-0.92122535523389093</v>
      </c>
      <c r="I1659" s="9">
        <f t="shared" si="305"/>
        <v>-9.2549487752000194E-3</v>
      </c>
      <c r="J1659" s="9">
        <f t="shared" si="306"/>
        <v>55857.08142857143</v>
      </c>
      <c r="K1659" s="9">
        <f t="shared" si="309"/>
        <v>56345.953666666668</v>
      </c>
      <c r="L1659" s="9">
        <f t="shared" si="308"/>
        <v>56747.743111111144</v>
      </c>
      <c r="M1659" s="9">
        <f t="shared" si="307"/>
        <v>5.9895394512517307E-3</v>
      </c>
      <c r="N1659" s="9">
        <f t="shared" si="310"/>
        <v>7.408429532927501E-3</v>
      </c>
    </row>
    <row r="1660" spans="1:14" x14ac:dyDescent="0.35">
      <c r="A1660" s="1">
        <v>44796</v>
      </c>
      <c r="B1660" s="2" t="s">
        <v>1659</v>
      </c>
      <c r="C1660">
        <f t="shared" si="299"/>
        <v>55219.21</v>
      </c>
      <c r="D1660">
        <f t="shared" si="300"/>
        <v>2022</v>
      </c>
      <c r="E1660">
        <f t="shared" si="301"/>
        <v>8</v>
      </c>
      <c r="F1660" t="str">
        <f t="shared" si="303"/>
        <v>August</v>
      </c>
      <c r="G1660">
        <f t="shared" si="302"/>
        <v>23</v>
      </c>
      <c r="H1660" s="7">
        <f t="shared" si="304"/>
        <v>-0.63803458428874782</v>
      </c>
      <c r="I1660" s="9">
        <f t="shared" si="305"/>
        <v>-6.4007872446215572E-3</v>
      </c>
      <c r="J1660" s="9">
        <f t="shared" si="306"/>
        <v>55806.76142857143</v>
      </c>
      <c r="K1660" s="9">
        <f t="shared" si="309"/>
        <v>56294.998</v>
      </c>
      <c r="L1660" s="9">
        <f t="shared" si="308"/>
        <v>56724.220888888907</v>
      </c>
      <c r="M1660" s="9">
        <f t="shared" si="307"/>
        <v>6.4298426770611188E-3</v>
      </c>
      <c r="N1660" s="9">
        <f t="shared" si="310"/>
        <v>7.092015820662833E-3</v>
      </c>
    </row>
    <row r="1661" spans="1:14" x14ac:dyDescent="0.35">
      <c r="A1661" s="1">
        <v>44797</v>
      </c>
      <c r="B1661" s="2" t="s">
        <v>1660</v>
      </c>
      <c r="C1661">
        <f t="shared" si="299"/>
        <v>55537.02</v>
      </c>
      <c r="D1661">
        <f t="shared" si="300"/>
        <v>2022</v>
      </c>
      <c r="E1661">
        <f t="shared" si="301"/>
        <v>8</v>
      </c>
      <c r="F1661" t="str">
        <f t="shared" si="303"/>
        <v>August</v>
      </c>
      <c r="G1661">
        <f t="shared" si="302"/>
        <v>24</v>
      </c>
      <c r="H1661" s="7">
        <f t="shared" si="304"/>
        <v>0.57554246067627135</v>
      </c>
      <c r="I1661" s="9">
        <f t="shared" si="305"/>
        <v>5.7389254268147881E-3</v>
      </c>
      <c r="J1661" s="9">
        <f t="shared" si="306"/>
        <v>55749.645714285718</v>
      </c>
      <c r="K1661" s="9">
        <f t="shared" si="309"/>
        <v>56254.244666666658</v>
      </c>
      <c r="L1661" s="9">
        <f t="shared" si="308"/>
        <v>56699.154111111136</v>
      </c>
      <c r="M1661" s="9">
        <f t="shared" si="307"/>
        <v>6.277876764317401E-3</v>
      </c>
      <c r="N1661" s="9">
        <f t="shared" si="310"/>
        <v>7.1932617011517472E-3</v>
      </c>
    </row>
    <row r="1662" spans="1:14" x14ac:dyDescent="0.35">
      <c r="A1662" s="1">
        <v>44798</v>
      </c>
      <c r="B1662" s="2" t="s">
        <v>1661</v>
      </c>
      <c r="C1662">
        <f t="shared" si="299"/>
        <v>55071.77</v>
      </c>
      <c r="D1662">
        <f t="shared" si="300"/>
        <v>2022</v>
      </c>
      <c r="E1662">
        <f t="shared" si="301"/>
        <v>8</v>
      </c>
      <c r="F1662" t="str">
        <f t="shared" si="303"/>
        <v>August</v>
      </c>
      <c r="G1662">
        <f t="shared" si="302"/>
        <v>25</v>
      </c>
      <c r="H1662" s="7">
        <f t="shared" si="304"/>
        <v>-0.83772950007040359</v>
      </c>
      <c r="I1662" s="9">
        <f t="shared" si="305"/>
        <v>-8.4125817463155065E-3</v>
      </c>
      <c r="J1662" s="9">
        <f t="shared" si="306"/>
        <v>55601.215714285725</v>
      </c>
      <c r="K1662" s="9">
        <f t="shared" si="309"/>
        <v>56205.295333333328</v>
      </c>
      <c r="L1662" s="9">
        <f t="shared" si="308"/>
        <v>56667.274111111132</v>
      </c>
      <c r="M1662" s="9">
        <f t="shared" si="307"/>
        <v>6.5197896068701685E-3</v>
      </c>
      <c r="N1662" s="9">
        <f t="shared" si="310"/>
        <v>7.3085814286199327E-3</v>
      </c>
    </row>
    <row r="1663" spans="1:14" x14ac:dyDescent="0.35">
      <c r="A1663" s="1">
        <v>44799</v>
      </c>
      <c r="B1663" s="2" t="s">
        <v>1662</v>
      </c>
      <c r="C1663">
        <f t="shared" si="299"/>
        <v>54339.47</v>
      </c>
      <c r="D1663">
        <f t="shared" si="300"/>
        <v>2022</v>
      </c>
      <c r="E1663">
        <f t="shared" si="301"/>
        <v>8</v>
      </c>
      <c r="F1663" t="str">
        <f t="shared" si="303"/>
        <v>August</v>
      </c>
      <c r="G1663">
        <f t="shared" si="302"/>
        <v>26</v>
      </c>
      <c r="H1663" s="7">
        <f t="shared" si="304"/>
        <v>-1.329719382543898</v>
      </c>
      <c r="I1663" s="9">
        <f t="shared" si="305"/>
        <v>-1.3386393123302491E-2</v>
      </c>
      <c r="J1663" s="9">
        <f t="shared" si="306"/>
        <v>55403.598571428578</v>
      </c>
      <c r="K1663" s="9">
        <f t="shared" si="309"/>
        <v>56106.162999999993</v>
      </c>
      <c r="L1663" s="9">
        <f t="shared" si="308"/>
        <v>56629.772000000012</v>
      </c>
      <c r="M1663" s="9">
        <f t="shared" si="307"/>
        <v>7.5908359604545221E-3</v>
      </c>
      <c r="N1663" s="9">
        <f t="shared" si="310"/>
        <v>7.1249998792526931E-3</v>
      </c>
    </row>
    <row r="1664" spans="1:14" x14ac:dyDescent="0.35">
      <c r="A1664" s="1">
        <v>44802</v>
      </c>
      <c r="B1664" s="2" t="s">
        <v>1663</v>
      </c>
      <c r="C1664">
        <f t="shared" si="299"/>
        <v>54532.68</v>
      </c>
      <c r="D1664">
        <f t="shared" si="300"/>
        <v>2022</v>
      </c>
      <c r="E1664">
        <f t="shared" si="301"/>
        <v>8</v>
      </c>
      <c r="F1664" t="str">
        <f t="shared" si="303"/>
        <v>August</v>
      </c>
      <c r="G1664">
        <f t="shared" si="302"/>
        <v>29</v>
      </c>
      <c r="H1664" s="7">
        <f t="shared" si="304"/>
        <v>0.35556106822536016</v>
      </c>
      <c r="I1664" s="9">
        <f t="shared" si="305"/>
        <v>3.5493044425264795E-3</v>
      </c>
      <c r="J1664" s="9">
        <f t="shared" si="306"/>
        <v>55194.921428571433</v>
      </c>
      <c r="K1664" s="9">
        <f t="shared" si="309"/>
        <v>56011.50066666666</v>
      </c>
      <c r="L1664" s="9">
        <f t="shared" si="308"/>
        <v>56589.157777777793</v>
      </c>
      <c r="M1664" s="9">
        <f t="shared" si="307"/>
        <v>7.3632292495714249E-3</v>
      </c>
      <c r="N1664" s="9">
        <f t="shared" si="310"/>
        <v>7.1738822971316356E-3</v>
      </c>
    </row>
    <row r="1665" spans="1:14" x14ac:dyDescent="0.35">
      <c r="A1665" s="1">
        <v>44803</v>
      </c>
      <c r="B1665" s="2" t="s">
        <v>1664</v>
      </c>
      <c r="C1665">
        <f t="shared" si="299"/>
        <v>54714.75</v>
      </c>
      <c r="D1665">
        <f t="shared" si="300"/>
        <v>2022</v>
      </c>
      <c r="E1665">
        <f t="shared" si="301"/>
        <v>8</v>
      </c>
      <c r="F1665" t="str">
        <f t="shared" si="303"/>
        <v>August</v>
      </c>
      <c r="G1665">
        <f t="shared" si="302"/>
        <v>30</v>
      </c>
      <c r="H1665" s="7">
        <f t="shared" si="304"/>
        <v>0.33387319310182395</v>
      </c>
      <c r="I1665" s="9">
        <f t="shared" si="305"/>
        <v>3.3331707403434453E-3</v>
      </c>
      <c r="J1665" s="9">
        <f t="shared" si="306"/>
        <v>54998.384285714288</v>
      </c>
      <c r="K1665" s="9">
        <f t="shared" si="309"/>
        <v>55953.09133333333</v>
      </c>
      <c r="L1665" s="9">
        <f t="shared" si="308"/>
        <v>56554.191000000013</v>
      </c>
      <c r="M1665" s="9">
        <f t="shared" si="307"/>
        <v>7.5843591045259562E-3</v>
      </c>
      <c r="N1665" s="9">
        <f t="shared" si="310"/>
        <v>6.703747202857999E-3</v>
      </c>
    </row>
    <row r="1666" spans="1:14" x14ac:dyDescent="0.35">
      <c r="A1666" s="1">
        <v>44804</v>
      </c>
      <c r="B1666" s="2" t="s">
        <v>1665</v>
      </c>
      <c r="C1666">
        <f t="shared" si="299"/>
        <v>53993.87</v>
      </c>
      <c r="D1666">
        <f t="shared" si="300"/>
        <v>2022</v>
      </c>
      <c r="E1666">
        <f t="shared" si="301"/>
        <v>8</v>
      </c>
      <c r="F1666" t="str">
        <f t="shared" si="303"/>
        <v>August</v>
      </c>
      <c r="G1666">
        <f t="shared" si="302"/>
        <v>31</v>
      </c>
      <c r="H1666" s="7">
        <f t="shared" si="304"/>
        <v>-1.3175240680072511</v>
      </c>
      <c r="I1666" s="9">
        <f t="shared" si="305"/>
        <v>-1.3262804126975265E-2</v>
      </c>
      <c r="J1666" s="9">
        <f t="shared" si="306"/>
        <v>54772.681428571428</v>
      </c>
      <c r="K1666" s="9">
        <f t="shared" si="309"/>
        <v>55884.39466666666</v>
      </c>
      <c r="L1666" s="9">
        <f t="shared" si="308"/>
        <v>56511.50411111112</v>
      </c>
      <c r="M1666" s="9">
        <f t="shared" si="307"/>
        <v>8.2123032946317485E-3</v>
      </c>
      <c r="N1666" s="9">
        <f t="shared" si="310"/>
        <v>6.9773682563609536E-3</v>
      </c>
    </row>
    <row r="1667" spans="1:14" x14ac:dyDescent="0.35">
      <c r="A1667" s="1">
        <v>44805</v>
      </c>
      <c r="B1667" s="2" t="s">
        <v>1666</v>
      </c>
      <c r="C1667">
        <f t="shared" ref="C1667:C1730" si="311">_xlfn.NUMBERVALUE(B1667,".",",")</f>
        <v>53727.29</v>
      </c>
      <c r="D1667">
        <f t="shared" ref="D1667:D1730" si="312">YEAR(A1667)</f>
        <v>2022</v>
      </c>
      <c r="E1667">
        <f t="shared" ref="E1667:E1730" si="313">MONTH(A1667)</f>
        <v>9</v>
      </c>
      <c r="F1667" t="str">
        <f t="shared" si="303"/>
        <v>September</v>
      </c>
      <c r="G1667">
        <f t="shared" ref="G1667:G1730" si="314">DAY(A1667)</f>
        <v>1</v>
      </c>
      <c r="H1667" s="7">
        <f t="shared" si="304"/>
        <v>-0.49372271333764695</v>
      </c>
      <c r="I1667" s="9">
        <f t="shared" si="305"/>
        <v>-4.9494555053635984E-3</v>
      </c>
      <c r="J1667" s="9">
        <f t="shared" si="306"/>
        <v>54559.549999999996</v>
      </c>
      <c r="K1667" s="9">
        <f t="shared" si="309"/>
        <v>55800.772999999994</v>
      </c>
      <c r="L1667" s="9">
        <f t="shared" si="308"/>
        <v>56466.872555555557</v>
      </c>
      <c r="M1667" s="9">
        <f t="shared" si="307"/>
        <v>8.1633033818986588E-3</v>
      </c>
      <c r="N1667" s="9">
        <f t="shared" si="310"/>
        <v>6.9561797605581866E-3</v>
      </c>
    </row>
    <row r="1668" spans="1:14" x14ac:dyDescent="0.35">
      <c r="A1668" s="1">
        <v>44806</v>
      </c>
      <c r="B1668" s="2" t="s">
        <v>1667</v>
      </c>
      <c r="C1668">
        <f t="shared" si="311"/>
        <v>54003.82</v>
      </c>
      <c r="D1668">
        <f t="shared" si="312"/>
        <v>2022</v>
      </c>
      <c r="E1668">
        <f t="shared" si="313"/>
        <v>9</v>
      </c>
      <c r="F1668" t="str">
        <f t="shared" ref="F1668:F1731" si="315">TEXT(A1668,"mmmm")</f>
        <v>September</v>
      </c>
      <c r="G1668">
        <f t="shared" si="314"/>
        <v>2</v>
      </c>
      <c r="H1668" s="7">
        <f t="shared" ref="H1668:H1731" si="316">((C1668-C1667)/C1667)*100</f>
        <v>0.51469188190954507</v>
      </c>
      <c r="I1668" s="9">
        <f t="shared" ref="I1668:I1731" si="317">LN(C1668/C1667)</f>
        <v>5.1337187063291261E-3</v>
      </c>
      <c r="J1668" s="9">
        <f t="shared" si="306"/>
        <v>54340.521428571425</v>
      </c>
      <c r="K1668" s="9">
        <f t="shared" si="309"/>
        <v>55722.956000000006</v>
      </c>
      <c r="L1668" s="9">
        <f t="shared" si="308"/>
        <v>56433.790555555548</v>
      </c>
      <c r="M1668" s="9">
        <f t="shared" si="307"/>
        <v>8.0464118726936533E-3</v>
      </c>
      <c r="N1668" s="9">
        <f t="shared" si="310"/>
        <v>7.0369193371858053E-3</v>
      </c>
    </row>
    <row r="1669" spans="1:14" x14ac:dyDescent="0.35">
      <c r="A1669" s="1">
        <v>44809</v>
      </c>
      <c r="B1669" s="2" t="s">
        <v>1668</v>
      </c>
      <c r="C1669">
        <f t="shared" si="311"/>
        <v>54945.89</v>
      </c>
      <c r="D1669">
        <f t="shared" si="312"/>
        <v>2022</v>
      </c>
      <c r="E1669">
        <f t="shared" si="313"/>
        <v>9</v>
      </c>
      <c r="F1669" t="str">
        <f t="shared" si="315"/>
        <v>September</v>
      </c>
      <c r="G1669">
        <f t="shared" si="314"/>
        <v>5</v>
      </c>
      <c r="H1669" s="7">
        <f t="shared" si="316"/>
        <v>1.7444506703414679</v>
      </c>
      <c r="I1669" s="9">
        <f t="shared" si="317"/>
        <v>1.7294097980891928E-2</v>
      </c>
      <c r="J1669" s="9">
        <f t="shared" si="306"/>
        <v>54322.538571428573</v>
      </c>
      <c r="K1669" s="9">
        <f t="shared" si="309"/>
        <v>55674.515666666666</v>
      </c>
      <c r="L1669" s="9">
        <f t="shared" si="308"/>
        <v>56412.658888888887</v>
      </c>
      <c r="M1669" s="9">
        <f t="shared" si="307"/>
        <v>1.1015103274009792E-2</v>
      </c>
      <c r="N1669" s="9">
        <f t="shared" si="310"/>
        <v>7.8145271285192316E-3</v>
      </c>
    </row>
    <row r="1670" spans="1:14" x14ac:dyDescent="0.35">
      <c r="A1670" s="1">
        <v>44810</v>
      </c>
      <c r="B1670" s="2" t="s">
        <v>1669</v>
      </c>
      <c r="C1670">
        <f t="shared" si="311"/>
        <v>54824.97</v>
      </c>
      <c r="D1670">
        <f t="shared" si="312"/>
        <v>2022</v>
      </c>
      <c r="E1670">
        <f t="shared" si="313"/>
        <v>9</v>
      </c>
      <c r="F1670" t="str">
        <f t="shared" si="315"/>
        <v>September</v>
      </c>
      <c r="G1670">
        <f t="shared" si="314"/>
        <v>6</v>
      </c>
      <c r="H1670" s="7">
        <f t="shared" si="316"/>
        <v>-0.22007105536009747</v>
      </c>
      <c r="I1670" s="9">
        <f t="shared" si="317"/>
        <v>-2.2031356757191388E-3</v>
      </c>
      <c r="J1670" s="9">
        <f t="shared" si="306"/>
        <v>54391.895714285718</v>
      </c>
      <c r="K1670" s="9">
        <f t="shared" si="309"/>
        <v>55629.517</v>
      </c>
      <c r="L1670" s="9">
        <f t="shared" si="308"/>
        <v>56385.419777777774</v>
      </c>
      <c r="M1670" s="9">
        <f t="shared" si="307"/>
        <v>9.5140127457817355E-3</v>
      </c>
      <c r="N1670" s="9">
        <f t="shared" si="310"/>
        <v>7.7968206246705812E-3</v>
      </c>
    </row>
    <row r="1671" spans="1:14" x14ac:dyDescent="0.35">
      <c r="A1671" s="1">
        <v>44811</v>
      </c>
      <c r="B1671" s="2" t="s">
        <v>1670</v>
      </c>
      <c r="C1671">
        <f t="shared" si="311"/>
        <v>55209.03</v>
      </c>
      <c r="D1671">
        <f t="shared" si="312"/>
        <v>2022</v>
      </c>
      <c r="E1671">
        <f t="shared" si="313"/>
        <v>9</v>
      </c>
      <c r="F1671" t="str">
        <f t="shared" si="315"/>
        <v>September</v>
      </c>
      <c r="G1671">
        <f t="shared" si="314"/>
        <v>7</v>
      </c>
      <c r="H1671" s="7">
        <f t="shared" si="316"/>
        <v>0.70052021916290641</v>
      </c>
      <c r="I1671" s="9">
        <f t="shared" si="317"/>
        <v>6.9807797525045408E-3</v>
      </c>
      <c r="J1671" s="9">
        <f t="shared" si="306"/>
        <v>54488.517142857141</v>
      </c>
      <c r="K1671" s="9">
        <f t="shared" si="309"/>
        <v>55582.584000000003</v>
      </c>
      <c r="L1671" s="9">
        <f t="shared" si="308"/>
        <v>56359.614666666646</v>
      </c>
      <c r="M1671" s="9">
        <f t="shared" si="307"/>
        <v>9.7367813041732733E-3</v>
      </c>
      <c r="N1671" s="9">
        <f t="shared" si="310"/>
        <v>7.7654977916964737E-3</v>
      </c>
    </row>
    <row r="1672" spans="1:14" x14ac:dyDescent="0.35">
      <c r="A1672" s="1">
        <v>44812</v>
      </c>
      <c r="B1672" s="2" t="s">
        <v>1671</v>
      </c>
      <c r="C1672">
        <f t="shared" si="311"/>
        <v>55271.38</v>
      </c>
      <c r="D1672">
        <f t="shared" si="312"/>
        <v>2022</v>
      </c>
      <c r="E1672">
        <f t="shared" si="313"/>
        <v>9</v>
      </c>
      <c r="F1672" t="str">
        <f t="shared" si="315"/>
        <v>September</v>
      </c>
      <c r="G1672">
        <f t="shared" si="314"/>
        <v>8</v>
      </c>
      <c r="H1672" s="7">
        <f t="shared" si="316"/>
        <v>0.11293442395202116</v>
      </c>
      <c r="I1672" s="9">
        <f t="shared" si="317"/>
        <v>1.1287070100369954E-3</v>
      </c>
      <c r="J1672" s="9">
        <f t="shared" si="306"/>
        <v>54568.035714285717</v>
      </c>
      <c r="K1672" s="9">
        <f t="shared" si="309"/>
        <v>55508.863333333327</v>
      </c>
      <c r="L1672" s="9">
        <f t="shared" si="308"/>
        <v>56335.672222222209</v>
      </c>
      <c r="M1672" s="9">
        <f t="shared" si="307"/>
        <v>9.7130745369715058E-3</v>
      </c>
      <c r="N1672" s="9">
        <f t="shared" si="310"/>
        <v>7.1666581128902972E-3</v>
      </c>
    </row>
    <row r="1673" spans="1:14" x14ac:dyDescent="0.35">
      <c r="A1673" s="1">
        <v>44813</v>
      </c>
      <c r="B1673" s="2" t="s">
        <v>1672</v>
      </c>
      <c r="C1673">
        <f t="shared" si="311"/>
        <v>54876.83</v>
      </c>
      <c r="D1673">
        <f t="shared" si="312"/>
        <v>2022</v>
      </c>
      <c r="E1673">
        <f t="shared" si="313"/>
        <v>9</v>
      </c>
      <c r="F1673" t="str">
        <f t="shared" si="315"/>
        <v>September</v>
      </c>
      <c r="G1673">
        <f t="shared" si="314"/>
        <v>9</v>
      </c>
      <c r="H1673" s="7">
        <f t="shared" si="316"/>
        <v>-0.71384141304232984</v>
      </c>
      <c r="I1673" s="9">
        <f t="shared" si="317"/>
        <v>-7.164014512073112E-3</v>
      </c>
      <c r="J1673" s="9">
        <f t="shared" ref="J1673:J1736" si="318">AVERAGE(C1667:C1673)</f>
        <v>54694.172857142861</v>
      </c>
      <c r="K1673" s="9">
        <f t="shared" si="309"/>
        <v>55416.338333333333</v>
      </c>
      <c r="L1673" s="9">
        <f t="shared" si="308"/>
        <v>56314.114444444429</v>
      </c>
      <c r="M1673" s="9">
        <f t="shared" si="307"/>
        <v>8.351974695787006E-3</v>
      </c>
      <c r="N1673" s="9">
        <f t="shared" si="310"/>
        <v>7.1973758032197474E-3</v>
      </c>
    </row>
    <row r="1674" spans="1:14" x14ac:dyDescent="0.35">
      <c r="A1674" s="1">
        <v>44816</v>
      </c>
      <c r="B1674" s="2" t="s">
        <v>1673</v>
      </c>
      <c r="C1674">
        <f t="shared" si="311"/>
        <v>55622.8</v>
      </c>
      <c r="D1674">
        <f t="shared" si="312"/>
        <v>2022</v>
      </c>
      <c r="E1674">
        <f t="shared" si="313"/>
        <v>9</v>
      </c>
      <c r="F1674" t="str">
        <f t="shared" si="315"/>
        <v>September</v>
      </c>
      <c r="G1674">
        <f t="shared" si="314"/>
        <v>12</v>
      </c>
      <c r="H1674" s="7">
        <f t="shared" si="316"/>
        <v>1.3593533008375323</v>
      </c>
      <c r="I1674" s="9">
        <f t="shared" si="317"/>
        <v>1.350196978381444E-2</v>
      </c>
      <c r="J1674" s="9">
        <f t="shared" si="318"/>
        <v>54964.959999999999</v>
      </c>
      <c r="K1674" s="9">
        <f t="shared" si="309"/>
        <v>55362.201333333345</v>
      </c>
      <c r="L1674" s="9">
        <f t="shared" si="308"/>
        <v>56311.828999999976</v>
      </c>
      <c r="M1674" s="9">
        <f t="shared" ref="M1674:M1737" si="319">STDEV(I1668:I1674)</f>
        <v>8.5847701279846613E-3</v>
      </c>
      <c r="N1674" s="9">
        <f t="shared" si="310"/>
        <v>7.6299204066068065E-3</v>
      </c>
    </row>
    <row r="1675" spans="1:14" x14ac:dyDescent="0.35">
      <c r="A1675" s="1">
        <v>44817</v>
      </c>
      <c r="B1675" s="2" t="s">
        <v>1674</v>
      </c>
      <c r="C1675">
        <f t="shared" si="311"/>
        <v>56406.89</v>
      </c>
      <c r="D1675">
        <f t="shared" si="312"/>
        <v>2022</v>
      </c>
      <c r="E1675">
        <f t="shared" si="313"/>
        <v>9</v>
      </c>
      <c r="F1675" t="str">
        <f t="shared" si="315"/>
        <v>September</v>
      </c>
      <c r="G1675">
        <f t="shared" si="314"/>
        <v>13</v>
      </c>
      <c r="H1675" s="7">
        <f t="shared" si="316"/>
        <v>1.4096557526769535</v>
      </c>
      <c r="I1675" s="9">
        <f t="shared" si="317"/>
        <v>1.3998125020811724E-2</v>
      </c>
      <c r="J1675" s="9">
        <f t="shared" si="318"/>
        <v>55308.255714285719</v>
      </c>
      <c r="K1675" s="9">
        <f t="shared" si="309"/>
        <v>55344.802000000003</v>
      </c>
      <c r="L1675" s="9">
        <f t="shared" si="308"/>
        <v>56315.466222222203</v>
      </c>
      <c r="M1675" s="9">
        <f t="shared" si="319"/>
        <v>9.2443051510449677E-3</v>
      </c>
      <c r="N1675" s="9">
        <f t="shared" si="310"/>
        <v>8.0471622702660509E-3</v>
      </c>
    </row>
    <row r="1676" spans="1:14" x14ac:dyDescent="0.35">
      <c r="A1676" s="1">
        <v>44818</v>
      </c>
      <c r="B1676" s="2" t="s">
        <v>1675</v>
      </c>
      <c r="C1676">
        <f t="shared" si="311"/>
        <v>56123.83</v>
      </c>
      <c r="D1676">
        <f t="shared" si="312"/>
        <v>2022</v>
      </c>
      <c r="E1676">
        <f t="shared" si="313"/>
        <v>9</v>
      </c>
      <c r="F1676" t="str">
        <f t="shared" si="315"/>
        <v>September</v>
      </c>
      <c r="G1676">
        <f t="shared" si="314"/>
        <v>14</v>
      </c>
      <c r="H1676" s="7">
        <f t="shared" si="316"/>
        <v>-0.50181812895551892</v>
      </c>
      <c r="I1676" s="9">
        <f t="shared" si="317"/>
        <v>-5.0308146433105565E-3</v>
      </c>
      <c r="J1676" s="9">
        <f t="shared" si="318"/>
        <v>55476.532857142862</v>
      </c>
      <c r="K1676" s="9">
        <f t="shared" si="309"/>
        <v>55327.262666666677</v>
      </c>
      <c r="L1676" s="9">
        <f t="shared" si="308"/>
        <v>56310.276222222208</v>
      </c>
      <c r="M1676" s="9">
        <f t="shared" si="319"/>
        <v>8.6165138592995526E-3</v>
      </c>
      <c r="N1676" s="9">
        <f t="shared" si="310"/>
        <v>8.0495666251445708E-3</v>
      </c>
    </row>
    <row r="1677" spans="1:14" x14ac:dyDescent="0.35">
      <c r="A1677" s="1">
        <v>44819</v>
      </c>
      <c r="B1677" s="2" t="s">
        <v>1676</v>
      </c>
      <c r="C1677">
        <f t="shared" si="311"/>
        <v>56220.41</v>
      </c>
      <c r="D1677">
        <f t="shared" si="312"/>
        <v>2022</v>
      </c>
      <c r="E1677">
        <f t="shared" si="313"/>
        <v>9</v>
      </c>
      <c r="F1677" t="str">
        <f t="shared" si="315"/>
        <v>September</v>
      </c>
      <c r="G1677">
        <f t="shared" si="314"/>
        <v>15</v>
      </c>
      <c r="H1677" s="7">
        <f t="shared" si="316"/>
        <v>0.17208376548785381</v>
      </c>
      <c r="I1677" s="9">
        <f t="shared" si="317"/>
        <v>1.7193587102006657E-3</v>
      </c>
      <c r="J1677" s="9">
        <f t="shared" si="318"/>
        <v>55675.881428571432</v>
      </c>
      <c r="K1677" s="9">
        <f t="shared" si="309"/>
        <v>55320.439333333328</v>
      </c>
      <c r="L1677" s="9">
        <f t="shared" si="308"/>
        <v>56308.606111111098</v>
      </c>
      <c r="M1677" s="9">
        <f t="shared" si="319"/>
        <v>8.3426427828891796E-3</v>
      </c>
      <c r="N1677" s="9">
        <f t="shared" si="310"/>
        <v>8.0272490681524544E-3</v>
      </c>
    </row>
    <row r="1678" spans="1:14" x14ac:dyDescent="0.35">
      <c r="A1678" s="1">
        <v>44820</v>
      </c>
      <c r="B1678" s="2" t="s">
        <v>1677</v>
      </c>
      <c r="C1678">
        <f t="shared" si="311"/>
        <v>56895.23</v>
      </c>
      <c r="D1678">
        <f t="shared" si="312"/>
        <v>2022</v>
      </c>
      <c r="E1678">
        <f t="shared" si="313"/>
        <v>9</v>
      </c>
      <c r="F1678" t="str">
        <f t="shared" si="315"/>
        <v>September</v>
      </c>
      <c r="G1678">
        <f t="shared" si="314"/>
        <v>16</v>
      </c>
      <c r="H1678" s="7">
        <f t="shared" si="316"/>
        <v>1.2003114171525957</v>
      </c>
      <c r="I1678" s="9">
        <f t="shared" si="317"/>
        <v>1.193164810513E-2</v>
      </c>
      <c r="J1678" s="9">
        <f t="shared" si="318"/>
        <v>55916.767142857141</v>
      </c>
      <c r="K1678" s="9">
        <f t="shared" si="309"/>
        <v>55354.526999999995</v>
      </c>
      <c r="L1678" s="9">
        <f t="shared" si="308"/>
        <v>56321.350444444448</v>
      </c>
      <c r="M1678" s="9">
        <f t="shared" si="319"/>
        <v>8.8710807001066358E-3</v>
      </c>
      <c r="N1678" s="9">
        <f t="shared" si="310"/>
        <v>8.1020965762503977E-3</v>
      </c>
    </row>
    <row r="1679" spans="1:14" x14ac:dyDescent="0.35">
      <c r="A1679" s="1">
        <v>44823</v>
      </c>
      <c r="B1679" s="2" t="s">
        <v>1678</v>
      </c>
      <c r="C1679">
        <f t="shared" si="311"/>
        <v>57853.9</v>
      </c>
      <c r="D1679">
        <f t="shared" si="312"/>
        <v>2022</v>
      </c>
      <c r="E1679">
        <f t="shared" si="313"/>
        <v>9</v>
      </c>
      <c r="F1679" t="str">
        <f t="shared" si="315"/>
        <v>September</v>
      </c>
      <c r="G1679">
        <f t="shared" si="314"/>
        <v>19</v>
      </c>
      <c r="H1679" s="7">
        <f t="shared" si="316"/>
        <v>1.6849742939785959</v>
      </c>
      <c r="I1679" s="9">
        <f t="shared" si="317"/>
        <v>1.6709360762390182E-2</v>
      </c>
      <c r="J1679" s="9">
        <f t="shared" si="318"/>
        <v>56285.698571428577</v>
      </c>
      <c r="K1679" s="9">
        <f t="shared" si="309"/>
        <v>55425.76733333333</v>
      </c>
      <c r="L1679" s="9">
        <f t="shared" si="308"/>
        <v>56343.027777777788</v>
      </c>
      <c r="M1679" s="9">
        <f t="shared" si="319"/>
        <v>9.8446169628119331E-3</v>
      </c>
      <c r="N1679" s="9">
        <f t="shared" si="310"/>
        <v>8.5878953597800668E-3</v>
      </c>
    </row>
    <row r="1680" spans="1:14" x14ac:dyDescent="0.35">
      <c r="A1680" s="1">
        <v>44824</v>
      </c>
      <c r="B1680" s="2" t="s">
        <v>1679</v>
      </c>
      <c r="C1680">
        <f t="shared" si="311"/>
        <v>57123.78</v>
      </c>
      <c r="D1680">
        <f t="shared" si="312"/>
        <v>2022</v>
      </c>
      <c r="E1680">
        <f t="shared" si="313"/>
        <v>9</v>
      </c>
      <c r="F1680" t="str">
        <f t="shared" si="315"/>
        <v>September</v>
      </c>
      <c r="G1680">
        <f t="shared" si="314"/>
        <v>20</v>
      </c>
      <c r="H1680" s="7">
        <f t="shared" si="316"/>
        <v>-1.2620065371565314</v>
      </c>
      <c r="I1680" s="9">
        <f t="shared" si="317"/>
        <v>-1.2700374785333366E-2</v>
      </c>
      <c r="J1680" s="9">
        <f t="shared" si="318"/>
        <v>56606.691428571437</v>
      </c>
      <c r="K1680" s="9">
        <f t="shared" si="309"/>
        <v>55471.160666666663</v>
      </c>
      <c r="L1680" s="9">
        <f t="shared" si="308"/>
        <v>56341.502666666682</v>
      </c>
      <c r="M1680" s="9">
        <f t="shared" si="319"/>
        <v>1.1249675881686804E-2</v>
      </c>
      <c r="N1680" s="9">
        <f t="shared" si="310"/>
        <v>8.9582721249532662E-3</v>
      </c>
    </row>
    <row r="1681" spans="1:14" x14ac:dyDescent="0.35">
      <c r="A1681" s="1">
        <v>44825</v>
      </c>
      <c r="B1681" s="2" t="s">
        <v>1680</v>
      </c>
      <c r="C1681">
        <f t="shared" si="311"/>
        <v>56781.94</v>
      </c>
      <c r="D1681">
        <f t="shared" si="312"/>
        <v>2022</v>
      </c>
      <c r="E1681">
        <f t="shared" si="313"/>
        <v>9</v>
      </c>
      <c r="F1681" t="str">
        <f t="shared" si="315"/>
        <v>September</v>
      </c>
      <c r="G1681">
        <f t="shared" si="314"/>
        <v>21</v>
      </c>
      <c r="H1681" s="7">
        <f t="shared" si="316"/>
        <v>-0.598419782444363</v>
      </c>
      <c r="I1681" s="9">
        <f t="shared" si="317"/>
        <v>-6.0021748910059607E-3</v>
      </c>
      <c r="J1681" s="9">
        <f t="shared" si="318"/>
        <v>56772.282857142862</v>
      </c>
      <c r="K1681" s="9">
        <f t="shared" si="309"/>
        <v>55525.825999999994</v>
      </c>
      <c r="L1681" s="9">
        <f t="shared" si="308"/>
        <v>56340.250111111127</v>
      </c>
      <c r="M1681" s="9">
        <f t="shared" si="319"/>
        <v>1.1418804198435738E-2</v>
      </c>
      <c r="N1681" s="9">
        <f t="shared" si="310"/>
        <v>8.7672124795291559E-3</v>
      </c>
    </row>
    <row r="1682" spans="1:14" x14ac:dyDescent="0.35">
      <c r="A1682" s="1">
        <v>44826</v>
      </c>
      <c r="B1682" s="2" t="s">
        <v>1681</v>
      </c>
      <c r="C1682">
        <f t="shared" si="311"/>
        <v>56243.78</v>
      </c>
      <c r="D1682">
        <f t="shared" si="312"/>
        <v>2022</v>
      </c>
      <c r="E1682">
        <f t="shared" si="313"/>
        <v>9</v>
      </c>
      <c r="F1682" t="str">
        <f t="shared" si="315"/>
        <v>September</v>
      </c>
      <c r="G1682">
        <f t="shared" si="314"/>
        <v>22</v>
      </c>
      <c r="H1682" s="7">
        <f t="shared" si="316"/>
        <v>-0.947766138317929</v>
      </c>
      <c r="I1682" s="9">
        <f t="shared" si="317"/>
        <v>-9.5228602287666213E-3</v>
      </c>
      <c r="J1682" s="9">
        <f t="shared" si="318"/>
        <v>56748.981428571431</v>
      </c>
      <c r="K1682" s="9">
        <f t="shared" si="309"/>
        <v>55551.336999999992</v>
      </c>
      <c r="L1682" s="9">
        <f t="shared" si="308"/>
        <v>56321.637777777789</v>
      </c>
      <c r="M1682" s="9">
        <f t="shared" si="319"/>
        <v>1.1080348563718628E-2</v>
      </c>
      <c r="N1682" s="9">
        <f t="shared" si="310"/>
        <v>8.9155176141856116E-3</v>
      </c>
    </row>
    <row r="1683" spans="1:14" x14ac:dyDescent="0.35">
      <c r="A1683" s="1">
        <v>44827</v>
      </c>
      <c r="B1683" s="2" t="s">
        <v>1682</v>
      </c>
      <c r="C1683">
        <f t="shared" si="311"/>
        <v>55335.81</v>
      </c>
      <c r="D1683">
        <f t="shared" si="312"/>
        <v>2022</v>
      </c>
      <c r="E1683">
        <f t="shared" si="313"/>
        <v>9</v>
      </c>
      <c r="F1683" t="str">
        <f t="shared" si="315"/>
        <v>September</v>
      </c>
      <c r="G1683">
        <f t="shared" si="314"/>
        <v>23</v>
      </c>
      <c r="H1683" s="7">
        <f t="shared" si="316"/>
        <v>-1.6143473998369264</v>
      </c>
      <c r="I1683" s="9">
        <f t="shared" si="317"/>
        <v>-1.6275199469656183E-2</v>
      </c>
      <c r="J1683" s="9">
        <f t="shared" si="318"/>
        <v>56636.407142857148</v>
      </c>
      <c r="K1683" s="9">
        <f t="shared" si="309"/>
        <v>55543.482333333333</v>
      </c>
      <c r="L1683" s="9">
        <f t="shared" si="308"/>
        <v>56292.298000000017</v>
      </c>
      <c r="M1683" s="9">
        <f t="shared" si="319"/>
        <v>1.2575452204739841E-2</v>
      </c>
      <c r="N1683" s="9">
        <f t="shared" si="310"/>
        <v>9.4190546027326429E-3</v>
      </c>
    </row>
    <row r="1684" spans="1:14" x14ac:dyDescent="0.35">
      <c r="A1684" s="1">
        <v>44830</v>
      </c>
      <c r="B1684" s="2" t="s">
        <v>1683</v>
      </c>
      <c r="C1684">
        <f t="shared" si="311"/>
        <v>55523.07</v>
      </c>
      <c r="D1684">
        <f t="shared" si="312"/>
        <v>2022</v>
      </c>
      <c r="E1684">
        <f t="shared" si="313"/>
        <v>9</v>
      </c>
      <c r="F1684" t="str">
        <f t="shared" si="315"/>
        <v>September</v>
      </c>
      <c r="G1684">
        <f t="shared" si="314"/>
        <v>26</v>
      </c>
      <c r="H1684" s="7">
        <f t="shared" si="316"/>
        <v>0.33840653999643638</v>
      </c>
      <c r="I1684" s="9">
        <f t="shared" si="317"/>
        <v>3.3783523359420921E-3</v>
      </c>
      <c r="J1684" s="9">
        <f t="shared" si="318"/>
        <v>56536.787142857145</v>
      </c>
      <c r="K1684" s="9">
        <f t="shared" si="309"/>
        <v>55529.690333333332</v>
      </c>
      <c r="L1684" s="9">
        <f t="shared" si="308"/>
        <v>56255.327555555574</v>
      </c>
      <c r="M1684" s="9">
        <f t="shared" si="319"/>
        <v>1.2672926049485339E-2</v>
      </c>
      <c r="N1684" s="9">
        <f t="shared" si="310"/>
        <v>9.3588779692661845E-3</v>
      </c>
    </row>
    <row r="1685" spans="1:14" x14ac:dyDescent="0.35">
      <c r="A1685" s="1">
        <v>44831</v>
      </c>
      <c r="B1685" s="2" t="s">
        <v>1684</v>
      </c>
      <c r="C1685">
        <f t="shared" si="311"/>
        <v>55591.09</v>
      </c>
      <c r="D1685">
        <f t="shared" si="312"/>
        <v>2022</v>
      </c>
      <c r="E1685">
        <f t="shared" si="313"/>
        <v>9</v>
      </c>
      <c r="F1685" t="str">
        <f t="shared" si="315"/>
        <v>September</v>
      </c>
      <c r="G1685">
        <f t="shared" si="314"/>
        <v>27</v>
      </c>
      <c r="H1685" s="7">
        <f t="shared" si="316"/>
        <v>0.12250763511455112</v>
      </c>
      <c r="I1685" s="9">
        <f t="shared" si="317"/>
        <v>1.2243265574196018E-3</v>
      </c>
      <c r="J1685" s="9">
        <f t="shared" si="318"/>
        <v>56350.481428571431</v>
      </c>
      <c r="K1685" s="9">
        <f t="shared" si="309"/>
        <v>55512.367333333343</v>
      </c>
      <c r="L1685" s="9">
        <f t="shared" si="308"/>
        <v>56217.430000000022</v>
      </c>
      <c r="M1685" s="9">
        <f t="shared" si="319"/>
        <v>1.1315121918142955E-2</v>
      </c>
      <c r="N1685" s="9">
        <f t="shared" si="310"/>
        <v>9.3419317249950774E-3</v>
      </c>
    </row>
    <row r="1686" spans="1:14" x14ac:dyDescent="0.35">
      <c r="A1686" s="1">
        <v>44832</v>
      </c>
      <c r="B1686" s="2" t="s">
        <v>1685</v>
      </c>
      <c r="C1686">
        <f t="shared" si="311"/>
        <v>55476.36</v>
      </c>
      <c r="D1686">
        <f t="shared" si="312"/>
        <v>2022</v>
      </c>
      <c r="E1686">
        <f t="shared" si="313"/>
        <v>9</v>
      </c>
      <c r="F1686" t="str">
        <f t="shared" si="315"/>
        <v>September</v>
      </c>
      <c r="G1686">
        <f t="shared" si="314"/>
        <v>28</v>
      </c>
      <c r="H1686" s="7">
        <f t="shared" si="316"/>
        <v>-0.20638199394902301</v>
      </c>
      <c r="I1686" s="9">
        <f t="shared" si="317"/>
        <v>-2.0659525505836115E-3</v>
      </c>
      <c r="J1686" s="9">
        <f t="shared" si="318"/>
        <v>56010.83285714285</v>
      </c>
      <c r="K1686" s="9">
        <f t="shared" si="309"/>
        <v>55504.153000000013</v>
      </c>
      <c r="L1686" s="9">
        <f t="shared" si="308"/>
        <v>56186.973666666687</v>
      </c>
      <c r="M1686" s="9">
        <f t="shared" si="319"/>
        <v>7.2859021982912007E-3</v>
      </c>
      <c r="N1686" s="9">
        <f t="shared" si="310"/>
        <v>9.2647504267271523E-3</v>
      </c>
    </row>
    <row r="1687" spans="1:14" x14ac:dyDescent="0.35">
      <c r="A1687" s="1">
        <v>44833</v>
      </c>
      <c r="B1687" s="2" t="s">
        <v>1686</v>
      </c>
      <c r="C1687">
        <f t="shared" si="311"/>
        <v>54907.17</v>
      </c>
      <c r="D1687">
        <f t="shared" si="312"/>
        <v>2022</v>
      </c>
      <c r="E1687">
        <f t="shared" si="313"/>
        <v>9</v>
      </c>
      <c r="F1687" t="str">
        <f t="shared" si="315"/>
        <v>September</v>
      </c>
      <c r="G1687">
        <f t="shared" si="314"/>
        <v>29</v>
      </c>
      <c r="H1687" s="7">
        <f t="shared" si="316"/>
        <v>-1.0260045900632311</v>
      </c>
      <c r="I1687" s="9">
        <f t="shared" si="317"/>
        <v>-1.0313042984899648E-2</v>
      </c>
      <c r="J1687" s="9">
        <f t="shared" si="318"/>
        <v>55694.174285714282</v>
      </c>
      <c r="K1687" s="9">
        <f t="shared" si="309"/>
        <v>55467.94466666667</v>
      </c>
      <c r="L1687" s="9">
        <f t="shared" si="308"/>
        <v>56151.902333333353</v>
      </c>
      <c r="M1687" s="9">
        <f t="shared" si="319"/>
        <v>6.9686765133266763E-3</v>
      </c>
      <c r="N1687" s="9">
        <f t="shared" si="310"/>
        <v>9.3954864915461768E-3</v>
      </c>
    </row>
    <row r="1688" spans="1:14" x14ac:dyDescent="0.35">
      <c r="A1688" s="1">
        <v>44834</v>
      </c>
      <c r="B1688" s="2" t="s">
        <v>1687</v>
      </c>
      <c r="C1688">
        <f t="shared" si="311"/>
        <v>54742.07</v>
      </c>
      <c r="D1688">
        <f t="shared" si="312"/>
        <v>2022</v>
      </c>
      <c r="E1688">
        <f t="shared" si="313"/>
        <v>9</v>
      </c>
      <c r="F1688" t="str">
        <f t="shared" si="315"/>
        <v>September</v>
      </c>
      <c r="G1688">
        <f t="shared" si="314"/>
        <v>30</v>
      </c>
      <c r="H1688" s="7">
        <f t="shared" si="316"/>
        <v>-0.30068932709516544</v>
      </c>
      <c r="I1688" s="9">
        <f t="shared" si="317"/>
        <v>-3.0114230571911967E-3</v>
      </c>
      <c r="J1688" s="9">
        <f t="shared" si="318"/>
        <v>55402.764285714286</v>
      </c>
      <c r="K1688" s="9">
        <f t="shared" si="309"/>
        <v>55422.996666666673</v>
      </c>
      <c r="L1688" s="9">
        <f t="shared" si="308"/>
        <v>56116.068333333358</v>
      </c>
      <c r="M1688" s="9">
        <f t="shared" si="319"/>
        <v>7.0351221708224825E-3</v>
      </c>
      <c r="N1688" s="9">
        <f t="shared" si="310"/>
        <v>9.3938743454994138E-3</v>
      </c>
    </row>
    <row r="1689" spans="1:14" x14ac:dyDescent="0.35">
      <c r="A1689" s="1">
        <v>44837</v>
      </c>
      <c r="B1689" s="2" t="s">
        <v>1688</v>
      </c>
      <c r="C1689">
        <f t="shared" si="311"/>
        <v>54785.18</v>
      </c>
      <c r="D1689">
        <f t="shared" si="312"/>
        <v>2022</v>
      </c>
      <c r="E1689">
        <f t="shared" si="313"/>
        <v>10</v>
      </c>
      <c r="F1689" t="str">
        <f t="shared" si="315"/>
        <v>October</v>
      </c>
      <c r="G1689">
        <f t="shared" si="314"/>
        <v>3</v>
      </c>
      <c r="H1689" s="7">
        <f t="shared" si="316"/>
        <v>7.8751132355792508E-2</v>
      </c>
      <c r="I1689" s="9">
        <f t="shared" si="317"/>
        <v>7.8720139921761086E-4</v>
      </c>
      <c r="J1689" s="9">
        <f t="shared" si="318"/>
        <v>55194.392857142855</v>
      </c>
      <c r="K1689" s="9">
        <f t="shared" si="309"/>
        <v>55396.709666666677</v>
      </c>
      <c r="L1689" s="9">
        <f t="shared" si="308"/>
        <v>56085.09566666669</v>
      </c>
      <c r="M1689" s="9">
        <f t="shared" si="319"/>
        <v>7.0649262831449962E-3</v>
      </c>
      <c r="N1689" s="9">
        <f t="shared" si="310"/>
        <v>9.2605887620424952E-3</v>
      </c>
    </row>
    <row r="1690" spans="1:14" x14ac:dyDescent="0.35">
      <c r="A1690" s="1">
        <v>44838</v>
      </c>
      <c r="B1690" s="2" t="s">
        <v>1689</v>
      </c>
      <c r="C1690">
        <f t="shared" si="311"/>
        <v>55259.57</v>
      </c>
      <c r="D1690">
        <f t="shared" si="312"/>
        <v>2022</v>
      </c>
      <c r="E1690">
        <f t="shared" si="313"/>
        <v>10</v>
      </c>
      <c r="F1690" t="str">
        <f t="shared" si="315"/>
        <v>October</v>
      </c>
      <c r="G1690">
        <f t="shared" si="314"/>
        <v>4</v>
      </c>
      <c r="H1690" s="7">
        <f t="shared" si="316"/>
        <v>0.86590935723858065</v>
      </c>
      <c r="I1690" s="9">
        <f t="shared" si="317"/>
        <v>8.6218186451359584E-3</v>
      </c>
      <c r="J1690" s="9">
        <f t="shared" si="318"/>
        <v>55183.501428571428</v>
      </c>
      <c r="K1690" s="9">
        <f t="shared" si="309"/>
        <v>55398.055000000015</v>
      </c>
      <c r="L1690" s="9">
        <f t="shared" si="308"/>
        <v>56060.370444444474</v>
      </c>
      <c r="M1690" s="9">
        <f t="shared" si="319"/>
        <v>5.8778087561219688E-3</v>
      </c>
      <c r="N1690" s="9">
        <f t="shared" si="310"/>
        <v>9.3350529346689984E-3</v>
      </c>
    </row>
    <row r="1691" spans="1:14" x14ac:dyDescent="0.35">
      <c r="A1691" s="1">
        <v>44839</v>
      </c>
      <c r="B1691" s="2" t="s">
        <v>1690</v>
      </c>
      <c r="C1691">
        <f t="shared" si="311"/>
        <v>54411.47</v>
      </c>
      <c r="D1691">
        <f t="shared" si="312"/>
        <v>2022</v>
      </c>
      <c r="E1691">
        <f t="shared" si="313"/>
        <v>10</v>
      </c>
      <c r="F1691" t="str">
        <f t="shared" si="315"/>
        <v>October</v>
      </c>
      <c r="G1691">
        <f t="shared" si="314"/>
        <v>5</v>
      </c>
      <c r="H1691" s="7">
        <f t="shared" si="316"/>
        <v>-1.5347567851143222</v>
      </c>
      <c r="I1691" s="9">
        <f t="shared" si="317"/>
        <v>-1.5466560842637861E-2</v>
      </c>
      <c r="J1691" s="9">
        <f t="shared" si="318"/>
        <v>55024.701428571432</v>
      </c>
      <c r="K1691" s="9">
        <f t="shared" si="309"/>
        <v>55360.536666666674</v>
      </c>
      <c r="L1691" s="9">
        <f t="shared" si="308"/>
        <v>56030.17922222225</v>
      </c>
      <c r="M1691" s="9">
        <f t="shared" si="319"/>
        <v>7.9260825067242312E-3</v>
      </c>
      <c r="N1691" s="9">
        <f t="shared" si="310"/>
        <v>9.683751479639062E-3</v>
      </c>
    </row>
    <row r="1692" spans="1:14" x14ac:dyDescent="0.35">
      <c r="A1692" s="1">
        <v>44840</v>
      </c>
      <c r="B1692" s="2" t="s">
        <v>1691</v>
      </c>
      <c r="C1692">
        <f t="shared" si="311"/>
        <v>54255.62</v>
      </c>
      <c r="D1692">
        <f t="shared" si="312"/>
        <v>2022</v>
      </c>
      <c r="E1692">
        <f t="shared" si="313"/>
        <v>10</v>
      </c>
      <c r="F1692" t="str">
        <f t="shared" si="315"/>
        <v>October</v>
      </c>
      <c r="G1692">
        <f t="shared" si="314"/>
        <v>6</v>
      </c>
      <c r="H1692" s="7">
        <f t="shared" si="316"/>
        <v>-0.28642857838613539</v>
      </c>
      <c r="I1692" s="9">
        <f t="shared" si="317"/>
        <v>-2.8683957002466356E-3</v>
      </c>
      <c r="J1692" s="9">
        <f t="shared" si="318"/>
        <v>54833.919999999991</v>
      </c>
      <c r="K1692" s="9">
        <f t="shared" si="309"/>
        <v>55333.33166666668</v>
      </c>
      <c r="L1692" s="9">
        <f t="shared" ref="L1692:L1755" si="320">AVERAGE(C1603:C1692)</f>
        <v>55996.104666666695</v>
      </c>
      <c r="M1692" s="9">
        <f t="shared" si="319"/>
        <v>7.7203629211279393E-3</v>
      </c>
      <c r="N1692" s="9">
        <f t="shared" si="310"/>
        <v>9.5835267408699246E-3</v>
      </c>
    </row>
    <row r="1693" spans="1:14" x14ac:dyDescent="0.35">
      <c r="A1693" s="1">
        <v>44841</v>
      </c>
      <c r="B1693" s="2" t="s">
        <v>1692</v>
      </c>
      <c r="C1693">
        <f t="shared" si="311"/>
        <v>53895.75</v>
      </c>
      <c r="D1693">
        <f t="shared" si="312"/>
        <v>2022</v>
      </c>
      <c r="E1693">
        <f t="shared" si="313"/>
        <v>10</v>
      </c>
      <c r="F1693" t="str">
        <f t="shared" si="315"/>
        <v>October</v>
      </c>
      <c r="G1693">
        <f t="shared" si="314"/>
        <v>7</v>
      </c>
      <c r="H1693" s="7">
        <f t="shared" si="316"/>
        <v>-0.66328612593497704</v>
      </c>
      <c r="I1693" s="9">
        <f t="shared" si="317"/>
        <v>-6.6549564406366678E-3</v>
      </c>
      <c r="J1693" s="9">
        <f t="shared" si="318"/>
        <v>54608.118571428568</v>
      </c>
      <c r="K1693" s="9">
        <f t="shared" si="309"/>
        <v>55318.541000000012</v>
      </c>
      <c r="L1693" s="9">
        <f t="shared" si="320"/>
        <v>55957.341777777809</v>
      </c>
      <c r="M1693" s="9">
        <f t="shared" si="319"/>
        <v>7.7755347338848224E-3</v>
      </c>
      <c r="N1693" s="9">
        <f t="shared" si="310"/>
        <v>9.3472444691848934E-3</v>
      </c>
    </row>
    <row r="1694" spans="1:14" x14ac:dyDescent="0.35">
      <c r="A1694" s="1">
        <v>44844</v>
      </c>
      <c r="B1694" s="2" t="s">
        <v>1693</v>
      </c>
      <c r="C1694">
        <f t="shared" si="311"/>
        <v>53811.89</v>
      </c>
      <c r="D1694">
        <f t="shared" si="312"/>
        <v>2022</v>
      </c>
      <c r="E1694">
        <f t="shared" si="313"/>
        <v>10</v>
      </c>
      <c r="F1694" t="str">
        <f t="shared" si="315"/>
        <v>October</v>
      </c>
      <c r="G1694">
        <f t="shared" si="314"/>
        <v>10</v>
      </c>
      <c r="H1694" s="7">
        <f t="shared" si="316"/>
        <v>-0.15559668433967536</v>
      </c>
      <c r="I1694" s="9">
        <f t="shared" si="317"/>
        <v>-1.5571786169550762E-3</v>
      </c>
      <c r="J1694" s="9">
        <f t="shared" si="318"/>
        <v>54451.650000000009</v>
      </c>
      <c r="K1694" s="9">
        <f t="shared" si="309"/>
        <v>55294.514666666677</v>
      </c>
      <c r="L1694" s="9">
        <f t="shared" si="320"/>
        <v>55919.747777777797</v>
      </c>
      <c r="M1694" s="9">
        <f t="shared" si="319"/>
        <v>7.305012611752296E-3</v>
      </c>
      <c r="N1694" s="9">
        <f t="shared" si="310"/>
        <v>9.3216935582393703E-3</v>
      </c>
    </row>
    <row r="1695" spans="1:14" x14ac:dyDescent="0.35">
      <c r="A1695" s="1">
        <v>44845</v>
      </c>
      <c r="B1695" s="2" t="s">
        <v>1694</v>
      </c>
      <c r="C1695">
        <f t="shared" si="311"/>
        <v>53995.82</v>
      </c>
      <c r="D1695">
        <f t="shared" si="312"/>
        <v>2022</v>
      </c>
      <c r="E1695">
        <f t="shared" si="313"/>
        <v>10</v>
      </c>
      <c r="F1695" t="str">
        <f t="shared" si="315"/>
        <v>October</v>
      </c>
      <c r="G1695">
        <f t="shared" si="314"/>
        <v>11</v>
      </c>
      <c r="H1695" s="7">
        <f t="shared" si="316"/>
        <v>0.34180178395518218</v>
      </c>
      <c r="I1695" s="9">
        <f t="shared" si="317"/>
        <v>3.4121896932721198E-3</v>
      </c>
      <c r="J1695" s="9">
        <f t="shared" si="318"/>
        <v>54345.042857142857</v>
      </c>
      <c r="K1695" s="9">
        <f t="shared" si="309"/>
        <v>55270.550333333347</v>
      </c>
      <c r="L1695" s="9">
        <f t="shared" si="320"/>
        <v>55877.368000000009</v>
      </c>
      <c r="M1695" s="9">
        <f t="shared" si="319"/>
        <v>7.6794060980737979E-3</v>
      </c>
      <c r="N1695" s="9">
        <f t="shared" si="310"/>
        <v>9.3228086077160582E-3</v>
      </c>
    </row>
    <row r="1696" spans="1:14" x14ac:dyDescent="0.35">
      <c r="A1696" s="1">
        <v>44846</v>
      </c>
      <c r="B1696" s="2" t="s">
        <v>1695</v>
      </c>
      <c r="C1696">
        <f t="shared" si="311"/>
        <v>54187.93</v>
      </c>
      <c r="D1696">
        <f t="shared" si="312"/>
        <v>2022</v>
      </c>
      <c r="E1696">
        <f t="shared" si="313"/>
        <v>10</v>
      </c>
      <c r="F1696" t="str">
        <f t="shared" si="315"/>
        <v>October</v>
      </c>
      <c r="G1696">
        <f t="shared" si="314"/>
        <v>12</v>
      </c>
      <c r="H1696" s="7">
        <f t="shared" si="316"/>
        <v>0.35578679979302208</v>
      </c>
      <c r="I1696" s="9">
        <f t="shared" si="317"/>
        <v>3.5515537579743402E-3</v>
      </c>
      <c r="J1696" s="9">
        <f t="shared" si="318"/>
        <v>54259.721428571429</v>
      </c>
      <c r="K1696" s="9">
        <f t="shared" ref="K1696:K1759" si="321">AVERAGE(C1667:C1696)</f>
        <v>55277.019</v>
      </c>
      <c r="L1696" s="9">
        <f t="shared" si="320"/>
        <v>55838.145000000011</v>
      </c>
      <c r="M1696" s="9">
        <f t="shared" si="319"/>
        <v>7.911834591019417E-3</v>
      </c>
      <c r="N1696" s="9">
        <f t="shared" si="310"/>
        <v>9.0260964099158642E-3</v>
      </c>
    </row>
    <row r="1697" spans="1:14" x14ac:dyDescent="0.35">
      <c r="A1697" s="1">
        <v>44847</v>
      </c>
      <c r="B1697" s="2" t="s">
        <v>1696</v>
      </c>
      <c r="C1697">
        <f t="shared" si="311"/>
        <v>54638.03</v>
      </c>
      <c r="D1697">
        <f t="shared" si="312"/>
        <v>2022</v>
      </c>
      <c r="E1697">
        <f t="shared" si="313"/>
        <v>10</v>
      </c>
      <c r="F1697" t="str">
        <f t="shared" si="315"/>
        <v>October</v>
      </c>
      <c r="G1697">
        <f t="shared" si="314"/>
        <v>13</v>
      </c>
      <c r="H1697" s="7">
        <f t="shared" si="316"/>
        <v>0.83062778002407289</v>
      </c>
      <c r="I1697" s="9">
        <f t="shared" si="317"/>
        <v>8.2719705210667713E-3</v>
      </c>
      <c r="J1697" s="9">
        <f t="shared" si="318"/>
        <v>54170.93</v>
      </c>
      <c r="K1697" s="9">
        <f t="shared" si="321"/>
        <v>55307.377</v>
      </c>
      <c r="L1697" s="9">
        <f t="shared" si="320"/>
        <v>55810.966444444442</v>
      </c>
      <c r="M1697" s="9">
        <f t="shared" si="319"/>
        <v>7.8375095642108528E-3</v>
      </c>
      <c r="N1697" s="9">
        <f t="shared" ref="N1697:N1760" si="322">STDEV(I1668:I1697)</f>
        <v>9.0925913744471093E-3</v>
      </c>
    </row>
    <row r="1698" spans="1:14" x14ac:dyDescent="0.35">
      <c r="A1698" s="1">
        <v>44848</v>
      </c>
      <c r="B1698" s="2" t="s">
        <v>1697</v>
      </c>
      <c r="C1698">
        <f t="shared" si="311"/>
        <v>54280.800000000003</v>
      </c>
      <c r="D1698">
        <f t="shared" si="312"/>
        <v>2022</v>
      </c>
      <c r="E1698">
        <f t="shared" si="313"/>
        <v>10</v>
      </c>
      <c r="F1698" t="str">
        <f t="shared" si="315"/>
        <v>October</v>
      </c>
      <c r="G1698">
        <f t="shared" si="314"/>
        <v>14</v>
      </c>
      <c r="H1698" s="7">
        <f t="shared" si="316"/>
        <v>-0.65381200603315293</v>
      </c>
      <c r="I1698" s="9">
        <f t="shared" si="317"/>
        <v>-6.5595871882255588E-3</v>
      </c>
      <c r="J1698" s="9">
        <f t="shared" si="318"/>
        <v>54152.262857142858</v>
      </c>
      <c r="K1698" s="9">
        <f t="shared" si="321"/>
        <v>55316.609666666678</v>
      </c>
      <c r="L1698" s="9">
        <f t="shared" si="320"/>
        <v>55772.935777777777</v>
      </c>
      <c r="M1698" s="9">
        <f t="shared" si="319"/>
        <v>5.6247269202419608E-3</v>
      </c>
      <c r="N1698" s="9">
        <f t="shared" si="322"/>
        <v>9.1402864354520712E-3</v>
      </c>
    </row>
    <row r="1699" spans="1:14" x14ac:dyDescent="0.35">
      <c r="A1699" s="1">
        <v>44851</v>
      </c>
      <c r="B1699" s="2" t="s">
        <v>1698</v>
      </c>
      <c r="C1699">
        <f t="shared" si="311"/>
        <v>54386.31</v>
      </c>
      <c r="D1699">
        <f t="shared" si="312"/>
        <v>2022</v>
      </c>
      <c r="E1699">
        <f t="shared" si="313"/>
        <v>10</v>
      </c>
      <c r="F1699" t="str">
        <f t="shared" si="315"/>
        <v>October</v>
      </c>
      <c r="G1699">
        <f t="shared" si="314"/>
        <v>17</v>
      </c>
      <c r="H1699" s="7">
        <f t="shared" si="316"/>
        <v>0.1943781226510935</v>
      </c>
      <c r="I1699" s="9">
        <f t="shared" si="317"/>
        <v>1.9418945282727021E-3</v>
      </c>
      <c r="J1699" s="9">
        <f t="shared" si="318"/>
        <v>54170.932857142856</v>
      </c>
      <c r="K1699" s="9">
        <f t="shared" si="321"/>
        <v>55297.957000000009</v>
      </c>
      <c r="L1699" s="9">
        <f t="shared" si="320"/>
        <v>55739.109222222221</v>
      </c>
      <c r="M1699" s="9">
        <f t="shared" si="319"/>
        <v>5.5582904960254165E-3</v>
      </c>
      <c r="N1699" s="9">
        <f t="shared" si="322"/>
        <v>8.5598601078332708E-3</v>
      </c>
    </row>
    <row r="1700" spans="1:14" x14ac:dyDescent="0.35">
      <c r="A1700" s="1">
        <v>44852</v>
      </c>
      <c r="B1700" s="2" t="s">
        <v>1699</v>
      </c>
      <c r="C1700">
        <f t="shared" si="311"/>
        <v>53874.52</v>
      </c>
      <c r="D1700">
        <f t="shared" si="312"/>
        <v>2022</v>
      </c>
      <c r="E1700">
        <f t="shared" si="313"/>
        <v>10</v>
      </c>
      <c r="F1700" t="str">
        <f t="shared" si="315"/>
        <v>October</v>
      </c>
      <c r="G1700">
        <f t="shared" si="314"/>
        <v>18</v>
      </c>
      <c r="H1700" s="7">
        <f t="shared" si="316"/>
        <v>-0.94102725483674265</v>
      </c>
      <c r="I1700" s="9">
        <f t="shared" si="317"/>
        <v>-9.4548289083864895E-3</v>
      </c>
      <c r="J1700" s="9">
        <f t="shared" si="318"/>
        <v>54167.9</v>
      </c>
      <c r="K1700" s="9">
        <f t="shared" si="321"/>
        <v>55266.275333333338</v>
      </c>
      <c r="L1700" s="9">
        <f t="shared" si="320"/>
        <v>55701.66088888888</v>
      </c>
      <c r="M1700" s="9">
        <f t="shared" si="319"/>
        <v>6.2085643435962961E-3</v>
      </c>
      <c r="N1700" s="9">
        <f t="shared" si="322"/>
        <v>8.7152329421991848E-3</v>
      </c>
    </row>
    <row r="1701" spans="1:14" x14ac:dyDescent="0.35">
      <c r="A1701" s="1">
        <v>44853</v>
      </c>
      <c r="B1701" s="2" t="s">
        <v>1700</v>
      </c>
      <c r="C1701">
        <f t="shared" si="311"/>
        <v>53840.93</v>
      </c>
      <c r="D1701">
        <f t="shared" si="312"/>
        <v>2022</v>
      </c>
      <c r="E1701">
        <f t="shared" si="313"/>
        <v>10</v>
      </c>
      <c r="F1701" t="str">
        <f t="shared" si="315"/>
        <v>October</v>
      </c>
      <c r="G1701">
        <f t="shared" si="314"/>
        <v>19</v>
      </c>
      <c r="H1701" s="7">
        <f t="shared" si="316"/>
        <v>-6.2348583337719775E-2</v>
      </c>
      <c r="I1701" s="9">
        <f t="shared" si="317"/>
        <v>-6.2368028149741267E-4</v>
      </c>
      <c r="J1701" s="9">
        <f t="shared" si="318"/>
        <v>54172.048571428575</v>
      </c>
      <c r="K1701" s="9">
        <f t="shared" si="321"/>
        <v>55220.672000000006</v>
      </c>
      <c r="L1701" s="9">
        <f t="shared" si="320"/>
        <v>55665.528444444426</v>
      </c>
      <c r="M1701" s="9">
        <f t="shared" si="319"/>
        <v>6.1809167633798644E-3</v>
      </c>
      <c r="N1701" s="9">
        <f t="shared" si="322"/>
        <v>8.5974485547925944E-3</v>
      </c>
    </row>
    <row r="1702" spans="1:14" x14ac:dyDescent="0.35">
      <c r="A1702" s="1">
        <v>44854</v>
      </c>
      <c r="B1702" s="2" t="s">
        <v>1701</v>
      </c>
      <c r="C1702">
        <f t="shared" si="311"/>
        <v>54029.43</v>
      </c>
      <c r="D1702">
        <f t="shared" si="312"/>
        <v>2022</v>
      </c>
      <c r="E1702">
        <f t="shared" si="313"/>
        <v>10</v>
      </c>
      <c r="F1702" t="str">
        <f t="shared" si="315"/>
        <v>October</v>
      </c>
      <c r="G1702">
        <f t="shared" si="314"/>
        <v>20</v>
      </c>
      <c r="H1702" s="7">
        <f t="shared" si="316"/>
        <v>0.35010539379613242</v>
      </c>
      <c r="I1702" s="9">
        <f t="shared" si="317"/>
        <v>3.4949395157485071E-3</v>
      </c>
      <c r="J1702" s="9">
        <f t="shared" si="318"/>
        <v>54176.85</v>
      </c>
      <c r="K1702" s="9">
        <f t="shared" si="321"/>
        <v>55179.273666666668</v>
      </c>
      <c r="L1702" s="9">
        <f t="shared" si="320"/>
        <v>55627.953111111092</v>
      </c>
      <c r="M1702" s="9">
        <f t="shared" si="319"/>
        <v>6.1884330559945746E-3</v>
      </c>
      <c r="N1702" s="9">
        <f t="shared" si="322"/>
        <v>8.6269022665701606E-3</v>
      </c>
    </row>
    <row r="1703" spans="1:14" x14ac:dyDescent="0.35">
      <c r="A1703" s="1">
        <v>44855</v>
      </c>
      <c r="B1703" s="2" t="s">
        <v>1702</v>
      </c>
      <c r="C1703">
        <f t="shared" si="311"/>
        <v>55191.97</v>
      </c>
      <c r="D1703">
        <f t="shared" si="312"/>
        <v>2022</v>
      </c>
      <c r="E1703">
        <f t="shared" si="313"/>
        <v>10</v>
      </c>
      <c r="F1703" t="str">
        <f t="shared" si="315"/>
        <v>October</v>
      </c>
      <c r="G1703">
        <f t="shared" si="314"/>
        <v>21</v>
      </c>
      <c r="H1703" s="7">
        <f t="shared" si="316"/>
        <v>2.1516791866951044</v>
      </c>
      <c r="I1703" s="9">
        <f t="shared" si="317"/>
        <v>2.1288573580910672E-2</v>
      </c>
      <c r="J1703" s="9">
        <f t="shared" si="318"/>
        <v>54320.284285714282</v>
      </c>
      <c r="K1703" s="9">
        <f t="shared" si="321"/>
        <v>55189.778333333328</v>
      </c>
      <c r="L1703" s="9">
        <f t="shared" si="320"/>
        <v>55601.653666666643</v>
      </c>
      <c r="M1703" s="9">
        <f t="shared" si="319"/>
        <v>1.0183920980915102E-2</v>
      </c>
      <c r="N1703" s="9">
        <f t="shared" si="322"/>
        <v>9.4253570541684237E-3</v>
      </c>
    </row>
    <row r="1704" spans="1:14" x14ac:dyDescent="0.35">
      <c r="A1704" s="1">
        <v>44858</v>
      </c>
      <c r="B1704" s="2" t="s">
        <v>1703</v>
      </c>
      <c r="C1704">
        <f t="shared" si="311"/>
        <v>55371.53</v>
      </c>
      <c r="D1704">
        <f t="shared" si="312"/>
        <v>2022</v>
      </c>
      <c r="E1704">
        <f t="shared" si="313"/>
        <v>10</v>
      </c>
      <c r="F1704" t="str">
        <f t="shared" si="315"/>
        <v>October</v>
      </c>
      <c r="G1704">
        <f t="shared" si="314"/>
        <v>24</v>
      </c>
      <c r="H1704" s="7">
        <f t="shared" si="316"/>
        <v>0.32533718220240676</v>
      </c>
      <c r="I1704" s="9">
        <f t="shared" si="317"/>
        <v>3.2480910583431734E-3</v>
      </c>
      <c r="J1704" s="9">
        <f t="shared" si="318"/>
        <v>54425.07</v>
      </c>
      <c r="K1704" s="9">
        <f t="shared" si="321"/>
        <v>55181.402666666661</v>
      </c>
      <c r="L1704" s="9">
        <f t="shared" si="320"/>
        <v>55575.028333333314</v>
      </c>
      <c r="M1704" s="9">
        <f t="shared" si="319"/>
        <v>9.8922971739407138E-3</v>
      </c>
      <c r="N1704" s="9">
        <f t="shared" si="322"/>
        <v>9.1065340417181492E-3</v>
      </c>
    </row>
    <row r="1705" spans="1:14" x14ac:dyDescent="0.35">
      <c r="A1705" s="1">
        <v>44859</v>
      </c>
      <c r="B1705" s="2" t="s">
        <v>1704</v>
      </c>
      <c r="C1705">
        <f t="shared" si="311"/>
        <v>55535.24</v>
      </c>
      <c r="D1705">
        <f t="shared" si="312"/>
        <v>2022</v>
      </c>
      <c r="E1705">
        <f t="shared" si="313"/>
        <v>10</v>
      </c>
      <c r="F1705" t="str">
        <f t="shared" si="315"/>
        <v>October</v>
      </c>
      <c r="G1705">
        <f t="shared" si="314"/>
        <v>25</v>
      </c>
      <c r="H1705" s="7">
        <f t="shared" si="316"/>
        <v>0.29565735315603364</v>
      </c>
      <c r="I1705" s="9">
        <f t="shared" si="317"/>
        <v>2.9522114637710946E-3</v>
      </c>
      <c r="J1705" s="9">
        <f t="shared" si="318"/>
        <v>54604.275714285708</v>
      </c>
      <c r="K1705" s="9">
        <f t="shared" si="321"/>
        <v>55152.347666666661</v>
      </c>
      <c r="L1705" s="9">
        <f t="shared" si="320"/>
        <v>55555.128999999972</v>
      </c>
      <c r="M1705" s="9">
        <f t="shared" si="319"/>
        <v>9.1621202111234288E-3</v>
      </c>
      <c r="N1705" s="9">
        <f t="shared" si="322"/>
        <v>8.7302619983477374E-3</v>
      </c>
    </row>
    <row r="1706" spans="1:14" x14ac:dyDescent="0.35">
      <c r="A1706" s="1">
        <v>44860</v>
      </c>
      <c r="B1706" s="2" t="s">
        <v>1705</v>
      </c>
      <c r="C1706">
        <f t="shared" si="311"/>
        <v>55225.32</v>
      </c>
      <c r="D1706">
        <f t="shared" si="312"/>
        <v>2022</v>
      </c>
      <c r="E1706">
        <f t="shared" si="313"/>
        <v>10</v>
      </c>
      <c r="F1706" t="str">
        <f t="shared" si="315"/>
        <v>October</v>
      </c>
      <c r="G1706">
        <f t="shared" si="314"/>
        <v>26</v>
      </c>
      <c r="H1706" s="7">
        <f t="shared" si="316"/>
        <v>-0.55806007140690894</v>
      </c>
      <c r="I1706" s="9">
        <f t="shared" si="317"/>
        <v>-5.5962304422049062E-3</v>
      </c>
      <c r="J1706" s="9">
        <f t="shared" si="318"/>
        <v>54724.134285714288</v>
      </c>
      <c r="K1706" s="9">
        <f t="shared" si="321"/>
        <v>55122.397333333334</v>
      </c>
      <c r="L1706" s="9">
        <f t="shared" si="320"/>
        <v>55538.197888888863</v>
      </c>
      <c r="M1706" s="9">
        <f t="shared" si="319"/>
        <v>9.7664652591983141E-3</v>
      </c>
      <c r="N1706" s="9">
        <f t="shared" si="322"/>
        <v>8.7409416558227732E-3</v>
      </c>
    </row>
    <row r="1707" spans="1:14" x14ac:dyDescent="0.35">
      <c r="A1707" s="1">
        <v>44861</v>
      </c>
      <c r="B1707" s="2" t="s">
        <v>1706</v>
      </c>
      <c r="C1707">
        <f t="shared" si="311"/>
        <v>55062.01</v>
      </c>
      <c r="D1707">
        <f t="shared" si="312"/>
        <v>2022</v>
      </c>
      <c r="E1707">
        <f t="shared" si="313"/>
        <v>10</v>
      </c>
      <c r="F1707" t="str">
        <f t="shared" si="315"/>
        <v>October</v>
      </c>
      <c r="G1707">
        <f t="shared" si="314"/>
        <v>27</v>
      </c>
      <c r="H1707" s="7">
        <f t="shared" si="316"/>
        <v>-0.29571580572099476</v>
      </c>
      <c r="I1707" s="9">
        <f t="shared" si="317"/>
        <v>-2.961539088163385E-3</v>
      </c>
      <c r="J1707" s="9">
        <f t="shared" si="318"/>
        <v>54893.775714285723</v>
      </c>
      <c r="K1707" s="9">
        <f t="shared" si="321"/>
        <v>55083.784</v>
      </c>
      <c r="L1707" s="9">
        <f t="shared" si="320"/>
        <v>55529.730444444423</v>
      </c>
      <c r="M1707" s="9">
        <f t="shared" si="319"/>
        <v>8.7297855685472096E-3</v>
      </c>
      <c r="N1707" s="9">
        <f t="shared" si="322"/>
        <v>8.7410360172228887E-3</v>
      </c>
    </row>
    <row r="1708" spans="1:14" x14ac:dyDescent="0.35">
      <c r="A1708" s="1">
        <v>44862</v>
      </c>
      <c r="B1708" s="2" t="s">
        <v>1707</v>
      </c>
      <c r="C1708">
        <f t="shared" si="311"/>
        <v>54975.38</v>
      </c>
      <c r="D1708">
        <f t="shared" si="312"/>
        <v>2022</v>
      </c>
      <c r="E1708">
        <f t="shared" si="313"/>
        <v>10</v>
      </c>
      <c r="F1708" t="str">
        <f t="shared" si="315"/>
        <v>October</v>
      </c>
      <c r="G1708">
        <f t="shared" si="314"/>
        <v>28</v>
      </c>
      <c r="H1708" s="7">
        <f t="shared" si="316"/>
        <v>-0.15733170656139261</v>
      </c>
      <c r="I1708" s="9">
        <f t="shared" si="317"/>
        <v>-1.5745560285999939E-3</v>
      </c>
      <c r="J1708" s="9">
        <f t="shared" si="318"/>
        <v>55055.840000000004</v>
      </c>
      <c r="K1708" s="9">
        <f t="shared" si="321"/>
        <v>55019.788999999997</v>
      </c>
      <c r="L1708" s="9">
        <f t="shared" si="320"/>
        <v>55520.94077777776</v>
      </c>
      <c r="M1708" s="9">
        <f t="shared" si="319"/>
        <v>8.8047265705875066E-3</v>
      </c>
      <c r="N1708" s="9">
        <f t="shared" si="322"/>
        <v>8.4098742142439085E-3</v>
      </c>
    </row>
    <row r="1709" spans="1:14" x14ac:dyDescent="0.35">
      <c r="A1709" s="1">
        <v>44865</v>
      </c>
      <c r="B1709" s="2" t="s">
        <v>1708</v>
      </c>
      <c r="C1709">
        <f t="shared" si="311"/>
        <v>56273.919999999998</v>
      </c>
      <c r="D1709">
        <f t="shared" si="312"/>
        <v>2022</v>
      </c>
      <c r="E1709">
        <f t="shared" si="313"/>
        <v>10</v>
      </c>
      <c r="F1709" t="str">
        <f t="shared" si="315"/>
        <v>October</v>
      </c>
      <c r="G1709">
        <f t="shared" si="314"/>
        <v>31</v>
      </c>
      <c r="H1709" s="7">
        <f t="shared" si="316"/>
        <v>2.3620391527989457</v>
      </c>
      <c r="I1709" s="9">
        <f t="shared" si="317"/>
        <v>2.3345746488411243E-2</v>
      </c>
      <c r="J1709" s="9">
        <f t="shared" si="318"/>
        <v>55376.481428571431</v>
      </c>
      <c r="K1709" s="9">
        <f t="shared" si="321"/>
        <v>54967.122999999992</v>
      </c>
      <c r="L1709" s="9">
        <f t="shared" si="320"/>
        <v>55530.451777777758</v>
      </c>
      <c r="M1709" s="9">
        <f t="shared" si="319"/>
        <v>1.171460973421639E-2</v>
      </c>
      <c r="N1709" s="9">
        <f t="shared" si="322"/>
        <v>8.964668894904982E-3</v>
      </c>
    </row>
    <row r="1710" spans="1:14" x14ac:dyDescent="0.35">
      <c r="A1710" s="1">
        <v>44866</v>
      </c>
      <c r="B1710" s="2" t="s">
        <v>1709</v>
      </c>
      <c r="C1710">
        <f t="shared" si="311"/>
        <v>57223.61</v>
      </c>
      <c r="D1710">
        <f t="shared" si="312"/>
        <v>2022</v>
      </c>
      <c r="E1710">
        <f t="shared" si="313"/>
        <v>11</v>
      </c>
      <c r="F1710" t="str">
        <f t="shared" si="315"/>
        <v>November</v>
      </c>
      <c r="G1710">
        <f t="shared" si="314"/>
        <v>1</v>
      </c>
      <c r="H1710" s="7">
        <f t="shared" si="316"/>
        <v>1.6876201266945727</v>
      </c>
      <c r="I1710" s="9">
        <f t="shared" si="317"/>
        <v>1.6735380322436117E-2</v>
      </c>
      <c r="J1710" s="9">
        <f t="shared" si="318"/>
        <v>55666.71571428571</v>
      </c>
      <c r="K1710" s="9">
        <f t="shared" si="321"/>
        <v>54970.450666666657</v>
      </c>
      <c r="L1710" s="9">
        <f t="shared" si="320"/>
        <v>55552.167444444429</v>
      </c>
      <c r="M1710" s="9">
        <f t="shared" si="319"/>
        <v>1.0803167323800544E-2</v>
      </c>
      <c r="N1710" s="9">
        <f t="shared" si="322"/>
        <v>9.2378950354127919E-3</v>
      </c>
    </row>
    <row r="1711" spans="1:14" x14ac:dyDescent="0.35">
      <c r="A1711" s="1">
        <v>44867</v>
      </c>
      <c r="B1711" s="2" t="s">
        <v>1710</v>
      </c>
      <c r="C1711">
        <f t="shared" si="311"/>
        <v>56784.61</v>
      </c>
      <c r="D1711">
        <f t="shared" si="312"/>
        <v>2022</v>
      </c>
      <c r="E1711">
        <f t="shared" si="313"/>
        <v>11</v>
      </c>
      <c r="F1711" t="str">
        <f t="shared" si="315"/>
        <v>November</v>
      </c>
      <c r="G1711">
        <f t="shared" si="314"/>
        <v>2</v>
      </c>
      <c r="H1711" s="7">
        <f t="shared" si="316"/>
        <v>-0.76716586038525003</v>
      </c>
      <c r="I1711" s="9">
        <f t="shared" si="317"/>
        <v>-7.701237151509565E-3</v>
      </c>
      <c r="J1711" s="9">
        <f t="shared" si="318"/>
        <v>55868.584285714278</v>
      </c>
      <c r="K1711" s="9">
        <f t="shared" si="321"/>
        <v>54970.539666666664</v>
      </c>
      <c r="L1711" s="9">
        <f t="shared" si="320"/>
        <v>55568.581888888883</v>
      </c>
      <c r="M1711" s="9">
        <f t="shared" si="319"/>
        <v>1.1867116972117626E-2</v>
      </c>
      <c r="N1711" s="9">
        <f t="shared" si="322"/>
        <v>9.2814366814761625E-3</v>
      </c>
    </row>
    <row r="1712" spans="1:14" x14ac:dyDescent="0.35">
      <c r="A1712" s="1">
        <v>44868</v>
      </c>
      <c r="B1712" s="2" t="s">
        <v>1711</v>
      </c>
      <c r="C1712">
        <f t="shared" si="311"/>
        <v>57241.55</v>
      </c>
      <c r="D1712">
        <f t="shared" si="312"/>
        <v>2022</v>
      </c>
      <c r="E1712">
        <f t="shared" si="313"/>
        <v>11</v>
      </c>
      <c r="F1712" t="str">
        <f t="shared" si="315"/>
        <v>November</v>
      </c>
      <c r="G1712">
        <f t="shared" si="314"/>
        <v>3</v>
      </c>
      <c r="H1712" s="7">
        <f t="shared" si="316"/>
        <v>0.80468986227078487</v>
      </c>
      <c r="I1712" s="9">
        <f t="shared" si="317"/>
        <v>8.014694978273432E-3</v>
      </c>
      <c r="J1712" s="9">
        <f t="shared" si="318"/>
        <v>56112.342857142852</v>
      </c>
      <c r="K1712" s="9">
        <f t="shared" si="321"/>
        <v>55003.798666666684</v>
      </c>
      <c r="L1712" s="9">
        <f t="shared" si="320"/>
        <v>55595.935111111103</v>
      </c>
      <c r="M1712" s="9">
        <f t="shared" si="319"/>
        <v>1.1974833118503616E-2</v>
      </c>
      <c r="N1712" s="9">
        <f t="shared" si="322"/>
        <v>9.2129036902542111E-3</v>
      </c>
    </row>
    <row r="1713" spans="1:14" x14ac:dyDescent="0.35">
      <c r="A1713" s="1">
        <v>44869</v>
      </c>
      <c r="B1713" s="2" t="s">
        <v>1712</v>
      </c>
      <c r="C1713">
        <f t="shared" si="311"/>
        <v>58034.77</v>
      </c>
      <c r="D1713">
        <f t="shared" si="312"/>
        <v>2022</v>
      </c>
      <c r="E1713">
        <f t="shared" si="313"/>
        <v>11</v>
      </c>
      <c r="F1713" t="str">
        <f t="shared" si="315"/>
        <v>November</v>
      </c>
      <c r="G1713">
        <f t="shared" si="314"/>
        <v>4</v>
      </c>
      <c r="H1713" s="7">
        <f t="shared" si="316"/>
        <v>1.3857416509510903</v>
      </c>
      <c r="I1713" s="9">
        <f t="shared" si="317"/>
        <v>1.3762280399652849E-2</v>
      </c>
      <c r="J1713" s="9">
        <f t="shared" si="318"/>
        <v>56513.692857142851</v>
      </c>
      <c r="K1713" s="9">
        <f t="shared" si="321"/>
        <v>55093.76400000001</v>
      </c>
      <c r="L1713" s="9">
        <f t="shared" si="320"/>
        <v>55629.400666666654</v>
      </c>
      <c r="M1713" s="9">
        <f t="shared" si="319"/>
        <v>1.1529279361041072E-2</v>
      </c>
      <c r="N1713" s="9">
        <f t="shared" si="322"/>
        <v>8.9455833548506124E-3</v>
      </c>
    </row>
    <row r="1714" spans="1:14" x14ac:dyDescent="0.35">
      <c r="A1714" s="1">
        <v>44872</v>
      </c>
      <c r="B1714" s="2" t="s">
        <v>1713</v>
      </c>
      <c r="C1714">
        <f t="shared" si="311"/>
        <v>57570.54</v>
      </c>
      <c r="D1714">
        <f t="shared" si="312"/>
        <v>2022</v>
      </c>
      <c r="E1714">
        <f t="shared" si="313"/>
        <v>11</v>
      </c>
      <c r="F1714" t="str">
        <f t="shared" si="315"/>
        <v>November</v>
      </c>
      <c r="G1714">
        <f t="shared" si="314"/>
        <v>7</v>
      </c>
      <c r="H1714" s="7">
        <f t="shared" si="316"/>
        <v>-0.79991701526515213</v>
      </c>
      <c r="I1714" s="9">
        <f t="shared" si="317"/>
        <v>-8.0313351579483338E-3</v>
      </c>
      <c r="J1714" s="9">
        <f t="shared" si="318"/>
        <v>56872.054285714279</v>
      </c>
      <c r="K1714" s="9">
        <f t="shared" si="321"/>
        <v>55162.013000000014</v>
      </c>
      <c r="L1714" s="9">
        <f t="shared" si="320"/>
        <v>55663.679888888873</v>
      </c>
      <c r="M1714" s="9">
        <f t="shared" si="319"/>
        <v>1.2392752124838658E-2</v>
      </c>
      <c r="N1714" s="9">
        <f t="shared" si="322"/>
        <v>9.1078852118090768E-3</v>
      </c>
    </row>
    <row r="1715" spans="1:14" x14ac:dyDescent="0.35">
      <c r="A1715" s="1">
        <v>44873</v>
      </c>
      <c r="B1715" s="2" t="s">
        <v>1714</v>
      </c>
      <c r="C1715">
        <f t="shared" si="311"/>
        <v>57662.89</v>
      </c>
      <c r="D1715">
        <f t="shared" si="312"/>
        <v>2022</v>
      </c>
      <c r="E1715">
        <f t="shared" si="313"/>
        <v>11</v>
      </c>
      <c r="F1715" t="str">
        <f t="shared" si="315"/>
        <v>November</v>
      </c>
      <c r="G1715">
        <f t="shared" si="314"/>
        <v>8</v>
      </c>
      <c r="H1715" s="7">
        <f t="shared" si="316"/>
        <v>0.16041190511674641</v>
      </c>
      <c r="I1715" s="9">
        <f t="shared" si="317"/>
        <v>1.6028338264544291E-3</v>
      </c>
      <c r="J1715" s="9">
        <f t="shared" si="318"/>
        <v>57255.984285714287</v>
      </c>
      <c r="K1715" s="9">
        <f t="shared" si="321"/>
        <v>55231.073000000004</v>
      </c>
      <c r="L1715" s="9">
        <f t="shared" si="320"/>
        <v>55695.333444444434</v>
      </c>
      <c r="M1715" s="9">
        <f t="shared" si="319"/>
        <v>1.2108433046844206E-2</v>
      </c>
      <c r="N1715" s="9">
        <f t="shared" si="322"/>
        <v>9.1081720918056892E-3</v>
      </c>
    </row>
    <row r="1716" spans="1:14" x14ac:dyDescent="0.35">
      <c r="A1716" s="1">
        <v>44874</v>
      </c>
      <c r="B1716" s="2" t="s">
        <v>1715</v>
      </c>
      <c r="C1716">
        <f t="shared" si="311"/>
        <v>57718.1</v>
      </c>
      <c r="D1716">
        <f t="shared" si="312"/>
        <v>2022</v>
      </c>
      <c r="E1716">
        <f t="shared" si="313"/>
        <v>11</v>
      </c>
      <c r="F1716" t="str">
        <f t="shared" si="315"/>
        <v>November</v>
      </c>
      <c r="G1716">
        <f t="shared" si="314"/>
        <v>9</v>
      </c>
      <c r="H1716" s="7">
        <f t="shared" si="316"/>
        <v>9.5746154936041411E-2</v>
      </c>
      <c r="I1716" s="9">
        <f t="shared" si="317"/>
        <v>9.5700347541993703E-4</v>
      </c>
      <c r="J1716" s="9">
        <f t="shared" si="318"/>
        <v>57462.295714285712</v>
      </c>
      <c r="K1716" s="9">
        <f t="shared" si="321"/>
        <v>55305.79766666668</v>
      </c>
      <c r="L1716" s="9">
        <f t="shared" si="320"/>
        <v>55721.656666666655</v>
      </c>
      <c r="M1716" s="9">
        <f t="shared" si="319"/>
        <v>9.7406102487132065E-3</v>
      </c>
      <c r="N1716" s="9">
        <f t="shared" si="322"/>
        <v>9.0872667257760661E-3</v>
      </c>
    </row>
    <row r="1717" spans="1:14" x14ac:dyDescent="0.35">
      <c r="A1717" s="1">
        <v>44875</v>
      </c>
      <c r="B1717" s="2" t="s">
        <v>1716</v>
      </c>
      <c r="C1717">
        <f t="shared" si="311"/>
        <v>58309.59</v>
      </c>
      <c r="D1717">
        <f t="shared" si="312"/>
        <v>2022</v>
      </c>
      <c r="E1717">
        <f t="shared" si="313"/>
        <v>11</v>
      </c>
      <c r="F1717" t="str">
        <f t="shared" si="315"/>
        <v>November</v>
      </c>
      <c r="G1717">
        <f t="shared" si="314"/>
        <v>10</v>
      </c>
      <c r="H1717" s="7">
        <f t="shared" si="316"/>
        <v>1.0247911833549581</v>
      </c>
      <c r="I1717" s="9">
        <f t="shared" si="317"/>
        <v>1.0195757994403511E-2</v>
      </c>
      <c r="J1717" s="9">
        <f t="shared" si="318"/>
        <v>57617.435714285704</v>
      </c>
      <c r="K1717" s="9">
        <f t="shared" si="321"/>
        <v>55419.211666666677</v>
      </c>
      <c r="L1717" s="9">
        <f t="shared" si="320"/>
        <v>55750.62488888888</v>
      </c>
      <c r="M1717" s="9">
        <f t="shared" si="319"/>
        <v>8.5087610603852872E-3</v>
      </c>
      <c r="N1717" s="9">
        <f t="shared" si="322"/>
        <v>8.9523377706894145E-3</v>
      </c>
    </row>
    <row r="1718" spans="1:14" x14ac:dyDescent="0.35">
      <c r="A1718" s="1">
        <v>44876</v>
      </c>
      <c r="B1718" s="2" t="s">
        <v>1717</v>
      </c>
      <c r="C1718">
        <f t="shared" si="311"/>
        <v>58015.09</v>
      </c>
      <c r="D1718">
        <f t="shared" si="312"/>
        <v>2022</v>
      </c>
      <c r="E1718">
        <f t="shared" si="313"/>
        <v>11</v>
      </c>
      <c r="F1718" t="str">
        <f t="shared" si="315"/>
        <v>November</v>
      </c>
      <c r="G1718">
        <f t="shared" si="314"/>
        <v>11</v>
      </c>
      <c r="H1718" s="7">
        <f t="shared" si="316"/>
        <v>-0.50506271781365641</v>
      </c>
      <c r="I1718" s="9">
        <f t="shared" si="317"/>
        <v>-5.0634247041229635E-3</v>
      </c>
      <c r="J1718" s="9">
        <f t="shared" si="318"/>
        <v>57793.218571428559</v>
      </c>
      <c r="K1718" s="9">
        <f t="shared" si="321"/>
        <v>55528.31233333335</v>
      </c>
      <c r="L1718" s="9">
        <f t="shared" si="320"/>
        <v>55771.082999999984</v>
      </c>
      <c r="M1718" s="9">
        <f t="shared" si="319"/>
        <v>8.0162384889108183E-3</v>
      </c>
      <c r="N1718" s="9">
        <f t="shared" si="322"/>
        <v>8.999693906471342E-3</v>
      </c>
    </row>
    <row r="1719" spans="1:14" x14ac:dyDescent="0.35">
      <c r="A1719" s="1">
        <v>44879</v>
      </c>
      <c r="B1719" s="2" t="s">
        <v>1718</v>
      </c>
      <c r="C1719">
        <f t="shared" si="311"/>
        <v>58248.73</v>
      </c>
      <c r="D1719">
        <f t="shared" si="312"/>
        <v>2022</v>
      </c>
      <c r="E1719">
        <f t="shared" si="313"/>
        <v>11</v>
      </c>
      <c r="F1719" t="str">
        <f t="shared" si="315"/>
        <v>November</v>
      </c>
      <c r="G1719">
        <f t="shared" si="314"/>
        <v>14</v>
      </c>
      <c r="H1719" s="7">
        <f t="shared" si="316"/>
        <v>0.40272280884164224</v>
      </c>
      <c r="I1719" s="9">
        <f t="shared" si="317"/>
        <v>4.0191405117839521E-3</v>
      </c>
      <c r="J1719" s="9">
        <f t="shared" si="318"/>
        <v>57937.101428571426</v>
      </c>
      <c r="K1719" s="9">
        <f t="shared" si="321"/>
        <v>55643.76400000001</v>
      </c>
      <c r="L1719" s="9">
        <f t="shared" si="320"/>
        <v>55795.475777777763</v>
      </c>
      <c r="M1719" s="9">
        <f t="shared" si="319"/>
        <v>7.7424277130665724E-3</v>
      </c>
      <c r="N1719" s="9">
        <f t="shared" si="322"/>
        <v>9.0048144128680903E-3</v>
      </c>
    </row>
    <row r="1720" spans="1:14" x14ac:dyDescent="0.35">
      <c r="A1720" s="1">
        <v>44880</v>
      </c>
      <c r="B1720" s="2" t="s">
        <v>1719</v>
      </c>
      <c r="C1720">
        <f t="shared" si="311"/>
        <v>57872.53</v>
      </c>
      <c r="D1720">
        <f t="shared" si="312"/>
        <v>2022</v>
      </c>
      <c r="E1720">
        <f t="shared" si="313"/>
        <v>11</v>
      </c>
      <c r="F1720" t="str">
        <f t="shared" si="315"/>
        <v>November</v>
      </c>
      <c r="G1720">
        <f t="shared" si="314"/>
        <v>15</v>
      </c>
      <c r="H1720" s="7">
        <f t="shared" si="316"/>
        <v>-0.64585099108599342</v>
      </c>
      <c r="I1720" s="9">
        <f t="shared" si="317"/>
        <v>-6.4794563231098173E-3</v>
      </c>
      <c r="J1720" s="9">
        <f t="shared" si="318"/>
        <v>57913.924285714282</v>
      </c>
      <c r="K1720" s="9">
        <f t="shared" si="321"/>
        <v>55730.86266666669</v>
      </c>
      <c r="L1720" s="9">
        <f t="shared" si="320"/>
        <v>55807.971888888875</v>
      </c>
      <c r="M1720" s="9">
        <f t="shared" si="319"/>
        <v>6.5140398053939097E-3</v>
      </c>
      <c r="N1720" s="9">
        <f t="shared" si="322"/>
        <v>9.0463866685181089E-3</v>
      </c>
    </row>
    <row r="1721" spans="1:14" x14ac:dyDescent="0.35">
      <c r="A1721" s="1">
        <v>44881</v>
      </c>
      <c r="B1721" s="2" t="s">
        <v>1720</v>
      </c>
      <c r="C1721">
        <f t="shared" si="311"/>
        <v>57636.01</v>
      </c>
      <c r="D1721">
        <f t="shared" si="312"/>
        <v>2022</v>
      </c>
      <c r="E1721">
        <f t="shared" si="313"/>
        <v>11</v>
      </c>
      <c r="F1721" t="str">
        <f t="shared" si="315"/>
        <v>November</v>
      </c>
      <c r="G1721">
        <f t="shared" si="314"/>
        <v>16</v>
      </c>
      <c r="H1721" s="7">
        <f t="shared" si="316"/>
        <v>-0.40869130829427502</v>
      </c>
      <c r="I1721" s="9">
        <f t="shared" si="317"/>
        <v>-4.0952873365687264E-3</v>
      </c>
      <c r="J1721" s="9">
        <f t="shared" si="318"/>
        <v>57923.277142857136</v>
      </c>
      <c r="K1721" s="9">
        <f t="shared" si="321"/>
        <v>55838.347333333346</v>
      </c>
      <c r="L1721" s="9">
        <f t="shared" si="320"/>
        <v>55817.709555555535</v>
      </c>
      <c r="M1721" s="9">
        <f t="shared" si="319"/>
        <v>5.8850143728788997E-3</v>
      </c>
      <c r="N1721" s="9">
        <f t="shared" si="322"/>
        <v>8.5328945958450444E-3</v>
      </c>
    </row>
    <row r="1722" spans="1:14" x14ac:dyDescent="0.35">
      <c r="A1722" s="1">
        <v>44882</v>
      </c>
      <c r="B1722" s="2" t="s">
        <v>1721</v>
      </c>
      <c r="C1722">
        <f t="shared" si="311"/>
        <v>58052.72</v>
      </c>
      <c r="D1722">
        <f t="shared" si="312"/>
        <v>2022</v>
      </c>
      <c r="E1722">
        <f t="shared" si="313"/>
        <v>11</v>
      </c>
      <c r="F1722" t="str">
        <f t="shared" si="315"/>
        <v>November</v>
      </c>
      <c r="G1722">
        <f t="shared" si="314"/>
        <v>17</v>
      </c>
      <c r="H1722" s="7">
        <f t="shared" si="316"/>
        <v>0.72300285880302806</v>
      </c>
      <c r="I1722" s="9">
        <f t="shared" si="317"/>
        <v>7.2040172313244805E-3</v>
      </c>
      <c r="J1722" s="9">
        <f t="shared" si="318"/>
        <v>57978.967142857146</v>
      </c>
      <c r="K1722" s="9">
        <f t="shared" si="321"/>
        <v>55964.917333333338</v>
      </c>
      <c r="L1722" s="9">
        <f t="shared" si="320"/>
        <v>55834.51477777776</v>
      </c>
      <c r="M1722" s="9">
        <f t="shared" si="319"/>
        <v>6.4656575736475735E-3</v>
      </c>
      <c r="N1722" s="9">
        <f t="shared" si="322"/>
        <v>8.53618496019822E-3</v>
      </c>
    </row>
    <row r="1723" spans="1:14" x14ac:dyDescent="0.35">
      <c r="A1723" s="1">
        <v>44883</v>
      </c>
      <c r="B1723" s="2" t="s">
        <v>1722</v>
      </c>
      <c r="C1723">
        <f t="shared" si="311"/>
        <v>57537.23</v>
      </c>
      <c r="D1723">
        <f t="shared" si="312"/>
        <v>2022</v>
      </c>
      <c r="E1723">
        <f t="shared" si="313"/>
        <v>11</v>
      </c>
      <c r="F1723" t="str">
        <f t="shared" si="315"/>
        <v>November</v>
      </c>
      <c r="G1723">
        <f t="shared" si="314"/>
        <v>18</v>
      </c>
      <c r="H1723" s="7">
        <f t="shared" si="316"/>
        <v>-0.88796872911380886</v>
      </c>
      <c r="I1723" s="9">
        <f t="shared" si="317"/>
        <v>-8.9193466641074078E-3</v>
      </c>
      <c r="J1723" s="9">
        <f t="shared" si="318"/>
        <v>57953.128571428577</v>
      </c>
      <c r="K1723" s="9">
        <f t="shared" si="321"/>
        <v>56086.30000000001</v>
      </c>
      <c r="L1723" s="9">
        <f t="shared" si="320"/>
        <v>55837.001333333326</v>
      </c>
      <c r="M1723" s="9">
        <f t="shared" si="319"/>
        <v>7.4670981103185582E-3</v>
      </c>
      <c r="N1723" s="9">
        <f t="shared" si="322"/>
        <v>8.6272107274995239E-3</v>
      </c>
    </row>
    <row r="1724" spans="1:14" x14ac:dyDescent="0.35">
      <c r="A1724" s="1">
        <v>44886</v>
      </c>
      <c r="B1724" s="2" t="s">
        <v>1723</v>
      </c>
      <c r="C1724">
        <f t="shared" si="311"/>
        <v>57277.35</v>
      </c>
      <c r="D1724">
        <f t="shared" si="312"/>
        <v>2022</v>
      </c>
      <c r="E1724">
        <f t="shared" si="313"/>
        <v>11</v>
      </c>
      <c r="F1724" t="str">
        <f t="shared" si="315"/>
        <v>November</v>
      </c>
      <c r="G1724">
        <f t="shared" si="314"/>
        <v>21</v>
      </c>
      <c r="H1724" s="7">
        <f t="shared" si="316"/>
        <v>-0.45167276909229837</v>
      </c>
      <c r="I1724" s="9">
        <f t="shared" si="317"/>
        <v>-4.5269589248623301E-3</v>
      </c>
      <c r="J1724" s="9">
        <f t="shared" si="318"/>
        <v>57805.665714285708</v>
      </c>
      <c r="K1724" s="9">
        <f t="shared" si="321"/>
        <v>56201.815333333339</v>
      </c>
      <c r="L1724" s="9">
        <f t="shared" si="320"/>
        <v>55835.943555555532</v>
      </c>
      <c r="M1724" s="9">
        <f t="shared" si="319"/>
        <v>5.8724956098747299E-3</v>
      </c>
      <c r="N1724" s="9">
        <f t="shared" si="322"/>
        <v>8.6883853268732488E-3</v>
      </c>
    </row>
    <row r="1725" spans="1:14" x14ac:dyDescent="0.35">
      <c r="A1725" s="1">
        <v>44887</v>
      </c>
      <c r="B1725" s="2" t="s">
        <v>1724</v>
      </c>
      <c r="C1725">
        <f t="shared" si="311"/>
        <v>57273.14</v>
      </c>
      <c r="D1725">
        <f t="shared" si="312"/>
        <v>2022</v>
      </c>
      <c r="E1725">
        <f t="shared" si="313"/>
        <v>11</v>
      </c>
      <c r="F1725" t="str">
        <f t="shared" si="315"/>
        <v>November</v>
      </c>
      <c r="G1725">
        <f t="shared" si="314"/>
        <v>22</v>
      </c>
      <c r="H1725" s="7">
        <f t="shared" si="316"/>
        <v>-7.3502003846182247E-3</v>
      </c>
      <c r="I1725" s="9">
        <f t="shared" si="317"/>
        <v>-7.350470525080664E-5</v>
      </c>
      <c r="J1725" s="9">
        <f t="shared" si="318"/>
        <v>57699.672857142861</v>
      </c>
      <c r="K1725" s="9">
        <f t="shared" si="321"/>
        <v>56311.059333333345</v>
      </c>
      <c r="L1725" s="9">
        <f t="shared" si="320"/>
        <v>55844.900333333302</v>
      </c>
      <c r="M1725" s="9">
        <f t="shared" si="319"/>
        <v>5.8193934917037393E-3</v>
      </c>
      <c r="N1725" s="9">
        <f t="shared" si="322"/>
        <v>8.6932663424144005E-3</v>
      </c>
    </row>
    <row r="1726" spans="1:14" x14ac:dyDescent="0.35">
      <c r="A1726" s="1">
        <v>44888</v>
      </c>
      <c r="B1726" s="2" t="s">
        <v>1725</v>
      </c>
      <c r="C1726">
        <f t="shared" si="311"/>
        <v>57597.87</v>
      </c>
      <c r="D1726">
        <f t="shared" si="312"/>
        <v>2022</v>
      </c>
      <c r="E1726">
        <f t="shared" si="313"/>
        <v>11</v>
      </c>
      <c r="F1726" t="str">
        <f t="shared" si="315"/>
        <v>November</v>
      </c>
      <c r="G1726">
        <f t="shared" si="314"/>
        <v>23</v>
      </c>
      <c r="H1726" s="7">
        <f t="shared" si="316"/>
        <v>0.56698480299840937</v>
      </c>
      <c r="I1726" s="9">
        <f t="shared" si="317"/>
        <v>5.653834940984202E-3</v>
      </c>
      <c r="J1726" s="9">
        <f t="shared" si="318"/>
        <v>57606.692857142865</v>
      </c>
      <c r="K1726" s="9">
        <f t="shared" si="321"/>
        <v>56424.724000000017</v>
      </c>
      <c r="L1726" s="9">
        <f t="shared" si="320"/>
        <v>55862.045888888853</v>
      </c>
      <c r="M1726" s="9">
        <f t="shared" si="319"/>
        <v>6.1187459670023116E-3</v>
      </c>
      <c r="N1726" s="9">
        <f t="shared" si="322"/>
        <v>8.7149495608557954E-3</v>
      </c>
    </row>
    <row r="1727" spans="1:14" x14ac:dyDescent="0.35">
      <c r="A1727" s="1">
        <v>44889</v>
      </c>
      <c r="B1727" s="2" t="s">
        <v>1726</v>
      </c>
      <c r="C1727">
        <f t="shared" si="311"/>
        <v>56963.8</v>
      </c>
      <c r="D1727">
        <f t="shared" si="312"/>
        <v>2022</v>
      </c>
      <c r="E1727">
        <f t="shared" si="313"/>
        <v>11</v>
      </c>
      <c r="F1727" t="str">
        <f t="shared" si="315"/>
        <v>November</v>
      </c>
      <c r="G1727">
        <f t="shared" si="314"/>
        <v>24</v>
      </c>
      <c r="H1727" s="7">
        <f t="shared" si="316"/>
        <v>-1.1008566809849039</v>
      </c>
      <c r="I1727" s="9">
        <f t="shared" si="317"/>
        <v>-1.1069609489811732E-2</v>
      </c>
      <c r="J1727" s="9">
        <f t="shared" si="318"/>
        <v>57476.874285714286</v>
      </c>
      <c r="K1727" s="9">
        <f t="shared" si="321"/>
        <v>56502.249666666685</v>
      </c>
      <c r="L1727" s="9">
        <f t="shared" si="320"/>
        <v>55870.133222222197</v>
      </c>
      <c r="M1727" s="9">
        <f t="shared" si="319"/>
        <v>6.921472149761315E-3</v>
      </c>
      <c r="N1727" s="9">
        <f t="shared" si="322"/>
        <v>8.9498448910515904E-3</v>
      </c>
    </row>
    <row r="1728" spans="1:14" x14ac:dyDescent="0.35">
      <c r="A1728" s="1">
        <v>44890</v>
      </c>
      <c r="B1728" s="2" t="s">
        <v>1727</v>
      </c>
      <c r="C1728">
        <f t="shared" si="311"/>
        <v>57731.4</v>
      </c>
      <c r="D1728">
        <f t="shared" si="312"/>
        <v>2022</v>
      </c>
      <c r="E1728">
        <f t="shared" si="313"/>
        <v>11</v>
      </c>
      <c r="F1728" t="str">
        <f t="shared" si="315"/>
        <v>November</v>
      </c>
      <c r="G1728">
        <f t="shared" si="314"/>
        <v>25</v>
      </c>
      <c r="H1728" s="7">
        <f t="shared" si="316"/>
        <v>1.347522461633526</v>
      </c>
      <c r="I1728" s="9">
        <f t="shared" si="317"/>
        <v>1.3385241239970515E-2</v>
      </c>
      <c r="J1728" s="9">
        <f t="shared" si="318"/>
        <v>57490.501428571428</v>
      </c>
      <c r="K1728" s="9">
        <f t="shared" si="321"/>
        <v>56617.269666666667</v>
      </c>
      <c r="L1728" s="9">
        <f t="shared" si="320"/>
        <v>55885.611777777754</v>
      </c>
      <c r="M1728" s="9">
        <f t="shared" si="319"/>
        <v>8.9928443195055555E-3</v>
      </c>
      <c r="N1728" s="9">
        <f t="shared" si="322"/>
        <v>9.0788515986478958E-3</v>
      </c>
    </row>
    <row r="1729" spans="1:14" x14ac:dyDescent="0.35">
      <c r="A1729" s="1">
        <v>44893</v>
      </c>
      <c r="B1729" s="2" t="s">
        <v>1728</v>
      </c>
      <c r="C1729">
        <f t="shared" si="311"/>
        <v>57589.82</v>
      </c>
      <c r="D1729">
        <f t="shared" si="312"/>
        <v>2022</v>
      </c>
      <c r="E1729">
        <f t="shared" si="313"/>
        <v>11</v>
      </c>
      <c r="F1729" t="str">
        <f t="shared" si="315"/>
        <v>November</v>
      </c>
      <c r="G1729">
        <f t="shared" si="314"/>
        <v>28</v>
      </c>
      <c r="H1729" s="7">
        <f t="shared" si="316"/>
        <v>-0.24523915927900891</v>
      </c>
      <c r="I1729" s="9">
        <f t="shared" si="317"/>
        <v>-2.4554036305240085E-3</v>
      </c>
      <c r="J1729" s="9">
        <f t="shared" si="318"/>
        <v>57424.372857142866</v>
      </c>
      <c r="K1729" s="9">
        <f t="shared" si="321"/>
        <v>56724.053333333337</v>
      </c>
      <c r="L1729" s="9">
        <f t="shared" si="320"/>
        <v>55898.841999999982</v>
      </c>
      <c r="M1729" s="9">
        <f t="shared" si="319"/>
        <v>8.4714550147928745E-3</v>
      </c>
      <c r="N1729" s="9">
        <f t="shared" si="322"/>
        <v>9.1161500827381062E-3</v>
      </c>
    </row>
    <row r="1730" spans="1:14" x14ac:dyDescent="0.35">
      <c r="A1730" s="1">
        <v>44894</v>
      </c>
      <c r="B1730" s="2" t="s">
        <v>1729</v>
      </c>
      <c r="C1730">
        <f t="shared" si="311"/>
        <v>57829.47</v>
      </c>
      <c r="D1730">
        <f t="shared" si="312"/>
        <v>2022</v>
      </c>
      <c r="E1730">
        <f t="shared" si="313"/>
        <v>11</v>
      </c>
      <c r="F1730" t="str">
        <f t="shared" si="315"/>
        <v>November</v>
      </c>
      <c r="G1730">
        <f t="shared" si="314"/>
        <v>29</v>
      </c>
      <c r="H1730" s="7">
        <f t="shared" si="316"/>
        <v>0.41613257343051507</v>
      </c>
      <c r="I1730" s="9">
        <f t="shared" si="317"/>
        <v>4.1526913637025473E-3</v>
      </c>
      <c r="J1730" s="9">
        <f t="shared" si="318"/>
        <v>57466.121428571423</v>
      </c>
      <c r="K1730" s="9">
        <f t="shared" si="321"/>
        <v>56855.885000000009</v>
      </c>
      <c r="L1730" s="9">
        <f t="shared" si="320"/>
        <v>55917.225777777763</v>
      </c>
      <c r="M1730" s="9">
        <f t="shared" si="319"/>
        <v>7.8927460574221963E-3</v>
      </c>
      <c r="N1730" s="9">
        <f t="shared" si="322"/>
        <v>8.8664034943730114E-3</v>
      </c>
    </row>
    <row r="1731" spans="1:14" x14ac:dyDescent="0.35">
      <c r="A1731" s="1">
        <v>44895</v>
      </c>
      <c r="B1731" s="2" t="s">
        <v>1730</v>
      </c>
      <c r="C1731">
        <f t="shared" ref="C1731:C1794" si="323">_xlfn.NUMBERVALUE(B1731,".",",")</f>
        <v>58012.18</v>
      </c>
      <c r="D1731">
        <f t="shared" ref="D1731:D1794" si="324">YEAR(A1731)</f>
        <v>2022</v>
      </c>
      <c r="E1731">
        <f t="shared" ref="E1731:E1794" si="325">MONTH(A1731)</f>
        <v>11</v>
      </c>
      <c r="F1731" t="str">
        <f t="shared" si="315"/>
        <v>November</v>
      </c>
      <c r="G1731">
        <f t="shared" ref="G1731:G1794" si="326">DAY(A1731)</f>
        <v>30</v>
      </c>
      <c r="H1731" s="7">
        <f t="shared" si="316"/>
        <v>0.31594617761497573</v>
      </c>
      <c r="I1731" s="9">
        <f t="shared" si="317"/>
        <v>3.1544811647356862E-3</v>
      </c>
      <c r="J1731" s="9">
        <f t="shared" si="318"/>
        <v>57571.097142857143</v>
      </c>
      <c r="K1731" s="9">
        <f t="shared" si="321"/>
        <v>56994.926666666666</v>
      </c>
      <c r="L1731" s="9">
        <f t="shared" si="320"/>
        <v>55932.727555555539</v>
      </c>
      <c r="M1731" s="9">
        <f t="shared" si="319"/>
        <v>7.5683754840478778E-3</v>
      </c>
      <c r="N1731" s="9">
        <f t="shared" si="322"/>
        <v>8.8493579710312385E-3</v>
      </c>
    </row>
    <row r="1732" spans="1:14" x14ac:dyDescent="0.35">
      <c r="A1732" s="1">
        <v>44896</v>
      </c>
      <c r="B1732" s="2" t="s">
        <v>1731</v>
      </c>
      <c r="C1732">
        <f t="shared" si="323"/>
        <v>58092.480000000003</v>
      </c>
      <c r="D1732">
        <f t="shared" si="324"/>
        <v>2022</v>
      </c>
      <c r="E1732">
        <f t="shared" si="325"/>
        <v>12</v>
      </c>
      <c r="F1732" t="str">
        <f t="shared" ref="F1732:F1795" si="327">TEXT(A1732,"mmmm")</f>
        <v>December</v>
      </c>
      <c r="G1732">
        <f t="shared" si="326"/>
        <v>1</v>
      </c>
      <c r="H1732" s="7">
        <f t="shared" ref="H1732:H1795" si="328">((C1732-C1731)/C1731)*100</f>
        <v>0.13841920782843001</v>
      </c>
      <c r="I1732" s="9">
        <f t="shared" ref="I1732:I1795" si="329">LN(C1732/C1731)</f>
        <v>1.3832349675443592E-3</v>
      </c>
      <c r="J1732" s="9">
        <f t="shared" si="318"/>
        <v>57688.145714285711</v>
      </c>
      <c r="K1732" s="9">
        <f t="shared" si="321"/>
        <v>57130.361666666664</v>
      </c>
      <c r="L1732" s="9">
        <f t="shared" si="320"/>
        <v>55939.499555555543</v>
      </c>
      <c r="M1732" s="9">
        <f t="shared" si="319"/>
        <v>7.5275148064337721E-3</v>
      </c>
      <c r="N1732" s="9">
        <f t="shared" si="322"/>
        <v>8.8494650952584668E-3</v>
      </c>
    </row>
    <row r="1733" spans="1:14" x14ac:dyDescent="0.35">
      <c r="A1733" s="1">
        <v>44897</v>
      </c>
      <c r="B1733" s="2" t="s">
        <v>1732</v>
      </c>
      <c r="C1733">
        <f t="shared" si="323"/>
        <v>58472.52</v>
      </c>
      <c r="D1733">
        <f t="shared" si="324"/>
        <v>2022</v>
      </c>
      <c r="E1733">
        <f t="shared" si="325"/>
        <v>12</v>
      </c>
      <c r="F1733" t="str">
        <f t="shared" si="327"/>
        <v>December</v>
      </c>
      <c r="G1733">
        <f t="shared" si="326"/>
        <v>2</v>
      </c>
      <c r="H1733" s="7">
        <f t="shared" si="328"/>
        <v>0.65419827144579401</v>
      </c>
      <c r="I1733" s="9">
        <f t="shared" si="329"/>
        <v>6.520676816933582E-3</v>
      </c>
      <c r="J1733" s="9">
        <f t="shared" si="318"/>
        <v>57813.095714285722</v>
      </c>
      <c r="K1733" s="9">
        <f t="shared" si="321"/>
        <v>57239.713333333333</v>
      </c>
      <c r="L1733" s="9">
        <f t="shared" si="320"/>
        <v>55948.609999999986</v>
      </c>
      <c r="M1733" s="9">
        <f t="shared" si="319"/>
        <v>7.603824674208292E-3</v>
      </c>
      <c r="N1733" s="9">
        <f t="shared" si="322"/>
        <v>8.1463118160919057E-3</v>
      </c>
    </row>
    <row r="1734" spans="1:14" x14ac:dyDescent="0.35">
      <c r="A1734" s="1">
        <v>44900</v>
      </c>
      <c r="B1734" s="2" t="s">
        <v>1733</v>
      </c>
      <c r="C1734">
        <f t="shared" si="323"/>
        <v>58203.839999999997</v>
      </c>
      <c r="D1734">
        <f t="shared" si="324"/>
        <v>2022</v>
      </c>
      <c r="E1734">
        <f t="shared" si="325"/>
        <v>12</v>
      </c>
      <c r="F1734" t="str">
        <f t="shared" si="327"/>
        <v>December</v>
      </c>
      <c r="G1734">
        <f t="shared" si="326"/>
        <v>5</v>
      </c>
      <c r="H1734" s="7">
        <f t="shared" si="328"/>
        <v>-0.4594978974738908</v>
      </c>
      <c r="I1734" s="9">
        <f t="shared" si="329"/>
        <v>-4.6055683416921711E-3</v>
      </c>
      <c r="J1734" s="9">
        <f t="shared" si="318"/>
        <v>57990.244285714281</v>
      </c>
      <c r="K1734" s="9">
        <f t="shared" si="321"/>
        <v>57334.123666666666</v>
      </c>
      <c r="L1734" s="9">
        <f t="shared" si="320"/>
        <v>55959.242555555538</v>
      </c>
      <c r="M1734" s="9">
        <f t="shared" si="319"/>
        <v>5.9411004460907914E-3</v>
      </c>
      <c r="N1734" s="9">
        <f t="shared" si="322"/>
        <v>8.2280967528419059E-3</v>
      </c>
    </row>
    <row r="1735" spans="1:14" x14ac:dyDescent="0.35">
      <c r="A1735" s="1">
        <v>44901</v>
      </c>
      <c r="B1735" s="2" t="s">
        <v>1734</v>
      </c>
      <c r="C1735">
        <f t="shared" si="323"/>
        <v>58066.65</v>
      </c>
      <c r="D1735">
        <f t="shared" si="324"/>
        <v>2022</v>
      </c>
      <c r="E1735">
        <f t="shared" si="325"/>
        <v>12</v>
      </c>
      <c r="F1735" t="str">
        <f t="shared" si="327"/>
        <v>December</v>
      </c>
      <c r="G1735">
        <f t="shared" si="326"/>
        <v>6</v>
      </c>
      <c r="H1735" s="7">
        <f t="shared" si="328"/>
        <v>-0.23570609774199616</v>
      </c>
      <c r="I1735" s="9">
        <f t="shared" si="329"/>
        <v>-2.3598432184465772E-3</v>
      </c>
      <c r="J1735" s="9">
        <f t="shared" si="318"/>
        <v>58038.137142857151</v>
      </c>
      <c r="K1735" s="9">
        <f t="shared" si="321"/>
        <v>57418.503999999994</v>
      </c>
      <c r="L1735" s="9">
        <f t="shared" si="320"/>
        <v>55971.884555555538</v>
      </c>
      <c r="M1735" s="9">
        <f t="shared" si="319"/>
        <v>4.0752849901020691E-3</v>
      </c>
      <c r="N1735" s="9">
        <f t="shared" si="322"/>
        <v>8.2565017528083116E-3</v>
      </c>
    </row>
    <row r="1736" spans="1:14" x14ac:dyDescent="0.35">
      <c r="A1736" s="1">
        <v>44902</v>
      </c>
      <c r="B1736" s="2" t="s">
        <v>1735</v>
      </c>
      <c r="C1736">
        <f t="shared" si="323"/>
        <v>58421.72</v>
      </c>
      <c r="D1736">
        <f t="shared" si="324"/>
        <v>2022</v>
      </c>
      <c r="E1736">
        <f t="shared" si="325"/>
        <v>12</v>
      </c>
      <c r="F1736" t="str">
        <f t="shared" si="327"/>
        <v>December</v>
      </c>
      <c r="G1736">
        <f t="shared" si="326"/>
        <v>7</v>
      </c>
      <c r="H1736" s="7">
        <f t="shared" si="328"/>
        <v>0.61148697229821192</v>
      </c>
      <c r="I1736" s="9">
        <f t="shared" si="329"/>
        <v>6.0962497742707766E-3</v>
      </c>
      <c r="J1736" s="9">
        <f t="shared" si="318"/>
        <v>58156.979999999996</v>
      </c>
      <c r="K1736" s="9">
        <f t="shared" si="321"/>
        <v>57525.050666666662</v>
      </c>
      <c r="L1736" s="9">
        <f t="shared" si="320"/>
        <v>55991.570222222203</v>
      </c>
      <c r="M1736" s="9">
        <f t="shared" si="319"/>
        <v>4.2069020965833275E-3</v>
      </c>
      <c r="N1736" s="9">
        <f t="shared" si="322"/>
        <v>8.1863405841846072E-3</v>
      </c>
    </row>
    <row r="1737" spans="1:14" x14ac:dyDescent="0.35">
      <c r="A1737" s="1">
        <v>44903</v>
      </c>
      <c r="B1737" s="2" t="s">
        <v>1736</v>
      </c>
      <c r="C1737">
        <f t="shared" si="323"/>
        <v>58343.23</v>
      </c>
      <c r="D1737">
        <f t="shared" si="324"/>
        <v>2022</v>
      </c>
      <c r="E1737">
        <f t="shared" si="325"/>
        <v>12</v>
      </c>
      <c r="F1737" t="str">
        <f t="shared" si="327"/>
        <v>December</v>
      </c>
      <c r="G1737">
        <f t="shared" si="326"/>
        <v>8</v>
      </c>
      <c r="H1737" s="7">
        <f t="shared" si="328"/>
        <v>-0.13435071750711544</v>
      </c>
      <c r="I1737" s="9">
        <f t="shared" si="329"/>
        <v>-1.3444104899999196E-3</v>
      </c>
      <c r="J1737" s="9">
        <f t="shared" ref="J1737:J1800" si="330">AVERAGE(C1731:C1737)</f>
        <v>58230.374285714286</v>
      </c>
      <c r="K1737" s="9">
        <f t="shared" si="321"/>
        <v>57634.424666666659</v>
      </c>
      <c r="L1737" s="9">
        <f t="shared" si="320"/>
        <v>56012.88266666665</v>
      </c>
      <c r="M1737" s="9">
        <f t="shared" si="319"/>
        <v>4.2614414830417346E-3</v>
      </c>
      <c r="N1737" s="9">
        <f t="shared" si="322"/>
        <v>8.1586691149823122E-3</v>
      </c>
    </row>
    <row r="1738" spans="1:14" x14ac:dyDescent="0.35">
      <c r="A1738" s="1">
        <v>44904</v>
      </c>
      <c r="B1738" s="2" t="s">
        <v>1737</v>
      </c>
      <c r="C1738">
        <f t="shared" si="323"/>
        <v>58756.01</v>
      </c>
      <c r="D1738">
        <f t="shared" si="324"/>
        <v>2022</v>
      </c>
      <c r="E1738">
        <f t="shared" si="325"/>
        <v>12</v>
      </c>
      <c r="F1738" t="str">
        <f t="shared" si="327"/>
        <v>December</v>
      </c>
      <c r="G1738">
        <f t="shared" si="326"/>
        <v>9</v>
      </c>
      <c r="H1738" s="7">
        <f t="shared" si="328"/>
        <v>0.707502824235132</v>
      </c>
      <c r="I1738" s="9">
        <f t="shared" si="329"/>
        <v>7.0501176564221751E-3</v>
      </c>
      <c r="J1738" s="9">
        <f t="shared" si="330"/>
        <v>58336.635714285709</v>
      </c>
      <c r="K1738" s="9">
        <f t="shared" si="321"/>
        <v>57760.445666666652</v>
      </c>
      <c r="L1738" s="9">
        <f t="shared" si="320"/>
        <v>56044.920555555538</v>
      </c>
      <c r="M1738" s="9">
        <f t="shared" ref="M1738:M1801" si="331">STDEV(I1732:I1738)</f>
        <v>4.7731904184852708E-3</v>
      </c>
      <c r="N1738" s="9">
        <f t="shared" si="322"/>
        <v>8.1828591892325071E-3</v>
      </c>
    </row>
    <row r="1739" spans="1:14" x14ac:dyDescent="0.35">
      <c r="A1739" s="1">
        <v>44907</v>
      </c>
      <c r="B1739" s="2" t="s">
        <v>1738</v>
      </c>
      <c r="C1739">
        <f t="shared" si="323"/>
        <v>58941.47</v>
      </c>
      <c r="D1739">
        <f t="shared" si="324"/>
        <v>2022</v>
      </c>
      <c r="E1739">
        <f t="shared" si="325"/>
        <v>12</v>
      </c>
      <c r="F1739" t="str">
        <f t="shared" si="327"/>
        <v>December</v>
      </c>
      <c r="G1739">
        <f t="shared" si="326"/>
        <v>12</v>
      </c>
      <c r="H1739" s="7">
        <f t="shared" si="328"/>
        <v>0.31564430600375881</v>
      </c>
      <c r="I1739" s="9">
        <f t="shared" si="329"/>
        <v>3.1514719515754689E-3</v>
      </c>
      <c r="J1739" s="9">
        <f t="shared" si="330"/>
        <v>58457.919999999991</v>
      </c>
      <c r="K1739" s="9">
        <f t="shared" si="321"/>
        <v>57849.363999999994</v>
      </c>
      <c r="L1739" s="9">
        <f t="shared" si="320"/>
        <v>56080.751444444431</v>
      </c>
      <c r="M1739" s="9">
        <f t="shared" si="331"/>
        <v>4.792967722296225E-3</v>
      </c>
      <c r="N1739" s="9">
        <f t="shared" si="322"/>
        <v>7.1502817396760197E-3</v>
      </c>
    </row>
    <row r="1740" spans="1:14" x14ac:dyDescent="0.35">
      <c r="A1740" s="1">
        <v>44908</v>
      </c>
      <c r="B1740" s="2" t="s">
        <v>1739</v>
      </c>
      <c r="C1740">
        <f t="shared" si="323"/>
        <v>58973.62</v>
      </c>
      <c r="D1740">
        <f t="shared" si="324"/>
        <v>2022</v>
      </c>
      <c r="E1740">
        <f t="shared" si="325"/>
        <v>12</v>
      </c>
      <c r="F1740" t="str">
        <f t="shared" si="327"/>
        <v>December</v>
      </c>
      <c r="G1740">
        <f t="shared" si="326"/>
        <v>13</v>
      </c>
      <c r="H1740" s="7">
        <f t="shared" si="328"/>
        <v>5.4545636544187745E-2</v>
      </c>
      <c r="I1740" s="9">
        <f t="shared" si="329"/>
        <v>5.4530765819168505E-4</v>
      </c>
      <c r="J1740" s="9">
        <f t="shared" si="330"/>
        <v>58529.505714285719</v>
      </c>
      <c r="K1740" s="9">
        <f t="shared" si="321"/>
        <v>57907.697666666667</v>
      </c>
      <c r="L1740" s="9">
        <f t="shared" si="320"/>
        <v>56116.436333333331</v>
      </c>
      <c r="M1740" s="9">
        <f t="shared" si="331"/>
        <v>4.3833510045230015E-3</v>
      </c>
      <c r="N1740" s="9">
        <f t="shared" si="322"/>
        <v>6.54992664530284E-3</v>
      </c>
    </row>
    <row r="1741" spans="1:14" x14ac:dyDescent="0.35">
      <c r="A1741" s="1">
        <v>44909</v>
      </c>
      <c r="B1741" s="2" t="s">
        <v>1740</v>
      </c>
      <c r="C1741">
        <f t="shared" si="323"/>
        <v>58564.72</v>
      </c>
      <c r="D1741">
        <f t="shared" si="324"/>
        <v>2022</v>
      </c>
      <c r="E1741">
        <f t="shared" si="325"/>
        <v>12</v>
      </c>
      <c r="F1741" t="str">
        <f t="shared" si="327"/>
        <v>December</v>
      </c>
      <c r="G1741">
        <f t="shared" si="326"/>
        <v>14</v>
      </c>
      <c r="H1741" s="7">
        <f t="shared" si="328"/>
        <v>-0.69336086202610836</v>
      </c>
      <c r="I1741" s="9">
        <f t="shared" si="329"/>
        <v>-6.9577577764467161E-3</v>
      </c>
      <c r="J1741" s="9">
        <f t="shared" si="330"/>
        <v>58581.060000000005</v>
      </c>
      <c r="K1741" s="9">
        <f t="shared" si="321"/>
        <v>57967.034666666659</v>
      </c>
      <c r="L1741" s="9">
        <f t="shared" si="320"/>
        <v>56154.466777777772</v>
      </c>
      <c r="M1741" s="9">
        <f t="shared" si="331"/>
        <v>4.956917500600554E-3</v>
      </c>
      <c r="N1741" s="9">
        <f t="shared" si="322"/>
        <v>6.5171774603556528E-3</v>
      </c>
    </row>
    <row r="1742" spans="1:14" x14ac:dyDescent="0.35">
      <c r="A1742" s="1">
        <v>44910</v>
      </c>
      <c r="B1742" s="2" t="s">
        <v>1741</v>
      </c>
      <c r="C1742">
        <f t="shared" si="323"/>
        <v>58629.09</v>
      </c>
      <c r="D1742">
        <f t="shared" si="324"/>
        <v>2022</v>
      </c>
      <c r="E1742">
        <f t="shared" si="325"/>
        <v>12</v>
      </c>
      <c r="F1742" t="str">
        <f t="shared" si="327"/>
        <v>December</v>
      </c>
      <c r="G1742">
        <f t="shared" si="326"/>
        <v>15</v>
      </c>
      <c r="H1742" s="7">
        <f t="shared" si="328"/>
        <v>0.10991258901262627</v>
      </c>
      <c r="I1742" s="9">
        <f t="shared" si="329"/>
        <v>1.0985222935104033E-3</v>
      </c>
      <c r="J1742" s="9">
        <f t="shared" si="330"/>
        <v>58661.408571428568</v>
      </c>
      <c r="K1742" s="9">
        <f t="shared" si="321"/>
        <v>58013.286</v>
      </c>
      <c r="L1742" s="9">
        <f t="shared" si="320"/>
        <v>56189.473888888882</v>
      </c>
      <c r="M1742" s="9">
        <f t="shared" si="331"/>
        <v>4.7477689019541913E-3</v>
      </c>
      <c r="N1742" s="9">
        <f t="shared" si="322"/>
        <v>6.382474891940151E-3</v>
      </c>
    </row>
    <row r="1743" spans="1:14" x14ac:dyDescent="0.35">
      <c r="A1743" s="1">
        <v>44914</v>
      </c>
      <c r="B1743" s="2" t="s">
        <v>1742</v>
      </c>
      <c r="C1743">
        <f t="shared" si="323"/>
        <v>58193.78</v>
      </c>
      <c r="D1743">
        <f t="shared" si="324"/>
        <v>2022</v>
      </c>
      <c r="E1743">
        <f t="shared" si="325"/>
        <v>12</v>
      </c>
      <c r="F1743" t="str">
        <f t="shared" si="327"/>
        <v>December</v>
      </c>
      <c r="G1743">
        <f t="shared" si="326"/>
        <v>19</v>
      </c>
      <c r="H1743" s="7">
        <f t="shared" si="328"/>
        <v>-0.74248124949576688</v>
      </c>
      <c r="I1743" s="9">
        <f t="shared" si="329"/>
        <v>-7.4525136175208609E-3</v>
      </c>
      <c r="J1743" s="9">
        <f t="shared" si="330"/>
        <v>58628.845714285722</v>
      </c>
      <c r="K1743" s="9">
        <f t="shared" si="321"/>
        <v>58018.586333333333</v>
      </c>
      <c r="L1743" s="9">
        <f t="shared" si="320"/>
        <v>56218.61088888887</v>
      </c>
      <c r="M1743" s="9">
        <f t="shared" si="331"/>
        <v>5.2395077359227785E-3</v>
      </c>
      <c r="N1743" s="9">
        <f t="shared" si="322"/>
        <v>6.0638989443324298E-3</v>
      </c>
    </row>
    <row r="1744" spans="1:14" x14ac:dyDescent="0.35">
      <c r="A1744" s="1">
        <v>44915</v>
      </c>
      <c r="B1744" s="2" t="s">
        <v>1743</v>
      </c>
      <c r="C1744">
        <f t="shared" si="323"/>
        <v>58697.63</v>
      </c>
      <c r="D1744">
        <f t="shared" si="324"/>
        <v>2022</v>
      </c>
      <c r="E1744">
        <f t="shared" si="325"/>
        <v>12</v>
      </c>
      <c r="F1744" t="str">
        <f t="shared" si="327"/>
        <v>December</v>
      </c>
      <c r="G1744">
        <f t="shared" si="326"/>
        <v>20</v>
      </c>
      <c r="H1744" s="7">
        <f t="shared" si="328"/>
        <v>0.86581418151561662</v>
      </c>
      <c r="I1744" s="9">
        <f t="shared" si="329"/>
        <v>8.6208750580659636E-3</v>
      </c>
      <c r="J1744" s="9">
        <f t="shared" si="330"/>
        <v>58679.474285714292</v>
      </c>
      <c r="K1744" s="9">
        <f t="shared" si="321"/>
        <v>58056.155999999995</v>
      </c>
      <c r="L1744" s="9">
        <f t="shared" si="320"/>
        <v>56249.286444444428</v>
      </c>
      <c r="M1744" s="9">
        <f t="shared" si="331"/>
        <v>6.2472732723627324E-3</v>
      </c>
      <c r="N1744" s="9">
        <f t="shared" si="322"/>
        <v>6.0568901691760149E-3</v>
      </c>
    </row>
    <row r="1745" spans="1:14" x14ac:dyDescent="0.35">
      <c r="A1745" s="1">
        <v>44916</v>
      </c>
      <c r="B1745" s="2" t="s">
        <v>1744</v>
      </c>
      <c r="C1745">
        <f t="shared" si="323"/>
        <v>58710.55</v>
      </c>
      <c r="D1745">
        <f t="shared" si="324"/>
        <v>2022</v>
      </c>
      <c r="E1745">
        <f t="shared" si="325"/>
        <v>12</v>
      </c>
      <c r="F1745" t="str">
        <f t="shared" si="327"/>
        <v>December</v>
      </c>
      <c r="G1745">
        <f t="shared" si="326"/>
        <v>21</v>
      </c>
      <c r="H1745" s="7">
        <f t="shared" si="328"/>
        <v>2.2011110158971548E-2</v>
      </c>
      <c r="I1745" s="9">
        <f t="shared" si="329"/>
        <v>2.2008688069542005E-4</v>
      </c>
      <c r="J1745" s="9">
        <f t="shared" si="330"/>
        <v>58672.979999999996</v>
      </c>
      <c r="K1745" s="9">
        <f t="shared" si="321"/>
        <v>58091.078000000001</v>
      </c>
      <c r="L1745" s="9">
        <f t="shared" si="320"/>
        <v>56278.172777777763</v>
      </c>
      <c r="M1745" s="9">
        <f t="shared" si="331"/>
        <v>5.6224042999723873E-3</v>
      </c>
      <c r="N1745" s="9">
        <f t="shared" si="322"/>
        <v>6.0546207688626239E-3</v>
      </c>
    </row>
    <row r="1746" spans="1:14" x14ac:dyDescent="0.35">
      <c r="A1746" s="1">
        <v>44917</v>
      </c>
      <c r="B1746" s="2" t="s">
        <v>1745</v>
      </c>
      <c r="C1746">
        <f t="shared" si="323"/>
        <v>58767.63</v>
      </c>
      <c r="D1746">
        <f t="shared" si="324"/>
        <v>2022</v>
      </c>
      <c r="E1746">
        <f t="shared" si="325"/>
        <v>12</v>
      </c>
      <c r="F1746" t="str">
        <f t="shared" si="327"/>
        <v>December</v>
      </c>
      <c r="G1746">
        <f t="shared" si="326"/>
        <v>22</v>
      </c>
      <c r="H1746" s="7">
        <f t="shared" si="328"/>
        <v>9.7222730837974558E-2</v>
      </c>
      <c r="I1746" s="9">
        <f t="shared" si="329"/>
        <v>9.7175500151170182E-4</v>
      </c>
      <c r="J1746" s="9">
        <f t="shared" si="330"/>
        <v>58648.145714285711</v>
      </c>
      <c r="K1746" s="9">
        <f t="shared" si="321"/>
        <v>58126.062333333328</v>
      </c>
      <c r="L1746" s="9">
        <f t="shared" si="320"/>
        <v>56312.004333333316</v>
      </c>
      <c r="M1746" s="9">
        <f t="shared" si="331"/>
        <v>5.4699229345689018E-3</v>
      </c>
      <c r="N1746" s="9">
        <f t="shared" si="322"/>
        <v>6.0546513453567322E-3</v>
      </c>
    </row>
    <row r="1747" spans="1:14" x14ac:dyDescent="0.35">
      <c r="A1747" s="1">
        <v>44918</v>
      </c>
      <c r="B1747" s="2" t="s">
        <v>1746</v>
      </c>
      <c r="C1747">
        <f t="shared" si="323"/>
        <v>58481.05</v>
      </c>
      <c r="D1747">
        <f t="shared" si="324"/>
        <v>2022</v>
      </c>
      <c r="E1747">
        <f t="shared" si="325"/>
        <v>12</v>
      </c>
      <c r="F1747" t="str">
        <f t="shared" si="327"/>
        <v>December</v>
      </c>
      <c r="G1747">
        <f t="shared" si="326"/>
        <v>23</v>
      </c>
      <c r="H1747" s="7">
        <f t="shared" si="328"/>
        <v>-0.48764940835625747</v>
      </c>
      <c r="I1747" s="9">
        <f t="shared" si="329"/>
        <v>-4.8884229774236523E-3</v>
      </c>
      <c r="J1747" s="9">
        <f t="shared" si="330"/>
        <v>58577.778571428571</v>
      </c>
      <c r="K1747" s="9">
        <f t="shared" si="321"/>
        <v>58131.777666666669</v>
      </c>
      <c r="L1747" s="9">
        <f t="shared" si="320"/>
        <v>56339.644666666652</v>
      </c>
      <c r="M1747" s="9">
        <f t="shared" si="331"/>
        <v>5.6908713583420168E-3</v>
      </c>
      <c r="N1747" s="9">
        <f t="shared" si="322"/>
        <v>5.853338494039872E-3</v>
      </c>
    </row>
    <row r="1748" spans="1:14" x14ac:dyDescent="0.35">
      <c r="A1748" s="1">
        <v>44923</v>
      </c>
      <c r="B1748" s="2" t="s">
        <v>1747</v>
      </c>
      <c r="C1748">
        <f t="shared" si="323"/>
        <v>58099.839999999997</v>
      </c>
      <c r="D1748">
        <f t="shared" si="324"/>
        <v>2022</v>
      </c>
      <c r="E1748">
        <f t="shared" si="325"/>
        <v>12</v>
      </c>
      <c r="F1748" t="str">
        <f t="shared" si="327"/>
        <v>December</v>
      </c>
      <c r="G1748">
        <f t="shared" si="326"/>
        <v>28</v>
      </c>
      <c r="H1748" s="7">
        <f t="shared" si="328"/>
        <v>-0.65185218117664845</v>
      </c>
      <c r="I1748" s="9">
        <f t="shared" si="329"/>
        <v>-6.5398601552575809E-3</v>
      </c>
      <c r="J1748" s="9">
        <f t="shared" si="330"/>
        <v>58511.367142857132</v>
      </c>
      <c r="K1748" s="9">
        <f t="shared" si="321"/>
        <v>58134.602666666666</v>
      </c>
      <c r="L1748" s="9">
        <f t="shared" si="320"/>
        <v>56361.970555555541</v>
      </c>
      <c r="M1748" s="9">
        <f t="shared" si="331"/>
        <v>5.6221583425858463E-3</v>
      </c>
      <c r="N1748" s="9">
        <f t="shared" si="322"/>
        <v>5.9042165536655972E-3</v>
      </c>
    </row>
    <row r="1749" spans="1:14" x14ac:dyDescent="0.35">
      <c r="A1749" s="1">
        <v>44924</v>
      </c>
      <c r="B1749" s="2" t="s">
        <v>1748</v>
      </c>
      <c r="C1749">
        <f t="shared" si="323"/>
        <v>57090.53</v>
      </c>
      <c r="D1749">
        <f t="shared" si="324"/>
        <v>2022</v>
      </c>
      <c r="E1749">
        <f t="shared" si="325"/>
        <v>12</v>
      </c>
      <c r="F1749" t="str">
        <f t="shared" si="327"/>
        <v>December</v>
      </c>
      <c r="G1749">
        <f t="shared" si="326"/>
        <v>29</v>
      </c>
      <c r="H1749" s="7">
        <f t="shared" si="328"/>
        <v>-1.737199276280275</v>
      </c>
      <c r="I1749" s="9">
        <f t="shared" si="329"/>
        <v>-1.7524656461046364E-2</v>
      </c>
      <c r="J1749" s="9">
        <f t="shared" si="330"/>
        <v>58291.572857142855</v>
      </c>
      <c r="K1749" s="9">
        <f t="shared" si="321"/>
        <v>58095.996000000006</v>
      </c>
      <c r="L1749" s="9">
        <f t="shared" si="320"/>
        <v>56378.823222222221</v>
      </c>
      <c r="M1749" s="9">
        <f t="shared" si="331"/>
        <v>8.2017012761738568E-3</v>
      </c>
      <c r="N1749" s="9">
        <f t="shared" si="322"/>
        <v>6.6657098001695206E-3</v>
      </c>
    </row>
    <row r="1750" spans="1:14" x14ac:dyDescent="0.35">
      <c r="A1750" s="1">
        <v>44925</v>
      </c>
      <c r="B1750" s="2" t="s">
        <v>1749</v>
      </c>
      <c r="C1750">
        <f t="shared" si="323"/>
        <v>57073.38</v>
      </c>
      <c r="D1750">
        <f t="shared" si="324"/>
        <v>2022</v>
      </c>
      <c r="E1750">
        <f t="shared" si="325"/>
        <v>12</v>
      </c>
      <c r="F1750" t="str">
        <f t="shared" si="327"/>
        <v>December</v>
      </c>
      <c r="G1750">
        <f t="shared" si="326"/>
        <v>30</v>
      </c>
      <c r="H1750" s="7">
        <f t="shared" si="328"/>
        <v>-3.0040008386682443E-2</v>
      </c>
      <c r="I1750" s="9">
        <f t="shared" si="329"/>
        <v>-3.0044521301006633E-4</v>
      </c>
      <c r="J1750" s="9">
        <f t="shared" si="330"/>
        <v>58131.515714285713</v>
      </c>
      <c r="K1750" s="9">
        <f t="shared" si="321"/>
        <v>58069.35766666667</v>
      </c>
      <c r="L1750" s="9">
        <f t="shared" si="320"/>
        <v>56399.425111111101</v>
      </c>
      <c r="M1750" s="9">
        <f t="shared" si="331"/>
        <v>8.1157374641012935E-3</v>
      </c>
      <c r="N1750" s="9">
        <f t="shared" si="322"/>
        <v>6.5748383128239451E-3</v>
      </c>
    </row>
    <row r="1751" spans="1:14" x14ac:dyDescent="0.35">
      <c r="A1751" s="1">
        <v>44929</v>
      </c>
      <c r="B1751" s="2" t="s">
        <v>1750</v>
      </c>
      <c r="C1751">
        <f t="shared" si="323"/>
        <v>56500.38</v>
      </c>
      <c r="D1751">
        <f t="shared" si="324"/>
        <v>2023</v>
      </c>
      <c r="E1751">
        <f t="shared" si="325"/>
        <v>1</v>
      </c>
      <c r="F1751" t="str">
        <f t="shared" si="327"/>
        <v>January</v>
      </c>
      <c r="G1751">
        <f t="shared" si="326"/>
        <v>3</v>
      </c>
      <c r="H1751" s="7">
        <f t="shared" si="328"/>
        <v>-1.0039706777485407</v>
      </c>
      <c r="I1751" s="9">
        <f t="shared" si="329"/>
        <v>-1.0090444513888913E-2</v>
      </c>
      <c r="J1751" s="9">
        <f t="shared" si="330"/>
        <v>57817.622857142858</v>
      </c>
      <c r="K1751" s="9">
        <f t="shared" si="321"/>
        <v>58031.503333333327</v>
      </c>
      <c r="L1751" s="9">
        <f t="shared" si="320"/>
        <v>56410.129111111099</v>
      </c>
      <c r="M1751" s="9">
        <f t="shared" si="331"/>
        <v>6.6925450356234298E-3</v>
      </c>
      <c r="N1751" s="9">
        <f t="shared" si="322"/>
        <v>6.7770316310602763E-3</v>
      </c>
    </row>
    <row r="1752" spans="1:14" x14ac:dyDescent="0.35">
      <c r="A1752" s="1">
        <v>44930</v>
      </c>
      <c r="B1752" s="2" t="s">
        <v>1751</v>
      </c>
      <c r="C1752">
        <f t="shared" si="323"/>
        <v>56286.31</v>
      </c>
      <c r="D1752">
        <f t="shared" si="324"/>
        <v>2023</v>
      </c>
      <c r="E1752">
        <f t="shared" si="325"/>
        <v>1</v>
      </c>
      <c r="F1752" t="str">
        <f t="shared" si="327"/>
        <v>January</v>
      </c>
      <c r="G1752">
        <f t="shared" si="326"/>
        <v>4</v>
      </c>
      <c r="H1752" s="7">
        <f t="shared" si="328"/>
        <v>-0.37888240751655072</v>
      </c>
      <c r="I1752" s="9">
        <f t="shared" si="329"/>
        <v>-3.7960198505367047E-3</v>
      </c>
      <c r="J1752" s="9">
        <f t="shared" si="330"/>
        <v>57471.302857142859</v>
      </c>
      <c r="K1752" s="9">
        <f t="shared" si="321"/>
        <v>57972.623</v>
      </c>
      <c r="L1752" s="9">
        <f t="shared" si="320"/>
        <v>56423.623999999982</v>
      </c>
      <c r="M1752" s="9">
        <f t="shared" si="331"/>
        <v>6.2851714360007381E-3</v>
      </c>
      <c r="N1752" s="9">
        <f t="shared" si="322"/>
        <v>6.6327338720492367E-3</v>
      </c>
    </row>
    <row r="1753" spans="1:14" x14ac:dyDescent="0.35">
      <c r="A1753" s="1">
        <v>44931</v>
      </c>
      <c r="B1753" s="2" t="s">
        <v>1752</v>
      </c>
      <c r="C1753">
        <f t="shared" si="323"/>
        <v>55650.41</v>
      </c>
      <c r="D1753">
        <f t="shared" si="324"/>
        <v>2023</v>
      </c>
      <c r="E1753">
        <f t="shared" si="325"/>
        <v>1</v>
      </c>
      <c r="F1753" t="str">
        <f t="shared" si="327"/>
        <v>January</v>
      </c>
      <c r="G1753">
        <f t="shared" si="326"/>
        <v>5</v>
      </c>
      <c r="H1753" s="7">
        <f t="shared" si="328"/>
        <v>-1.1297596165035408</v>
      </c>
      <c r="I1753" s="9">
        <f t="shared" si="329"/>
        <v>-1.1361898773251944E-2</v>
      </c>
      <c r="J1753" s="9">
        <f t="shared" si="330"/>
        <v>57025.985714285714</v>
      </c>
      <c r="K1753" s="9">
        <f t="shared" si="321"/>
        <v>57909.728999999985</v>
      </c>
      <c r="L1753" s="9">
        <f t="shared" si="320"/>
        <v>56438.189999999988</v>
      </c>
      <c r="M1753" s="9">
        <f t="shared" si="331"/>
        <v>5.698555889987942E-3</v>
      </c>
      <c r="N1753" s="9">
        <f t="shared" si="322"/>
        <v>6.7469253201181854E-3</v>
      </c>
    </row>
    <row r="1754" spans="1:14" x14ac:dyDescent="0.35">
      <c r="A1754" s="1">
        <v>44932</v>
      </c>
      <c r="B1754" s="2" t="s">
        <v>1753</v>
      </c>
      <c r="C1754">
        <f t="shared" si="323"/>
        <v>55700.59</v>
      </c>
      <c r="D1754">
        <f t="shared" si="324"/>
        <v>2023</v>
      </c>
      <c r="E1754">
        <f t="shared" si="325"/>
        <v>1</v>
      </c>
      <c r="F1754" t="str">
        <f t="shared" si="327"/>
        <v>January</v>
      </c>
      <c r="G1754">
        <f t="shared" si="326"/>
        <v>6</v>
      </c>
      <c r="H1754" s="7">
        <f t="shared" si="328"/>
        <v>9.0170045467756685E-2</v>
      </c>
      <c r="I1754" s="9">
        <f t="shared" si="329"/>
        <v>9.0129416703747453E-4</v>
      </c>
      <c r="J1754" s="9">
        <f t="shared" si="330"/>
        <v>56628.777142857136</v>
      </c>
      <c r="K1754" s="9">
        <f t="shared" si="321"/>
        <v>57857.170333333321</v>
      </c>
      <c r="L1754" s="9">
        <f t="shared" si="320"/>
        <v>56451.166777777755</v>
      </c>
      <c r="M1754" s="9">
        <f t="shared" si="331"/>
        <v>6.546312658649728E-3</v>
      </c>
      <c r="N1754" s="9">
        <f t="shared" si="322"/>
        <v>6.7249202365441485E-3</v>
      </c>
    </row>
    <row r="1755" spans="1:14" x14ac:dyDescent="0.35">
      <c r="A1755" s="1">
        <v>44935</v>
      </c>
      <c r="B1755" s="2" t="s">
        <v>1754</v>
      </c>
      <c r="C1755">
        <f t="shared" si="323"/>
        <v>54997.34</v>
      </c>
      <c r="D1755">
        <f t="shared" si="324"/>
        <v>2023</v>
      </c>
      <c r="E1755">
        <f t="shared" si="325"/>
        <v>1</v>
      </c>
      <c r="F1755" t="str">
        <f t="shared" si="327"/>
        <v>January</v>
      </c>
      <c r="G1755">
        <f t="shared" si="326"/>
        <v>9</v>
      </c>
      <c r="H1755" s="7">
        <f t="shared" si="328"/>
        <v>-1.2625539514033874</v>
      </c>
      <c r="I1755" s="9">
        <f t="shared" si="329"/>
        <v>-1.2705918910194767E-2</v>
      </c>
      <c r="J1755" s="9">
        <f t="shared" si="330"/>
        <v>56185.562857142846</v>
      </c>
      <c r="K1755" s="9">
        <f t="shared" si="321"/>
        <v>57781.310333333327</v>
      </c>
      <c r="L1755" s="9">
        <f t="shared" si="320"/>
        <v>56454.306666666642</v>
      </c>
      <c r="M1755" s="9">
        <f t="shared" si="331"/>
        <v>6.8865435708193963E-3</v>
      </c>
      <c r="N1755" s="9">
        <f t="shared" si="322"/>
        <v>7.0567141072581455E-3</v>
      </c>
    </row>
    <row r="1756" spans="1:14" x14ac:dyDescent="0.35">
      <c r="A1756" s="1">
        <v>44936</v>
      </c>
      <c r="B1756" s="2" t="s">
        <v>1755</v>
      </c>
      <c r="C1756">
        <f t="shared" si="323"/>
        <v>54431.63</v>
      </c>
      <c r="D1756">
        <f t="shared" si="324"/>
        <v>2023</v>
      </c>
      <c r="E1756">
        <f t="shared" si="325"/>
        <v>1</v>
      </c>
      <c r="F1756" t="str">
        <f t="shared" si="327"/>
        <v>January</v>
      </c>
      <c r="G1756">
        <f t="shared" si="326"/>
        <v>10</v>
      </c>
      <c r="H1756" s="7">
        <f t="shared" si="328"/>
        <v>-1.02861338384729</v>
      </c>
      <c r="I1756" s="9">
        <f t="shared" si="329"/>
        <v>-1.0339401708275783E-2</v>
      </c>
      <c r="J1756" s="9">
        <f t="shared" si="330"/>
        <v>55805.720000000008</v>
      </c>
      <c r="K1756" s="9">
        <f t="shared" si="321"/>
        <v>57675.768999999993</v>
      </c>
      <c r="L1756" s="9">
        <f t="shared" ref="L1756:L1819" si="332">AVERAGE(C1667:C1756)</f>
        <v>56459.170666666636</v>
      </c>
      <c r="M1756" s="9">
        <f t="shared" si="331"/>
        <v>5.6217138248585725E-3</v>
      </c>
      <c r="N1756" s="9">
        <f t="shared" si="322"/>
        <v>7.1131221239966571E-3</v>
      </c>
    </row>
    <row r="1757" spans="1:14" x14ac:dyDescent="0.35">
      <c r="A1757" s="1">
        <v>44937</v>
      </c>
      <c r="B1757" s="2" t="s">
        <v>1756</v>
      </c>
      <c r="C1757">
        <f t="shared" si="323"/>
        <v>54488.15</v>
      </c>
      <c r="D1757">
        <f t="shared" si="324"/>
        <v>2023</v>
      </c>
      <c r="E1757">
        <f t="shared" si="325"/>
        <v>1</v>
      </c>
      <c r="F1757" t="str">
        <f t="shared" si="327"/>
        <v>January</v>
      </c>
      <c r="G1757">
        <f t="shared" si="326"/>
        <v>11</v>
      </c>
      <c r="H1757" s="7">
        <f t="shared" si="328"/>
        <v>0.10383668466295072</v>
      </c>
      <c r="I1757" s="9">
        <f t="shared" si="329"/>
        <v>1.0378281166761524E-3</v>
      </c>
      <c r="J1757" s="9">
        <f t="shared" si="330"/>
        <v>55436.401428571437</v>
      </c>
      <c r="K1757" s="9">
        <f t="shared" si="321"/>
        <v>57593.247333333326</v>
      </c>
      <c r="L1757" s="9">
        <f t="shared" si="332"/>
        <v>56467.624666666656</v>
      </c>
      <c r="M1757" s="9">
        <f t="shared" si="331"/>
        <v>5.896170765195068E-3</v>
      </c>
      <c r="N1757" s="9">
        <f t="shared" si="322"/>
        <v>6.9147276280701383E-3</v>
      </c>
    </row>
    <row r="1758" spans="1:14" x14ac:dyDescent="0.35">
      <c r="A1758" s="1">
        <v>44938</v>
      </c>
      <c r="B1758" s="2" t="s">
        <v>1757</v>
      </c>
      <c r="C1758">
        <f t="shared" si="323"/>
        <v>54423.56</v>
      </c>
      <c r="D1758">
        <f t="shared" si="324"/>
        <v>2023</v>
      </c>
      <c r="E1758">
        <f t="shared" si="325"/>
        <v>1</v>
      </c>
      <c r="F1758" t="str">
        <f t="shared" si="327"/>
        <v>January</v>
      </c>
      <c r="G1758">
        <f t="shared" si="326"/>
        <v>12</v>
      </c>
      <c r="H1758" s="7">
        <f t="shared" si="328"/>
        <v>-0.11853953566051294</v>
      </c>
      <c r="I1758" s="9">
        <f t="shared" si="329"/>
        <v>-1.1860984933991614E-3</v>
      </c>
      <c r="J1758" s="9">
        <f t="shared" si="330"/>
        <v>55139.712857142855</v>
      </c>
      <c r="K1758" s="9">
        <f t="shared" si="321"/>
        <v>57482.985999999997</v>
      </c>
      <c r="L1758" s="9">
        <f t="shared" si="332"/>
        <v>56472.288444444421</v>
      </c>
      <c r="M1758" s="9">
        <f t="shared" si="331"/>
        <v>5.9830671641689075E-3</v>
      </c>
      <c r="N1758" s="9">
        <f t="shared" si="322"/>
        <v>6.3207158232968363E-3</v>
      </c>
    </row>
    <row r="1759" spans="1:14" x14ac:dyDescent="0.35">
      <c r="A1759" s="1">
        <v>44939</v>
      </c>
      <c r="B1759" s="2" t="s">
        <v>1758</v>
      </c>
      <c r="C1759">
        <f t="shared" si="323"/>
        <v>54271.24</v>
      </c>
      <c r="D1759">
        <f t="shared" si="324"/>
        <v>2023</v>
      </c>
      <c r="E1759">
        <f t="shared" si="325"/>
        <v>1</v>
      </c>
      <c r="F1759" t="str">
        <f t="shared" si="327"/>
        <v>January</v>
      </c>
      <c r="G1759">
        <f t="shared" si="326"/>
        <v>13</v>
      </c>
      <c r="H1759" s="7">
        <f t="shared" si="328"/>
        <v>-0.27987878778969938</v>
      </c>
      <c r="I1759" s="9">
        <f t="shared" si="329"/>
        <v>-2.8027118078983782E-3</v>
      </c>
      <c r="J1759" s="9">
        <f t="shared" si="330"/>
        <v>54851.845714285715</v>
      </c>
      <c r="K1759" s="9">
        <f t="shared" si="321"/>
        <v>57372.366666666661</v>
      </c>
      <c r="L1759" s="9">
        <f t="shared" si="332"/>
        <v>56464.792333333316</v>
      </c>
      <c r="M1759" s="9">
        <f t="shared" si="331"/>
        <v>6.0375973224409728E-3</v>
      </c>
      <c r="N1759" s="9">
        <f t="shared" si="322"/>
        <v>6.3219595381947677E-3</v>
      </c>
    </row>
    <row r="1760" spans="1:14" x14ac:dyDescent="0.35">
      <c r="A1760" s="1">
        <v>44942</v>
      </c>
      <c r="B1760" s="2" t="s">
        <v>1759</v>
      </c>
      <c r="C1760">
        <f t="shared" si="323"/>
        <v>55231.05</v>
      </c>
      <c r="D1760">
        <f t="shared" si="324"/>
        <v>2023</v>
      </c>
      <c r="E1760">
        <f t="shared" si="325"/>
        <v>1</v>
      </c>
      <c r="F1760" t="str">
        <f t="shared" si="327"/>
        <v>January</v>
      </c>
      <c r="G1760">
        <f t="shared" si="326"/>
        <v>16</v>
      </c>
      <c r="H1760" s="7">
        <f t="shared" si="328"/>
        <v>1.7685426019379786</v>
      </c>
      <c r="I1760" s="9">
        <f t="shared" si="329"/>
        <v>1.7530858605574233E-2</v>
      </c>
      <c r="J1760" s="9">
        <f t="shared" si="330"/>
        <v>54791.937142857139</v>
      </c>
      <c r="K1760" s="9">
        <f t="shared" ref="K1760:K1823" si="333">AVERAGE(C1731:C1760)</f>
        <v>57285.75266666666</v>
      </c>
      <c r="L1760" s="9">
        <f t="shared" si="332"/>
        <v>56469.304333333319</v>
      </c>
      <c r="M1760" s="9">
        <f t="shared" si="331"/>
        <v>9.8204911744900585E-3</v>
      </c>
      <c r="N1760" s="9">
        <f t="shared" si="322"/>
        <v>7.182599882152866E-3</v>
      </c>
    </row>
    <row r="1761" spans="1:14" x14ac:dyDescent="0.35">
      <c r="A1761" s="1">
        <v>44943</v>
      </c>
      <c r="B1761" s="2" t="s">
        <v>1760</v>
      </c>
      <c r="C1761">
        <f t="shared" si="323"/>
        <v>55523.95</v>
      </c>
      <c r="D1761">
        <f t="shared" si="324"/>
        <v>2023</v>
      </c>
      <c r="E1761">
        <f t="shared" si="325"/>
        <v>1</v>
      </c>
      <c r="F1761" t="str">
        <f t="shared" si="327"/>
        <v>January</v>
      </c>
      <c r="G1761">
        <f t="shared" si="326"/>
        <v>17</v>
      </c>
      <c r="H1761" s="7">
        <f t="shared" si="328"/>
        <v>0.53031763835739887</v>
      </c>
      <c r="I1761" s="9">
        <f t="shared" si="329"/>
        <v>5.2891640617410123E-3</v>
      </c>
      <c r="J1761" s="9">
        <f t="shared" si="330"/>
        <v>54766.702857142853</v>
      </c>
      <c r="K1761" s="9">
        <f t="shared" si="333"/>
        <v>57202.811666666654</v>
      </c>
      <c r="L1761" s="9">
        <f t="shared" si="332"/>
        <v>56472.803444444427</v>
      </c>
      <c r="M1761" s="9">
        <f t="shared" si="331"/>
        <v>1.0104023311584708E-2</v>
      </c>
      <c r="N1761" s="9">
        <f t="shared" ref="N1761:N1824" si="334">STDEV(I1732:I1761)</f>
        <v>7.2409697601383393E-3</v>
      </c>
    </row>
    <row r="1762" spans="1:14" x14ac:dyDescent="0.35">
      <c r="A1762" s="1">
        <v>44944</v>
      </c>
      <c r="B1762" s="2" t="s">
        <v>1761</v>
      </c>
      <c r="C1762">
        <f t="shared" si="323"/>
        <v>55616.97</v>
      </c>
      <c r="D1762">
        <f t="shared" si="324"/>
        <v>2023</v>
      </c>
      <c r="E1762">
        <f t="shared" si="325"/>
        <v>1</v>
      </c>
      <c r="F1762" t="str">
        <f t="shared" si="327"/>
        <v>January</v>
      </c>
      <c r="G1762">
        <f t="shared" si="326"/>
        <v>18</v>
      </c>
      <c r="H1762" s="7">
        <f t="shared" si="328"/>
        <v>0.16753130856144796</v>
      </c>
      <c r="I1762" s="9">
        <f t="shared" si="329"/>
        <v>1.6739113140328051E-3</v>
      </c>
      <c r="J1762" s="9">
        <f t="shared" si="330"/>
        <v>54855.221428571436</v>
      </c>
      <c r="K1762" s="9">
        <f t="shared" si="333"/>
        <v>57120.294666666661</v>
      </c>
      <c r="L1762" s="9">
        <f t="shared" si="332"/>
        <v>56476.643333333319</v>
      </c>
      <c r="M1762" s="9">
        <f t="shared" si="331"/>
        <v>8.5383372202812689E-3</v>
      </c>
      <c r="N1762" s="9">
        <f t="shared" si="334"/>
        <v>7.2451005899727694E-3</v>
      </c>
    </row>
    <row r="1763" spans="1:14" x14ac:dyDescent="0.35">
      <c r="A1763" s="1">
        <v>44945</v>
      </c>
      <c r="B1763" s="2" t="s">
        <v>1762</v>
      </c>
      <c r="C1763">
        <f t="shared" si="323"/>
        <v>56183.21</v>
      </c>
      <c r="D1763">
        <f t="shared" si="324"/>
        <v>2023</v>
      </c>
      <c r="E1763">
        <f t="shared" si="325"/>
        <v>1</v>
      </c>
      <c r="F1763" t="str">
        <f t="shared" si="327"/>
        <v>January</v>
      </c>
      <c r="G1763">
        <f t="shared" si="326"/>
        <v>19</v>
      </c>
      <c r="H1763" s="7">
        <f t="shared" si="328"/>
        <v>1.0181065239620173</v>
      </c>
      <c r="I1763" s="9">
        <f t="shared" si="329"/>
        <v>1.0129587300246518E-2</v>
      </c>
      <c r="J1763" s="9">
        <f t="shared" si="330"/>
        <v>55105.447142857149</v>
      </c>
      <c r="K1763" s="9">
        <f t="shared" si="333"/>
        <v>57043.984333333334</v>
      </c>
      <c r="L1763" s="9">
        <f t="shared" si="332"/>
        <v>56491.158666666648</v>
      </c>
      <c r="M1763" s="9">
        <f t="shared" si="331"/>
        <v>7.1618059117142989E-3</v>
      </c>
      <c r="N1763" s="9">
        <f t="shared" si="334"/>
        <v>7.4101177786303927E-3</v>
      </c>
    </row>
    <row r="1764" spans="1:14" x14ac:dyDescent="0.35">
      <c r="A1764" s="1">
        <v>44946</v>
      </c>
      <c r="B1764" s="2" t="s">
        <v>1763</v>
      </c>
      <c r="C1764">
        <f t="shared" si="323"/>
        <v>56537.72</v>
      </c>
      <c r="D1764">
        <f t="shared" si="324"/>
        <v>2023</v>
      </c>
      <c r="E1764">
        <f t="shared" si="325"/>
        <v>1</v>
      </c>
      <c r="F1764" t="str">
        <f t="shared" si="327"/>
        <v>January</v>
      </c>
      <c r="G1764">
        <f t="shared" si="326"/>
        <v>20</v>
      </c>
      <c r="H1764" s="7">
        <f t="shared" si="328"/>
        <v>0.6309892225809135</v>
      </c>
      <c r="I1764" s="9">
        <f t="shared" si="329"/>
        <v>6.2900682037843924E-3</v>
      </c>
      <c r="J1764" s="9">
        <f t="shared" si="330"/>
        <v>55398.242857142868</v>
      </c>
      <c r="K1764" s="9">
        <f t="shared" si="333"/>
        <v>56988.447</v>
      </c>
      <c r="L1764" s="9">
        <f t="shared" si="332"/>
        <v>56501.324444444428</v>
      </c>
      <c r="M1764" s="9">
        <f t="shared" si="331"/>
        <v>7.0091215997991133E-3</v>
      </c>
      <c r="N1764" s="9">
        <f t="shared" si="334"/>
        <v>7.5104358072869198E-3</v>
      </c>
    </row>
    <row r="1765" spans="1:14" x14ac:dyDescent="0.35">
      <c r="A1765" s="1">
        <v>44949</v>
      </c>
      <c r="B1765" s="2" t="s">
        <v>1764</v>
      </c>
      <c r="C1765">
        <f t="shared" si="323"/>
        <v>56043.21</v>
      </c>
      <c r="D1765">
        <f t="shared" si="324"/>
        <v>2023</v>
      </c>
      <c r="E1765">
        <f t="shared" si="325"/>
        <v>1</v>
      </c>
      <c r="F1765" t="str">
        <f t="shared" si="327"/>
        <v>January</v>
      </c>
      <c r="G1765">
        <f t="shared" si="326"/>
        <v>23</v>
      </c>
      <c r="H1765" s="7">
        <f t="shared" si="328"/>
        <v>-0.87465500908066685</v>
      </c>
      <c r="I1765" s="9">
        <f t="shared" si="329"/>
        <v>-8.785025676771788E-3</v>
      </c>
      <c r="J1765" s="9">
        <f t="shared" si="330"/>
        <v>55629.62142857143</v>
      </c>
      <c r="K1765" s="9">
        <f t="shared" si="333"/>
        <v>56920.998999999996</v>
      </c>
      <c r="L1765" s="9">
        <f t="shared" si="332"/>
        <v>56497.283555555528</v>
      </c>
      <c r="M1765" s="9">
        <f t="shared" si="331"/>
        <v>8.5873517773255546E-3</v>
      </c>
      <c r="N1765" s="9">
        <f t="shared" si="334"/>
        <v>7.641952905908897E-3</v>
      </c>
    </row>
    <row r="1766" spans="1:14" x14ac:dyDescent="0.35">
      <c r="A1766" s="1">
        <v>44950</v>
      </c>
      <c r="B1766" s="2" t="s">
        <v>1765</v>
      </c>
      <c r="C1766">
        <f t="shared" si="323"/>
        <v>56234.28</v>
      </c>
      <c r="D1766">
        <f t="shared" si="324"/>
        <v>2023</v>
      </c>
      <c r="E1766">
        <f t="shared" si="325"/>
        <v>1</v>
      </c>
      <c r="F1766" t="str">
        <f t="shared" si="327"/>
        <v>January</v>
      </c>
      <c r="G1766">
        <f t="shared" si="326"/>
        <v>24</v>
      </c>
      <c r="H1766" s="7">
        <f t="shared" si="328"/>
        <v>0.34093336195410595</v>
      </c>
      <c r="I1766" s="9">
        <f t="shared" si="329"/>
        <v>3.4035350175179772E-3</v>
      </c>
      <c r="J1766" s="9">
        <f t="shared" si="330"/>
        <v>55910.055714285714</v>
      </c>
      <c r="K1766" s="9">
        <f t="shared" si="333"/>
        <v>56848.084333333332</v>
      </c>
      <c r="L1766" s="9">
        <f t="shared" si="332"/>
        <v>56498.510777777752</v>
      </c>
      <c r="M1766" s="9">
        <f t="shared" si="331"/>
        <v>8.048613000203448E-3</v>
      </c>
      <c r="N1766" s="9">
        <f t="shared" si="334"/>
        <v>7.5689813455667044E-3</v>
      </c>
    </row>
    <row r="1767" spans="1:14" x14ac:dyDescent="0.35">
      <c r="A1767" s="1">
        <v>44951</v>
      </c>
      <c r="B1767" s="2" t="s">
        <v>1766</v>
      </c>
      <c r="C1767">
        <f t="shared" si="323"/>
        <v>56373.68</v>
      </c>
      <c r="D1767">
        <f t="shared" si="324"/>
        <v>2023</v>
      </c>
      <c r="E1767">
        <f t="shared" si="325"/>
        <v>1</v>
      </c>
      <c r="F1767" t="str">
        <f t="shared" si="327"/>
        <v>January</v>
      </c>
      <c r="G1767">
        <f t="shared" si="326"/>
        <v>25</v>
      </c>
      <c r="H1767" s="7">
        <f t="shared" si="328"/>
        <v>0.24789149963332235</v>
      </c>
      <c r="I1767" s="9">
        <f t="shared" si="329"/>
        <v>2.475847554792349E-3</v>
      </c>
      <c r="J1767" s="9">
        <f t="shared" si="330"/>
        <v>56073.288571428566</v>
      </c>
      <c r="K1767" s="9">
        <f t="shared" si="333"/>
        <v>56782.43266666666</v>
      </c>
      <c r="L1767" s="9">
        <f t="shared" si="332"/>
        <v>56500.213777777746</v>
      </c>
      <c r="M1767" s="9">
        <f t="shared" si="331"/>
        <v>5.8869869373612506E-3</v>
      </c>
      <c r="N1767" s="9">
        <f t="shared" si="334"/>
        <v>7.5997954261496636E-3</v>
      </c>
    </row>
    <row r="1768" spans="1:14" x14ac:dyDescent="0.35">
      <c r="A1768" s="1">
        <v>44952</v>
      </c>
      <c r="B1768" s="2" t="s">
        <v>1767</v>
      </c>
      <c r="C1768">
        <f t="shared" si="323"/>
        <v>56780.75</v>
      </c>
      <c r="D1768">
        <f t="shared" si="324"/>
        <v>2023</v>
      </c>
      <c r="E1768">
        <f t="shared" si="325"/>
        <v>1</v>
      </c>
      <c r="F1768" t="str">
        <f t="shared" si="327"/>
        <v>January</v>
      </c>
      <c r="G1768">
        <f t="shared" si="326"/>
        <v>26</v>
      </c>
      <c r="H1768" s="7">
        <f t="shared" si="328"/>
        <v>0.72209229555352727</v>
      </c>
      <c r="I1768" s="9">
        <f t="shared" si="329"/>
        <v>7.1949769193844111E-3</v>
      </c>
      <c r="J1768" s="9">
        <f t="shared" si="330"/>
        <v>56252.83142857143</v>
      </c>
      <c r="K1768" s="9">
        <f t="shared" si="333"/>
        <v>56716.590666666656</v>
      </c>
      <c r="L1768" s="9">
        <f t="shared" si="332"/>
        <v>56498.941777777756</v>
      </c>
      <c r="M1768" s="9">
        <f t="shared" si="331"/>
        <v>6.056169180953681E-3</v>
      </c>
      <c r="N1768" s="9">
        <f t="shared" si="334"/>
        <v>7.605225743672517E-3</v>
      </c>
    </row>
    <row r="1769" spans="1:14" x14ac:dyDescent="0.35">
      <c r="A1769" s="1">
        <v>44953</v>
      </c>
      <c r="B1769" s="2" t="s">
        <v>1768</v>
      </c>
      <c r="C1769">
        <f t="shared" si="323"/>
        <v>56496.08</v>
      </c>
      <c r="D1769">
        <f t="shared" si="324"/>
        <v>2023</v>
      </c>
      <c r="E1769">
        <f t="shared" si="325"/>
        <v>1</v>
      </c>
      <c r="F1769" t="str">
        <f t="shared" si="327"/>
        <v>January</v>
      </c>
      <c r="G1769">
        <f t="shared" si="326"/>
        <v>27</v>
      </c>
      <c r="H1769" s="7">
        <f t="shared" si="328"/>
        <v>-0.50134948904337873</v>
      </c>
      <c r="I1769" s="9">
        <f t="shared" si="329"/>
        <v>-5.0261046194721402E-3</v>
      </c>
      <c r="J1769" s="9">
        <f t="shared" si="330"/>
        <v>56378.41857142857</v>
      </c>
      <c r="K1769" s="9">
        <f t="shared" si="333"/>
        <v>56635.077666666664</v>
      </c>
      <c r="L1769" s="9">
        <f t="shared" si="332"/>
        <v>56483.854888888876</v>
      </c>
      <c r="M1769" s="9">
        <f t="shared" si="331"/>
        <v>6.8185695057327092E-3</v>
      </c>
      <c r="N1769" s="9">
        <f t="shared" si="334"/>
        <v>7.5926516636921374E-3</v>
      </c>
    </row>
    <row r="1770" spans="1:14" x14ac:dyDescent="0.35">
      <c r="A1770" s="1">
        <v>44956</v>
      </c>
      <c r="B1770" s="2" t="s">
        <v>1769</v>
      </c>
      <c r="C1770">
        <f t="shared" si="323"/>
        <v>58043.6</v>
      </c>
      <c r="D1770">
        <f t="shared" si="324"/>
        <v>2023</v>
      </c>
      <c r="E1770">
        <f t="shared" si="325"/>
        <v>1</v>
      </c>
      <c r="F1770" t="str">
        <f t="shared" si="327"/>
        <v>January</v>
      </c>
      <c r="G1770">
        <f t="shared" si="326"/>
        <v>30</v>
      </c>
      <c r="H1770" s="7">
        <f t="shared" si="328"/>
        <v>2.7391634959451996</v>
      </c>
      <c r="I1770" s="9">
        <f t="shared" si="329"/>
        <v>2.7023197066796453E-2</v>
      </c>
      <c r="J1770" s="9">
        <f t="shared" si="330"/>
        <v>56644.188571428575</v>
      </c>
      <c r="K1770" s="9">
        <f t="shared" si="333"/>
        <v>56604.077000000005</v>
      </c>
      <c r="L1770" s="9">
        <f t="shared" si="332"/>
        <v>56494.075111111088</v>
      </c>
      <c r="M1770" s="9">
        <f t="shared" si="331"/>
        <v>1.1475583553015827E-2</v>
      </c>
      <c r="N1770" s="9">
        <f t="shared" si="334"/>
        <v>9.1974258532290382E-3</v>
      </c>
    </row>
    <row r="1771" spans="1:14" x14ac:dyDescent="0.35">
      <c r="A1771" s="1">
        <v>44957</v>
      </c>
      <c r="B1771" s="2" t="s">
        <v>1770</v>
      </c>
      <c r="C1771">
        <f t="shared" si="323"/>
        <v>58712.83</v>
      </c>
      <c r="D1771">
        <f t="shared" si="324"/>
        <v>2023</v>
      </c>
      <c r="E1771">
        <f t="shared" si="325"/>
        <v>1</v>
      </c>
      <c r="F1771" t="str">
        <f t="shared" si="327"/>
        <v>January</v>
      </c>
      <c r="G1771">
        <f t="shared" si="326"/>
        <v>31</v>
      </c>
      <c r="H1771" s="7">
        <f t="shared" si="328"/>
        <v>1.1529781061133411</v>
      </c>
      <c r="I1771" s="9">
        <f t="shared" si="329"/>
        <v>1.146381966493944E-2</v>
      </c>
      <c r="J1771" s="9">
        <f t="shared" si="330"/>
        <v>56954.91857142857</v>
      </c>
      <c r="K1771" s="9">
        <f t="shared" si="333"/>
        <v>56609.013999999996</v>
      </c>
      <c r="L1771" s="9">
        <f t="shared" si="332"/>
        <v>56515.52944444443</v>
      </c>
      <c r="M1771" s="9">
        <f t="shared" si="331"/>
        <v>1.1761585067195353E-2</v>
      </c>
      <c r="N1771" s="9">
        <f t="shared" si="334"/>
        <v>9.3668624621792446E-3</v>
      </c>
    </row>
    <row r="1772" spans="1:14" x14ac:dyDescent="0.35">
      <c r="A1772" s="1">
        <v>44958</v>
      </c>
      <c r="B1772" s="2" t="s">
        <v>1771</v>
      </c>
      <c r="C1772">
        <f t="shared" si="323"/>
        <v>59335.9</v>
      </c>
      <c r="D1772">
        <f t="shared" si="324"/>
        <v>2023</v>
      </c>
      <c r="E1772">
        <f t="shared" si="325"/>
        <v>2</v>
      </c>
      <c r="F1772" t="str">
        <f t="shared" si="327"/>
        <v>February</v>
      </c>
      <c r="G1772">
        <f t="shared" si="326"/>
        <v>1</v>
      </c>
      <c r="H1772" s="7">
        <f t="shared" si="328"/>
        <v>1.0612160919512816</v>
      </c>
      <c r="I1772" s="9">
        <f t="shared" si="329"/>
        <v>1.0556247169105828E-2</v>
      </c>
      <c r="J1772" s="9">
        <f t="shared" si="330"/>
        <v>57425.302857142859</v>
      </c>
      <c r="K1772" s="9">
        <f t="shared" si="333"/>
        <v>56632.57433333333</v>
      </c>
      <c r="L1772" s="9">
        <f t="shared" si="332"/>
        <v>56549.886333333321</v>
      </c>
      <c r="M1772" s="9">
        <f t="shared" si="331"/>
        <v>1.0018445365953005E-2</v>
      </c>
      <c r="N1772" s="9">
        <f t="shared" si="334"/>
        <v>9.5593584512958032E-3</v>
      </c>
    </row>
    <row r="1773" spans="1:14" x14ac:dyDescent="0.35">
      <c r="A1773" s="1">
        <v>44959</v>
      </c>
      <c r="B1773" s="2" t="s">
        <v>1772</v>
      </c>
      <c r="C1773">
        <f t="shared" si="323"/>
        <v>58743.56</v>
      </c>
      <c r="D1773">
        <f t="shared" si="324"/>
        <v>2023</v>
      </c>
      <c r="E1773">
        <f t="shared" si="325"/>
        <v>2</v>
      </c>
      <c r="F1773" t="str">
        <f t="shared" si="327"/>
        <v>February</v>
      </c>
      <c r="G1773">
        <f t="shared" si="326"/>
        <v>2</v>
      </c>
      <c r="H1773" s="7">
        <f t="shared" si="328"/>
        <v>-0.99828265855915854</v>
      </c>
      <c r="I1773" s="9">
        <f t="shared" si="329"/>
        <v>-1.0032989120716047E-2</v>
      </c>
      <c r="J1773" s="9">
        <f t="shared" si="330"/>
        <v>57783.771428571432</v>
      </c>
      <c r="K1773" s="9">
        <f t="shared" si="333"/>
        <v>56650.900333333331</v>
      </c>
      <c r="L1773" s="9">
        <f t="shared" si="332"/>
        <v>56587.75022222221</v>
      </c>
      <c r="M1773" s="9">
        <f t="shared" si="331"/>
        <v>1.2142731606994585E-2</v>
      </c>
      <c r="N1773" s="9">
        <f t="shared" si="334"/>
        <v>9.6436850565316656E-3</v>
      </c>
    </row>
    <row r="1774" spans="1:14" x14ac:dyDescent="0.35">
      <c r="A1774" s="1">
        <v>44960</v>
      </c>
      <c r="B1774" s="2" t="s">
        <v>1773</v>
      </c>
      <c r="C1774">
        <f t="shared" si="323"/>
        <v>58528.4</v>
      </c>
      <c r="D1774">
        <f t="shared" si="324"/>
        <v>2023</v>
      </c>
      <c r="E1774">
        <f t="shared" si="325"/>
        <v>2</v>
      </c>
      <c r="F1774" t="str">
        <f t="shared" si="327"/>
        <v>February</v>
      </c>
      <c r="G1774">
        <f t="shared" si="326"/>
        <v>3</v>
      </c>
      <c r="H1774" s="7">
        <f t="shared" si="328"/>
        <v>-0.36626993665347524</v>
      </c>
      <c r="I1774" s="9">
        <f t="shared" si="329"/>
        <v>-3.6694234738031111E-3</v>
      </c>
      <c r="J1774" s="9">
        <f t="shared" si="330"/>
        <v>58091.588571428576</v>
      </c>
      <c r="K1774" s="9">
        <f t="shared" si="333"/>
        <v>56645.259333333328</v>
      </c>
      <c r="L1774" s="9">
        <f t="shared" si="332"/>
        <v>56621.142777777764</v>
      </c>
      <c r="M1774" s="9">
        <f t="shared" si="331"/>
        <v>1.2670599847771741E-2</v>
      </c>
      <c r="N1774" s="9">
        <f t="shared" si="334"/>
        <v>9.5390915115729225E-3</v>
      </c>
    </row>
    <row r="1775" spans="1:14" x14ac:dyDescent="0.35">
      <c r="A1775" s="1">
        <v>44963</v>
      </c>
      <c r="B1775" s="2" t="s">
        <v>1774</v>
      </c>
      <c r="C1775">
        <f t="shared" si="323"/>
        <v>58662.68</v>
      </c>
      <c r="D1775">
        <f t="shared" si="324"/>
        <v>2023</v>
      </c>
      <c r="E1775">
        <f t="shared" si="325"/>
        <v>2</v>
      </c>
      <c r="F1775" t="str">
        <f t="shared" si="327"/>
        <v>February</v>
      </c>
      <c r="G1775">
        <f t="shared" si="326"/>
        <v>6</v>
      </c>
      <c r="H1775" s="7">
        <f t="shared" si="328"/>
        <v>0.22942708155356856</v>
      </c>
      <c r="I1775" s="9">
        <f t="shared" si="329"/>
        <v>2.2916429947691065E-3</v>
      </c>
      <c r="J1775" s="9">
        <f t="shared" si="330"/>
        <v>58360.435714285712</v>
      </c>
      <c r="K1775" s="9">
        <f t="shared" si="333"/>
        <v>56643.663666666667</v>
      </c>
      <c r="L1775" s="9">
        <f t="shared" si="332"/>
        <v>56655.271555555541</v>
      </c>
      <c r="M1775" s="9">
        <f t="shared" si="331"/>
        <v>1.2687679139021843E-2</v>
      </c>
      <c r="N1775" s="9">
        <f t="shared" si="334"/>
        <v>9.5489530442009526E-3</v>
      </c>
    </row>
    <row r="1776" spans="1:14" x14ac:dyDescent="0.35">
      <c r="A1776" s="1">
        <v>44964</v>
      </c>
      <c r="B1776" s="2" t="s">
        <v>1775</v>
      </c>
      <c r="C1776">
        <f t="shared" si="323"/>
        <v>58894.19</v>
      </c>
      <c r="D1776">
        <f t="shared" si="324"/>
        <v>2023</v>
      </c>
      <c r="E1776">
        <f t="shared" si="325"/>
        <v>2</v>
      </c>
      <c r="F1776" t="str">
        <f t="shared" si="327"/>
        <v>February</v>
      </c>
      <c r="G1776">
        <f t="shared" si="326"/>
        <v>7</v>
      </c>
      <c r="H1776" s="7">
        <f t="shared" si="328"/>
        <v>0.39464613618062117</v>
      </c>
      <c r="I1776" s="9">
        <f t="shared" si="329"/>
        <v>3.9386945108448356E-3</v>
      </c>
      <c r="J1776" s="9">
        <f t="shared" si="330"/>
        <v>58703.022857142852</v>
      </c>
      <c r="K1776" s="9">
        <f t="shared" si="333"/>
        <v>56647.882333333328</v>
      </c>
      <c r="L1776" s="9">
        <f t="shared" si="332"/>
        <v>56693.247444444431</v>
      </c>
      <c r="M1776" s="9">
        <f t="shared" si="331"/>
        <v>1.1979959950763263E-2</v>
      </c>
      <c r="N1776" s="9">
        <f t="shared" si="334"/>
        <v>9.5749845506620124E-3</v>
      </c>
    </row>
    <row r="1777" spans="1:14" x14ac:dyDescent="0.35">
      <c r="A1777" s="1">
        <v>44965</v>
      </c>
      <c r="B1777" s="2" t="s">
        <v>1776</v>
      </c>
      <c r="C1777">
        <f t="shared" si="323"/>
        <v>58807.07</v>
      </c>
      <c r="D1777">
        <f t="shared" si="324"/>
        <v>2023</v>
      </c>
      <c r="E1777">
        <f t="shared" si="325"/>
        <v>2</v>
      </c>
      <c r="F1777" t="str">
        <f t="shared" si="327"/>
        <v>February</v>
      </c>
      <c r="G1777">
        <f t="shared" si="326"/>
        <v>8</v>
      </c>
      <c r="H1777" s="7">
        <f t="shared" si="328"/>
        <v>-0.14792630648286803</v>
      </c>
      <c r="I1777" s="9">
        <f t="shared" si="329"/>
        <v>-1.480358254618638E-3</v>
      </c>
      <c r="J1777" s="9">
        <f t="shared" si="330"/>
        <v>58812.090000000004</v>
      </c>
      <c r="K1777" s="9">
        <f t="shared" si="333"/>
        <v>56658.749666666656</v>
      </c>
      <c r="L1777" s="9">
        <f t="shared" si="332"/>
        <v>56736.579666666657</v>
      </c>
      <c r="M1777" s="9">
        <f t="shared" si="331"/>
        <v>7.6978431702099835E-3</v>
      </c>
      <c r="N1777" s="9">
        <f t="shared" si="334"/>
        <v>9.5342366556605863E-3</v>
      </c>
    </row>
    <row r="1778" spans="1:14" x14ac:dyDescent="0.35">
      <c r="A1778" s="1">
        <v>44966</v>
      </c>
      <c r="B1778" s="2" t="s">
        <v>1777</v>
      </c>
      <c r="C1778">
        <f t="shared" si="323"/>
        <v>59102.68</v>
      </c>
      <c r="D1778">
        <f t="shared" si="324"/>
        <v>2023</v>
      </c>
      <c r="E1778">
        <f t="shared" si="325"/>
        <v>2</v>
      </c>
      <c r="F1778" t="str">
        <f t="shared" si="327"/>
        <v>February</v>
      </c>
      <c r="G1778">
        <f t="shared" si="326"/>
        <v>9</v>
      </c>
      <c r="H1778" s="7">
        <f t="shared" si="328"/>
        <v>0.50267765423443234</v>
      </c>
      <c r="I1778" s="9">
        <f t="shared" si="329"/>
        <v>5.0141844818277987E-3</v>
      </c>
      <c r="J1778" s="9">
        <f t="shared" si="330"/>
        <v>58867.782857142854</v>
      </c>
      <c r="K1778" s="9">
        <f t="shared" si="333"/>
        <v>56692.177666666663</v>
      </c>
      <c r="L1778" s="9">
        <f t="shared" si="332"/>
        <v>56785.030888888883</v>
      </c>
      <c r="M1778" s="9">
        <f t="shared" si="331"/>
        <v>6.6758457539294108E-3</v>
      </c>
      <c r="N1778" s="9">
        <f t="shared" si="334"/>
        <v>9.4864488246221863E-3</v>
      </c>
    </row>
    <row r="1779" spans="1:14" x14ac:dyDescent="0.35">
      <c r="A1779" s="1">
        <v>44967</v>
      </c>
      <c r="B1779" s="2" t="s">
        <v>1778</v>
      </c>
      <c r="C1779">
        <f t="shared" si="323"/>
        <v>59544.800000000003</v>
      </c>
      <c r="D1779">
        <f t="shared" si="324"/>
        <v>2023</v>
      </c>
      <c r="E1779">
        <f t="shared" si="325"/>
        <v>2</v>
      </c>
      <c r="F1779" t="str">
        <f t="shared" si="327"/>
        <v>February</v>
      </c>
      <c r="G1779">
        <f t="shared" si="326"/>
        <v>10</v>
      </c>
      <c r="H1779" s="7">
        <f t="shared" si="328"/>
        <v>0.74805406455342227</v>
      </c>
      <c r="I1779" s="9">
        <f t="shared" si="329"/>
        <v>7.4527001564261E-3</v>
      </c>
      <c r="J1779" s="9">
        <f t="shared" si="330"/>
        <v>58897.625714285707</v>
      </c>
      <c r="K1779" s="9">
        <f t="shared" si="333"/>
        <v>56773.986666666671</v>
      </c>
      <c r="L1779" s="9">
        <f t="shared" si="332"/>
        <v>56837.915555555548</v>
      </c>
      <c r="M1779" s="9">
        <f t="shared" si="331"/>
        <v>6.0000312008098066E-3</v>
      </c>
      <c r="N1779" s="9">
        <f t="shared" si="334"/>
        <v>8.9228991313857788E-3</v>
      </c>
    </row>
    <row r="1780" spans="1:14" x14ac:dyDescent="0.35">
      <c r="A1780" s="1">
        <v>44970</v>
      </c>
      <c r="B1780" s="2" t="s">
        <v>1779</v>
      </c>
      <c r="C1780">
        <f t="shared" si="323"/>
        <v>59222.47</v>
      </c>
      <c r="D1780">
        <f t="shared" si="324"/>
        <v>2023</v>
      </c>
      <c r="E1780">
        <f t="shared" si="325"/>
        <v>2</v>
      </c>
      <c r="F1780" t="str">
        <f t="shared" si="327"/>
        <v>February</v>
      </c>
      <c r="G1780">
        <f t="shared" si="326"/>
        <v>13</v>
      </c>
      <c r="H1780" s="7">
        <f t="shared" si="328"/>
        <v>-0.54132350767825521</v>
      </c>
      <c r="I1780" s="9">
        <f t="shared" si="329"/>
        <v>-5.4279397242643409E-3</v>
      </c>
      <c r="J1780" s="9">
        <f t="shared" si="330"/>
        <v>58966.041428571436</v>
      </c>
      <c r="K1780" s="9">
        <f t="shared" si="333"/>
        <v>56845.623</v>
      </c>
      <c r="L1780" s="9">
        <f t="shared" si="332"/>
        <v>56881.947777777779</v>
      </c>
      <c r="M1780" s="9">
        <f t="shared" si="331"/>
        <v>4.781044950423744E-3</v>
      </c>
      <c r="N1780" s="9">
        <f t="shared" si="334"/>
        <v>9.0053808091279594E-3</v>
      </c>
    </row>
    <row r="1781" spans="1:14" x14ac:dyDescent="0.35">
      <c r="A1781" s="1">
        <v>44971</v>
      </c>
      <c r="B1781" s="2" t="s">
        <v>1780</v>
      </c>
      <c r="C1781">
        <f t="shared" si="323"/>
        <v>58908.31</v>
      </c>
      <c r="D1781">
        <f t="shared" si="324"/>
        <v>2023</v>
      </c>
      <c r="E1781">
        <f t="shared" si="325"/>
        <v>2</v>
      </c>
      <c r="F1781" t="str">
        <f t="shared" si="327"/>
        <v>February</v>
      </c>
      <c r="G1781">
        <f t="shared" si="326"/>
        <v>14</v>
      </c>
      <c r="H1781" s="7">
        <f t="shared" si="328"/>
        <v>-0.53047432840947617</v>
      </c>
      <c r="I1781" s="9">
        <f t="shared" si="329"/>
        <v>-5.3188633925876846E-3</v>
      </c>
      <c r="J1781" s="9">
        <f t="shared" si="330"/>
        <v>59020.314285714288</v>
      </c>
      <c r="K1781" s="9">
        <f t="shared" si="333"/>
        <v>56925.887333333332</v>
      </c>
      <c r="L1781" s="9">
        <f t="shared" si="332"/>
        <v>56931.912666666656</v>
      </c>
      <c r="M1781" s="9">
        <f t="shared" si="331"/>
        <v>5.0894299744966591E-3</v>
      </c>
      <c r="N1781" s="9">
        <f t="shared" si="334"/>
        <v>8.8391092652488693E-3</v>
      </c>
    </row>
    <row r="1782" spans="1:14" x14ac:dyDescent="0.35">
      <c r="A1782" s="1">
        <v>44972</v>
      </c>
      <c r="B1782" s="2" t="s">
        <v>1781</v>
      </c>
      <c r="C1782">
        <f t="shared" si="323"/>
        <v>58902.64</v>
      </c>
      <c r="D1782">
        <f t="shared" si="324"/>
        <v>2023</v>
      </c>
      <c r="E1782">
        <f t="shared" si="325"/>
        <v>2</v>
      </c>
      <c r="F1782" t="str">
        <f t="shared" si="327"/>
        <v>February</v>
      </c>
      <c r="G1782">
        <f t="shared" si="326"/>
        <v>15</v>
      </c>
      <c r="H1782" s="7">
        <f t="shared" si="328"/>
        <v>-9.6251275923520032E-3</v>
      </c>
      <c r="I1782" s="9">
        <f t="shared" si="329"/>
        <v>-9.6255908374811655E-5</v>
      </c>
      <c r="J1782" s="9">
        <f t="shared" si="330"/>
        <v>59054.59428571428</v>
      </c>
      <c r="K1782" s="9">
        <f t="shared" si="333"/>
        <v>57013.098333333321</v>
      </c>
      <c r="L1782" s="9">
        <f t="shared" si="332"/>
        <v>56983.546222222205</v>
      </c>
      <c r="M1782" s="9">
        <f t="shared" si="331"/>
        <v>5.0624612814639302E-3</v>
      </c>
      <c r="N1782" s="9">
        <f t="shared" si="334"/>
        <v>8.7899139315528903E-3</v>
      </c>
    </row>
    <row r="1783" spans="1:14" x14ac:dyDescent="0.35">
      <c r="A1783" s="1">
        <v>44973</v>
      </c>
      <c r="B1783" s="2" t="s">
        <v>1782</v>
      </c>
      <c r="C1783">
        <f t="shared" si="323"/>
        <v>58249.35</v>
      </c>
      <c r="D1783">
        <f t="shared" si="324"/>
        <v>2023</v>
      </c>
      <c r="E1783">
        <f t="shared" si="325"/>
        <v>2</v>
      </c>
      <c r="F1783" t="str">
        <f t="shared" si="327"/>
        <v>February</v>
      </c>
      <c r="G1783">
        <f t="shared" si="326"/>
        <v>16</v>
      </c>
      <c r="H1783" s="7">
        <f t="shared" si="328"/>
        <v>-1.1091013917203045</v>
      </c>
      <c r="I1783" s="9">
        <f t="shared" si="329"/>
        <v>-1.1152977799559099E-2</v>
      </c>
      <c r="J1783" s="9">
        <f t="shared" si="330"/>
        <v>58962.474285714277</v>
      </c>
      <c r="K1783" s="9">
        <f t="shared" si="333"/>
        <v>57099.729666666659</v>
      </c>
      <c r="L1783" s="9">
        <f t="shared" si="332"/>
        <v>57031.919555555534</v>
      </c>
      <c r="M1783" s="9">
        <f t="shared" si="331"/>
        <v>6.4253617988042234E-3</v>
      </c>
      <c r="N1783" s="9">
        <f t="shared" si="334"/>
        <v>8.7794370260282847E-3</v>
      </c>
    </row>
    <row r="1784" spans="1:14" x14ac:dyDescent="0.35">
      <c r="A1784" s="1">
        <v>44974</v>
      </c>
      <c r="B1784" s="2" t="s">
        <v>1783</v>
      </c>
      <c r="C1784">
        <f t="shared" si="323"/>
        <v>58405.3</v>
      </c>
      <c r="D1784">
        <f t="shared" si="324"/>
        <v>2023</v>
      </c>
      <c r="E1784">
        <f t="shared" si="325"/>
        <v>2</v>
      </c>
      <c r="F1784" t="str">
        <f t="shared" si="327"/>
        <v>February</v>
      </c>
      <c r="G1784">
        <f t="shared" si="326"/>
        <v>17</v>
      </c>
      <c r="H1784" s="7">
        <f t="shared" si="328"/>
        <v>0.267728309414619</v>
      </c>
      <c r="I1784" s="9">
        <f t="shared" si="329"/>
        <v>2.6737055557292198E-3</v>
      </c>
      <c r="J1784" s="9">
        <f t="shared" si="330"/>
        <v>58905.078571428567</v>
      </c>
      <c r="K1784" s="9">
        <f t="shared" si="333"/>
        <v>57189.886666666665</v>
      </c>
      <c r="L1784" s="9">
        <f t="shared" si="332"/>
        <v>57082.957444444415</v>
      </c>
      <c r="M1784" s="9">
        <f t="shared" si="331"/>
        <v>6.6240801262828167E-3</v>
      </c>
      <c r="N1784" s="9">
        <f t="shared" si="334"/>
        <v>8.7810833252128032E-3</v>
      </c>
    </row>
    <row r="1785" spans="1:14" x14ac:dyDescent="0.35">
      <c r="A1785" s="1">
        <v>44977</v>
      </c>
      <c r="B1785" s="2" t="s">
        <v>1784</v>
      </c>
      <c r="C1785">
        <f t="shared" si="323"/>
        <v>58186.19</v>
      </c>
      <c r="D1785">
        <f t="shared" si="324"/>
        <v>2023</v>
      </c>
      <c r="E1785">
        <f t="shared" si="325"/>
        <v>2</v>
      </c>
      <c r="F1785" t="str">
        <f t="shared" si="327"/>
        <v>February</v>
      </c>
      <c r="G1785">
        <f t="shared" si="326"/>
        <v>20</v>
      </c>
      <c r="H1785" s="7">
        <f t="shared" si="328"/>
        <v>-0.37515430962601098</v>
      </c>
      <c r="I1785" s="9">
        <f t="shared" si="329"/>
        <v>-3.7585977835643929E-3</v>
      </c>
      <c r="J1785" s="9">
        <f t="shared" si="330"/>
        <v>58774.151428571429</v>
      </c>
      <c r="K1785" s="9">
        <f t="shared" si="333"/>
        <v>57296.181666666664</v>
      </c>
      <c r="L1785" s="9">
        <f t="shared" si="332"/>
        <v>57129.51711111109</v>
      </c>
      <c r="M1785" s="9">
        <f t="shared" si="331"/>
        <v>6.1111628245387722E-3</v>
      </c>
      <c r="N1785" s="9">
        <f t="shared" si="334"/>
        <v>8.4237973346652003E-3</v>
      </c>
    </row>
    <row r="1786" spans="1:14" x14ac:dyDescent="0.35">
      <c r="A1786" s="1">
        <v>44978</v>
      </c>
      <c r="B1786" s="2" t="s">
        <v>1785</v>
      </c>
      <c r="C1786">
        <f t="shared" si="323"/>
        <v>58411.65</v>
      </c>
      <c r="D1786">
        <f t="shared" si="324"/>
        <v>2023</v>
      </c>
      <c r="E1786">
        <f t="shared" si="325"/>
        <v>2</v>
      </c>
      <c r="F1786" t="str">
        <f t="shared" si="327"/>
        <v>February</v>
      </c>
      <c r="G1786">
        <f t="shared" si="326"/>
        <v>21</v>
      </c>
      <c r="H1786" s="7">
        <f t="shared" si="328"/>
        <v>0.38748025949112513</v>
      </c>
      <c r="I1786" s="9">
        <f t="shared" si="329"/>
        <v>3.8673148833732376E-3</v>
      </c>
      <c r="J1786" s="9">
        <f t="shared" si="330"/>
        <v>58612.27285714286</v>
      </c>
      <c r="K1786" s="9">
        <f t="shared" si="333"/>
        <v>57428.849000000002</v>
      </c>
      <c r="L1786" s="9">
        <f t="shared" si="332"/>
        <v>57176.447333333323</v>
      </c>
      <c r="M1786" s="9">
        <f t="shared" si="331"/>
        <v>5.2542892395577197E-3</v>
      </c>
      <c r="N1786" s="9">
        <f t="shared" si="334"/>
        <v>8.1066028167853278E-3</v>
      </c>
    </row>
    <row r="1787" spans="1:14" x14ac:dyDescent="0.35">
      <c r="A1787" s="1">
        <v>44979</v>
      </c>
      <c r="B1787" s="2" t="s">
        <v>1786</v>
      </c>
      <c r="C1787">
        <f t="shared" si="323"/>
        <v>57838.37</v>
      </c>
      <c r="D1787">
        <f t="shared" si="324"/>
        <v>2023</v>
      </c>
      <c r="E1787">
        <f t="shared" si="325"/>
        <v>2</v>
      </c>
      <c r="F1787" t="str">
        <f t="shared" si="327"/>
        <v>February</v>
      </c>
      <c r="G1787">
        <f t="shared" si="326"/>
        <v>22</v>
      </c>
      <c r="H1787" s="7">
        <f t="shared" si="328"/>
        <v>-0.98144805017492032</v>
      </c>
      <c r="I1787" s="9">
        <f t="shared" si="329"/>
        <v>-9.8629599768809053E-3</v>
      </c>
      <c r="J1787" s="9">
        <f t="shared" si="330"/>
        <v>58414.544285714284</v>
      </c>
      <c r="K1787" s="9">
        <f t="shared" si="333"/>
        <v>57540.523000000008</v>
      </c>
      <c r="L1787" s="9">
        <f t="shared" si="332"/>
        <v>57212.006666666653</v>
      </c>
      <c r="M1787" s="9">
        <f t="shared" si="331"/>
        <v>5.8637923202602936E-3</v>
      </c>
      <c r="N1787" s="9">
        <f t="shared" si="334"/>
        <v>8.4063149146736144E-3</v>
      </c>
    </row>
    <row r="1788" spans="1:14" x14ac:dyDescent="0.35">
      <c r="A1788" s="1">
        <v>44980</v>
      </c>
      <c r="B1788" s="2" t="s">
        <v>1787</v>
      </c>
      <c r="C1788">
        <f t="shared" si="323"/>
        <v>57985.78</v>
      </c>
      <c r="D1788">
        <f t="shared" si="324"/>
        <v>2023</v>
      </c>
      <c r="E1788">
        <f t="shared" si="325"/>
        <v>2</v>
      </c>
      <c r="F1788" t="str">
        <f t="shared" si="327"/>
        <v>February</v>
      </c>
      <c r="G1788">
        <f t="shared" si="326"/>
        <v>23</v>
      </c>
      <c r="H1788" s="7">
        <f t="shared" si="328"/>
        <v>0.25486541200935681</v>
      </c>
      <c r="I1788" s="9">
        <f t="shared" si="329"/>
        <v>2.5454118090328737E-3</v>
      </c>
      <c r="J1788" s="9">
        <f t="shared" si="330"/>
        <v>58282.754285714291</v>
      </c>
      <c r="K1788" s="9">
        <f t="shared" si="333"/>
        <v>57659.263666666673</v>
      </c>
      <c r="L1788" s="9">
        <f t="shared" si="332"/>
        <v>57253.1731111111</v>
      </c>
      <c r="M1788" s="9">
        <f t="shared" si="331"/>
        <v>6.1751501701447116E-3</v>
      </c>
      <c r="N1788" s="9">
        <f t="shared" si="334"/>
        <v>8.3852954200765925E-3</v>
      </c>
    </row>
    <row r="1789" spans="1:14" x14ac:dyDescent="0.35">
      <c r="A1789" s="1">
        <v>44981</v>
      </c>
      <c r="B1789" s="2" t="s">
        <v>1788</v>
      </c>
      <c r="C1789">
        <f t="shared" si="323"/>
        <v>57776.36</v>
      </c>
      <c r="D1789">
        <f t="shared" si="324"/>
        <v>2023</v>
      </c>
      <c r="E1789">
        <f t="shared" si="325"/>
        <v>2</v>
      </c>
      <c r="F1789" t="str">
        <f t="shared" si="327"/>
        <v>February</v>
      </c>
      <c r="G1789">
        <f t="shared" si="326"/>
        <v>24</v>
      </c>
      <c r="H1789" s="7">
        <f t="shared" si="328"/>
        <v>-0.36115751137606195</v>
      </c>
      <c r="I1789" s="9">
        <f t="shared" si="329"/>
        <v>-3.6181125963144628E-3</v>
      </c>
      <c r="J1789" s="9">
        <f t="shared" si="330"/>
        <v>58121.857142857145</v>
      </c>
      <c r="K1789" s="9">
        <f t="shared" si="333"/>
        <v>57776.10100000001</v>
      </c>
      <c r="L1789" s="9">
        <f t="shared" si="332"/>
        <v>57290.840333333319</v>
      </c>
      <c r="M1789" s="9">
        <f t="shared" si="331"/>
        <v>6.1131210998487907E-3</v>
      </c>
      <c r="N1789" s="9">
        <f t="shared" si="334"/>
        <v>8.4030824497032062E-3</v>
      </c>
    </row>
    <row r="1790" spans="1:14" x14ac:dyDescent="0.35">
      <c r="A1790" s="1">
        <v>44984</v>
      </c>
      <c r="B1790" s="2" t="s">
        <v>1789</v>
      </c>
      <c r="C1790">
        <f t="shared" si="323"/>
        <v>57711.02</v>
      </c>
      <c r="D1790">
        <f t="shared" si="324"/>
        <v>2023</v>
      </c>
      <c r="E1790">
        <f t="shared" si="325"/>
        <v>2</v>
      </c>
      <c r="F1790" t="str">
        <f t="shared" si="327"/>
        <v>February</v>
      </c>
      <c r="G1790">
        <f t="shared" si="326"/>
        <v>27</v>
      </c>
      <c r="H1790" s="7">
        <f t="shared" si="328"/>
        <v>-0.11309123662342831</v>
      </c>
      <c r="I1790" s="9">
        <f t="shared" si="329"/>
        <v>-1.1315523301652702E-3</v>
      </c>
      <c r="J1790" s="9">
        <f t="shared" si="330"/>
        <v>58044.95285714286</v>
      </c>
      <c r="K1790" s="9">
        <f t="shared" si="333"/>
        <v>57858.766666666677</v>
      </c>
      <c r="L1790" s="9">
        <f t="shared" si="332"/>
        <v>57333.468111111099</v>
      </c>
      <c r="M1790" s="9">
        <f t="shared" si="331"/>
        <v>4.8656071900484788E-3</v>
      </c>
      <c r="N1790" s="9">
        <f t="shared" si="334"/>
        <v>7.8957606570791601E-3</v>
      </c>
    </row>
    <row r="1791" spans="1:14" x14ac:dyDescent="0.35">
      <c r="A1791" s="1">
        <v>44985</v>
      </c>
      <c r="B1791" s="2" t="s">
        <v>1790</v>
      </c>
      <c r="C1791">
        <f t="shared" si="323"/>
        <v>57926.01</v>
      </c>
      <c r="D1791">
        <f t="shared" si="324"/>
        <v>2023</v>
      </c>
      <c r="E1791">
        <f t="shared" si="325"/>
        <v>2</v>
      </c>
      <c r="F1791" t="str">
        <f t="shared" si="327"/>
        <v>February</v>
      </c>
      <c r="G1791">
        <f t="shared" si="326"/>
        <v>28</v>
      </c>
      <c r="H1791" s="7">
        <f t="shared" si="328"/>
        <v>0.37252850495452211</v>
      </c>
      <c r="I1791" s="9">
        <f t="shared" si="329"/>
        <v>3.7183633600467521E-3</v>
      </c>
      <c r="J1791" s="9">
        <f t="shared" si="330"/>
        <v>57976.482857142859</v>
      </c>
      <c r="K1791" s="9">
        <f t="shared" si="333"/>
        <v>57938.835333333343</v>
      </c>
      <c r="L1791" s="9">
        <f t="shared" si="332"/>
        <v>57378.857888888881</v>
      </c>
      <c r="M1791" s="9">
        <f t="shared" si="331"/>
        <v>5.0222453245026208E-3</v>
      </c>
      <c r="N1791" s="9">
        <f t="shared" si="334"/>
        <v>7.8747006060314977E-3</v>
      </c>
    </row>
    <row r="1792" spans="1:14" x14ac:dyDescent="0.35">
      <c r="A1792" s="1">
        <v>44986</v>
      </c>
      <c r="B1792" s="2" t="s">
        <v>1791</v>
      </c>
      <c r="C1792">
        <f t="shared" si="323"/>
        <v>57158</v>
      </c>
      <c r="D1792">
        <f t="shared" si="324"/>
        <v>2023</v>
      </c>
      <c r="E1792">
        <f t="shared" si="325"/>
        <v>3</v>
      </c>
      <c r="F1792" t="str">
        <f t="shared" si="327"/>
        <v>March</v>
      </c>
      <c r="G1792">
        <f t="shared" si="326"/>
        <v>1</v>
      </c>
      <c r="H1792" s="7">
        <f t="shared" si="328"/>
        <v>-1.3258465411306632</v>
      </c>
      <c r="I1792" s="9">
        <f t="shared" si="329"/>
        <v>-1.3347143560152985E-2</v>
      </c>
      <c r="J1792" s="9">
        <f t="shared" si="330"/>
        <v>57829.598571428571</v>
      </c>
      <c r="K1792" s="9">
        <f t="shared" si="333"/>
        <v>57990.203000000009</v>
      </c>
      <c r="L1792" s="9">
        <f t="shared" si="332"/>
        <v>57413.619777777763</v>
      </c>
      <c r="M1792" s="9">
        <f t="shared" si="331"/>
        <v>6.827005408397647E-3</v>
      </c>
      <c r="N1792" s="9">
        <f t="shared" si="334"/>
        <v>8.3222822362799456E-3</v>
      </c>
    </row>
    <row r="1793" spans="1:14" x14ac:dyDescent="0.35">
      <c r="A1793" s="1">
        <v>44987</v>
      </c>
      <c r="B1793" s="2" t="s">
        <v>1792</v>
      </c>
      <c r="C1793">
        <f t="shared" si="323"/>
        <v>57109.64</v>
      </c>
      <c r="D1793">
        <f t="shared" si="324"/>
        <v>2023</v>
      </c>
      <c r="E1793">
        <f t="shared" si="325"/>
        <v>3</v>
      </c>
      <c r="F1793" t="str">
        <f t="shared" si="327"/>
        <v>March</v>
      </c>
      <c r="G1793">
        <f t="shared" si="326"/>
        <v>2</v>
      </c>
      <c r="H1793" s="7">
        <f t="shared" si="328"/>
        <v>-8.4607578991568247E-2</v>
      </c>
      <c r="I1793" s="9">
        <f t="shared" si="329"/>
        <v>-8.464339140511868E-4</v>
      </c>
      <c r="J1793" s="9">
        <f t="shared" si="330"/>
        <v>57643.597142857143</v>
      </c>
      <c r="K1793" s="9">
        <f t="shared" si="333"/>
        <v>58021.08400000001</v>
      </c>
      <c r="L1793" s="9">
        <f t="shared" si="332"/>
        <v>57434.927222222192</v>
      </c>
      <c r="M1793" s="9">
        <f t="shared" si="331"/>
        <v>6.3010942940875114E-3</v>
      </c>
      <c r="N1793" s="9">
        <f t="shared" si="334"/>
        <v>8.1423589043256289E-3</v>
      </c>
    </row>
    <row r="1794" spans="1:14" x14ac:dyDescent="0.35">
      <c r="A1794" s="1">
        <v>44988</v>
      </c>
      <c r="B1794" s="2" t="s">
        <v>1793</v>
      </c>
      <c r="C1794">
        <f t="shared" si="323"/>
        <v>56462.55</v>
      </c>
      <c r="D1794">
        <f t="shared" si="324"/>
        <v>2023</v>
      </c>
      <c r="E1794">
        <f t="shared" si="325"/>
        <v>3</v>
      </c>
      <c r="F1794" t="str">
        <f t="shared" si="327"/>
        <v>March</v>
      </c>
      <c r="G1794">
        <f t="shared" si="326"/>
        <v>3</v>
      </c>
      <c r="H1794" s="7">
        <f t="shared" si="328"/>
        <v>-1.1330661513537759</v>
      </c>
      <c r="I1794" s="9">
        <f t="shared" si="329"/>
        <v>-1.1395342508486676E-2</v>
      </c>
      <c r="J1794" s="9">
        <f t="shared" si="330"/>
        <v>57447.051428571438</v>
      </c>
      <c r="K1794" s="9">
        <f t="shared" si="333"/>
        <v>58018.578333333346</v>
      </c>
      <c r="L1794" s="9">
        <f t="shared" si="332"/>
        <v>57447.049666666629</v>
      </c>
      <c r="M1794" s="9">
        <f t="shared" si="331"/>
        <v>6.5903151720548905E-3</v>
      </c>
      <c r="N1794" s="9">
        <f t="shared" si="334"/>
        <v>8.3496609208422567E-3</v>
      </c>
    </row>
    <row r="1795" spans="1:14" x14ac:dyDescent="0.35">
      <c r="A1795" s="1">
        <v>44991</v>
      </c>
      <c r="B1795" s="2" t="s">
        <v>1794</v>
      </c>
      <c r="C1795">
        <f t="shared" ref="C1795:C1858" si="335">_xlfn.NUMBERVALUE(B1795,".",",")</f>
        <v>56059.5</v>
      </c>
      <c r="D1795">
        <f t="shared" ref="D1795:D1858" si="336">YEAR(A1795)</f>
        <v>2023</v>
      </c>
      <c r="E1795">
        <f t="shared" ref="E1795:E1858" si="337">MONTH(A1795)</f>
        <v>3</v>
      </c>
      <c r="F1795" t="str">
        <f t="shared" si="327"/>
        <v>March</v>
      </c>
      <c r="G1795">
        <f t="shared" ref="G1795:G1858" si="338">DAY(A1795)</f>
        <v>6</v>
      </c>
      <c r="H1795" s="7">
        <f t="shared" si="328"/>
        <v>-0.71383598509100787</v>
      </c>
      <c r="I1795" s="9">
        <f t="shared" si="329"/>
        <v>-7.1639598423059395E-3</v>
      </c>
      <c r="J1795" s="9">
        <f t="shared" si="330"/>
        <v>57171.868571428575</v>
      </c>
      <c r="K1795" s="9">
        <f t="shared" si="333"/>
        <v>58019.121333333336</v>
      </c>
      <c r="L1795" s="9">
        <f t="shared" si="332"/>
        <v>57452.874777777753</v>
      </c>
      <c r="M1795" s="9">
        <f t="shared" si="331"/>
        <v>6.1262173094696528E-3</v>
      </c>
      <c r="N1795" s="9">
        <f t="shared" si="334"/>
        <v>8.2962187453111524E-3</v>
      </c>
    </row>
    <row r="1796" spans="1:14" x14ac:dyDescent="0.35">
      <c r="A1796" s="1">
        <v>44992</v>
      </c>
      <c r="B1796" s="2" t="s">
        <v>1795</v>
      </c>
      <c r="C1796">
        <f t="shared" si="335"/>
        <v>56149.3</v>
      </c>
      <c r="D1796">
        <f t="shared" si="336"/>
        <v>2023</v>
      </c>
      <c r="E1796">
        <f t="shared" si="337"/>
        <v>3</v>
      </c>
      <c r="F1796" t="str">
        <f t="shared" ref="F1796:F1859" si="339">TEXT(A1796,"mmmm")</f>
        <v>March</v>
      </c>
      <c r="G1796">
        <f t="shared" si="338"/>
        <v>7</v>
      </c>
      <c r="H1796" s="7">
        <f t="shared" ref="H1796:H1859" si="340">((C1796-C1795)/C1795)*100</f>
        <v>0.16018694422890484</v>
      </c>
      <c r="I1796" s="9">
        <f t="shared" ref="I1796:I1859" si="341">LN(C1796/C1795)</f>
        <v>1.6005878179146825E-3</v>
      </c>
      <c r="J1796" s="9">
        <f t="shared" si="330"/>
        <v>56939.431428571421</v>
      </c>
      <c r="K1796" s="9">
        <f t="shared" si="333"/>
        <v>58016.288666666675</v>
      </c>
      <c r="L1796" s="9">
        <f t="shared" si="332"/>
        <v>57463.141222222199</v>
      </c>
      <c r="M1796" s="9">
        <f t="shared" si="331"/>
        <v>6.5971942539314642E-3</v>
      </c>
      <c r="N1796" s="9">
        <f t="shared" si="334"/>
        <v>8.2772945098653836E-3</v>
      </c>
    </row>
    <row r="1797" spans="1:14" x14ac:dyDescent="0.35">
      <c r="A1797" s="1">
        <v>44993</v>
      </c>
      <c r="B1797" s="2" t="s">
        <v>1796</v>
      </c>
      <c r="C1797">
        <f t="shared" si="335"/>
        <v>55638.43</v>
      </c>
      <c r="D1797">
        <f t="shared" si="336"/>
        <v>2023</v>
      </c>
      <c r="E1797">
        <f t="shared" si="337"/>
        <v>3</v>
      </c>
      <c r="F1797" t="str">
        <f t="shared" si="339"/>
        <v>March</v>
      </c>
      <c r="G1797">
        <f t="shared" si="338"/>
        <v>8</v>
      </c>
      <c r="H1797" s="7">
        <f t="shared" si="340"/>
        <v>-0.90984215297430715</v>
      </c>
      <c r="I1797" s="9">
        <f t="shared" si="341"/>
        <v>-9.1400649523023375E-3</v>
      </c>
      <c r="J1797" s="9">
        <f t="shared" si="330"/>
        <v>56643.347142857143</v>
      </c>
      <c r="K1797" s="9">
        <f t="shared" si="333"/>
        <v>57991.780333333336</v>
      </c>
      <c r="L1797" s="9">
        <f t="shared" si="332"/>
        <v>57469.545888888868</v>
      </c>
      <c r="M1797" s="9">
        <f t="shared" si="331"/>
        <v>6.6941999722248966E-3</v>
      </c>
      <c r="N1797" s="9">
        <f t="shared" si="334"/>
        <v>8.4254063935695536E-3</v>
      </c>
    </row>
    <row r="1798" spans="1:14" x14ac:dyDescent="0.35">
      <c r="A1798" s="1">
        <v>44994</v>
      </c>
      <c r="B1798" s="2" t="s">
        <v>1797</v>
      </c>
      <c r="C1798">
        <f t="shared" si="335"/>
        <v>55367.11</v>
      </c>
      <c r="D1798">
        <f t="shared" si="336"/>
        <v>2023</v>
      </c>
      <c r="E1798">
        <f t="shared" si="337"/>
        <v>3</v>
      </c>
      <c r="F1798" t="str">
        <f t="shared" si="339"/>
        <v>March</v>
      </c>
      <c r="G1798">
        <f t="shared" si="338"/>
        <v>9</v>
      </c>
      <c r="H1798" s="7">
        <f t="shared" si="340"/>
        <v>-0.48764855514434846</v>
      </c>
      <c r="I1798" s="9">
        <f t="shared" si="341"/>
        <v>-4.8884144034938484E-3</v>
      </c>
      <c r="J1798" s="9">
        <f t="shared" si="330"/>
        <v>56277.789999999994</v>
      </c>
      <c r="K1798" s="9">
        <f t="shared" si="333"/>
        <v>57944.659000000007</v>
      </c>
      <c r="L1798" s="9">
        <f t="shared" si="332"/>
        <v>57473.898444444429</v>
      </c>
      <c r="M1798" s="9">
        <f t="shared" si="331"/>
        <v>5.4531874672875645E-3</v>
      </c>
      <c r="N1798" s="9">
        <f t="shared" si="334"/>
        <v>8.3363001376777074E-3</v>
      </c>
    </row>
    <row r="1799" spans="1:14" x14ac:dyDescent="0.35">
      <c r="A1799" s="1">
        <v>44995</v>
      </c>
      <c r="B1799" s="2" t="s">
        <v>1798</v>
      </c>
      <c r="C1799">
        <f t="shared" si="335"/>
        <v>56107.48</v>
      </c>
      <c r="D1799">
        <f t="shared" si="336"/>
        <v>2023</v>
      </c>
      <c r="E1799">
        <f t="shared" si="337"/>
        <v>3</v>
      </c>
      <c r="F1799" t="str">
        <f t="shared" si="339"/>
        <v>March</v>
      </c>
      <c r="G1799">
        <f t="shared" si="338"/>
        <v>10</v>
      </c>
      <c r="H1799" s="7">
        <f t="shared" si="340"/>
        <v>1.3372018153015439</v>
      </c>
      <c r="I1799" s="9">
        <f t="shared" si="341"/>
        <v>1.3283401830239841E-2</v>
      </c>
      <c r="J1799" s="9">
        <f t="shared" si="330"/>
        <v>56127.71571428571</v>
      </c>
      <c r="K1799" s="9">
        <f t="shared" si="333"/>
        <v>57931.705666666669</v>
      </c>
      <c r="L1799" s="9">
        <f t="shared" si="332"/>
        <v>57472.049111111111</v>
      </c>
      <c r="M1799" s="9">
        <f t="shared" si="331"/>
        <v>8.3584481462006602E-3</v>
      </c>
      <c r="N1799" s="9">
        <f t="shared" si="334"/>
        <v>8.6823437475332874E-3</v>
      </c>
    </row>
    <row r="1800" spans="1:14" x14ac:dyDescent="0.35">
      <c r="A1800" s="1">
        <v>44998</v>
      </c>
      <c r="B1800" s="2" t="s">
        <v>1799</v>
      </c>
      <c r="C1800">
        <f t="shared" si="335"/>
        <v>56145.67</v>
      </c>
      <c r="D1800">
        <f t="shared" si="336"/>
        <v>2023</v>
      </c>
      <c r="E1800">
        <f t="shared" si="337"/>
        <v>3</v>
      </c>
      <c r="F1800" t="str">
        <f t="shared" si="339"/>
        <v>March</v>
      </c>
      <c r="G1800">
        <f t="shared" si="338"/>
        <v>13</v>
      </c>
      <c r="H1800" s="7">
        <f t="shared" si="340"/>
        <v>6.8065790871368756E-2</v>
      </c>
      <c r="I1800" s="9">
        <f t="shared" si="341"/>
        <v>6.8042636618094367E-4</v>
      </c>
      <c r="J1800" s="9">
        <f t="shared" si="330"/>
        <v>55990.005714285711</v>
      </c>
      <c r="K1800" s="9">
        <f t="shared" si="333"/>
        <v>57868.441333333336</v>
      </c>
      <c r="L1800" s="9">
        <f t="shared" si="332"/>
        <v>57460.072000000007</v>
      </c>
      <c r="M1800" s="9">
        <f t="shared" si="331"/>
        <v>8.4329500277399872E-3</v>
      </c>
      <c r="N1800" s="9">
        <f t="shared" si="334"/>
        <v>7.0001643225497383E-3</v>
      </c>
    </row>
    <row r="1801" spans="1:14" x14ac:dyDescent="0.35">
      <c r="A1801" s="1">
        <v>44999</v>
      </c>
      <c r="B1801" s="2" t="s">
        <v>1800</v>
      </c>
      <c r="C1801">
        <f t="shared" si="335"/>
        <v>56849.67</v>
      </c>
      <c r="D1801">
        <f t="shared" si="336"/>
        <v>2023</v>
      </c>
      <c r="E1801">
        <f t="shared" si="337"/>
        <v>3</v>
      </c>
      <c r="F1801" t="str">
        <f t="shared" si="339"/>
        <v>March</v>
      </c>
      <c r="G1801">
        <f t="shared" si="338"/>
        <v>14</v>
      </c>
      <c r="H1801" s="7">
        <f t="shared" si="340"/>
        <v>1.2538811986748044</v>
      </c>
      <c r="I1801" s="9">
        <f t="shared" si="341"/>
        <v>1.2460852090290915E-2</v>
      </c>
      <c r="J1801" s="9">
        <f t="shared" ref="J1801:J1864" si="342">AVERAGE(C1795:C1801)</f>
        <v>56045.30857142857</v>
      </c>
      <c r="K1801" s="9">
        <f t="shared" si="333"/>
        <v>57806.336000000003</v>
      </c>
      <c r="L1801" s="9">
        <f t="shared" si="332"/>
        <v>57460.7948888889</v>
      </c>
      <c r="M1801" s="9">
        <f t="shared" si="331"/>
        <v>9.0077421663575137E-3</v>
      </c>
      <c r="N1801" s="9">
        <f t="shared" si="334"/>
        <v>7.0639858882984357E-3</v>
      </c>
    </row>
    <row r="1802" spans="1:14" x14ac:dyDescent="0.35">
      <c r="A1802" s="1">
        <v>45000</v>
      </c>
      <c r="B1802" s="2" t="s">
        <v>1801</v>
      </c>
      <c r="C1802">
        <f t="shared" si="335"/>
        <v>56769.86</v>
      </c>
      <c r="D1802">
        <f t="shared" si="336"/>
        <v>2023</v>
      </c>
      <c r="E1802">
        <f t="shared" si="337"/>
        <v>3</v>
      </c>
      <c r="F1802" t="str">
        <f t="shared" si="339"/>
        <v>March</v>
      </c>
      <c r="G1802">
        <f t="shared" si="338"/>
        <v>15</v>
      </c>
      <c r="H1802" s="7">
        <f t="shared" si="340"/>
        <v>-0.1403877982053329</v>
      </c>
      <c r="I1802" s="9">
        <f t="shared" si="341"/>
        <v>-1.4048643420083351E-3</v>
      </c>
      <c r="J1802" s="9">
        <f t="shared" si="342"/>
        <v>56146.788571428573</v>
      </c>
      <c r="K1802" s="9">
        <f t="shared" si="333"/>
        <v>57720.801333333329</v>
      </c>
      <c r="L1802" s="9">
        <f t="shared" si="332"/>
        <v>57455.553888888899</v>
      </c>
      <c r="M1802" s="9">
        <f t="shared" ref="M1802:M1865" si="343">STDEV(I1796:I1802)</f>
        <v>8.3815924277887994E-3</v>
      </c>
      <c r="N1802" s="9">
        <f t="shared" si="334"/>
        <v>6.7137344345145657E-3</v>
      </c>
    </row>
    <row r="1803" spans="1:14" x14ac:dyDescent="0.35">
      <c r="A1803" s="1">
        <v>45001</v>
      </c>
      <c r="B1803" s="2" t="s">
        <v>1802</v>
      </c>
      <c r="C1803">
        <f t="shared" si="335"/>
        <v>56040.21</v>
      </c>
      <c r="D1803">
        <f t="shared" si="336"/>
        <v>2023</v>
      </c>
      <c r="E1803">
        <f t="shared" si="337"/>
        <v>3</v>
      </c>
      <c r="F1803" t="str">
        <f t="shared" si="339"/>
        <v>March</v>
      </c>
      <c r="G1803">
        <f t="shared" si="338"/>
        <v>16</v>
      </c>
      <c r="H1803" s="7">
        <f t="shared" si="340"/>
        <v>-1.2852770818881734</v>
      </c>
      <c r="I1803" s="9">
        <f t="shared" si="341"/>
        <v>-1.2936082303223136E-2</v>
      </c>
      <c r="J1803" s="9">
        <f t="shared" si="342"/>
        <v>56131.204285714288</v>
      </c>
      <c r="K1803" s="9">
        <f t="shared" si="333"/>
        <v>57630.689666666665</v>
      </c>
      <c r="L1803" s="9">
        <f t="shared" si="332"/>
        <v>57433.392111111119</v>
      </c>
      <c r="M1803" s="9">
        <f t="shared" si="343"/>
        <v>1.0069736342836181E-2</v>
      </c>
      <c r="N1803" s="9">
        <f t="shared" si="334"/>
        <v>6.8606748212152206E-3</v>
      </c>
    </row>
    <row r="1804" spans="1:14" x14ac:dyDescent="0.35">
      <c r="A1804" s="1">
        <v>45002</v>
      </c>
      <c r="B1804" s="2" t="s">
        <v>1803</v>
      </c>
      <c r="C1804">
        <f t="shared" si="335"/>
        <v>55789.45</v>
      </c>
      <c r="D1804">
        <f t="shared" si="336"/>
        <v>2023</v>
      </c>
      <c r="E1804">
        <f t="shared" si="337"/>
        <v>3</v>
      </c>
      <c r="F1804" t="str">
        <f t="shared" si="339"/>
        <v>March</v>
      </c>
      <c r="G1804">
        <f t="shared" si="338"/>
        <v>17</v>
      </c>
      <c r="H1804" s="7">
        <f t="shared" si="340"/>
        <v>-0.44746441885211002</v>
      </c>
      <c r="I1804" s="9">
        <f t="shared" si="341"/>
        <v>-4.484685373845154E-3</v>
      </c>
      <c r="J1804" s="9">
        <f t="shared" si="342"/>
        <v>56152.778571428571</v>
      </c>
      <c r="K1804" s="9">
        <f t="shared" si="333"/>
        <v>57539.391333333333</v>
      </c>
      <c r="L1804" s="9">
        <f t="shared" si="332"/>
        <v>57413.602222222224</v>
      </c>
      <c r="M1804" s="9">
        <f t="shared" si="343"/>
        <v>9.5259277632609319E-3</v>
      </c>
      <c r="N1804" s="9">
        <f t="shared" si="334"/>
        <v>6.8708828734905933E-3</v>
      </c>
    </row>
    <row r="1805" spans="1:14" x14ac:dyDescent="0.35">
      <c r="A1805" s="1">
        <v>45005</v>
      </c>
      <c r="B1805" s="2" t="s">
        <v>1804</v>
      </c>
      <c r="C1805">
        <f t="shared" si="335"/>
        <v>55829.1</v>
      </c>
      <c r="D1805">
        <f t="shared" si="336"/>
        <v>2023</v>
      </c>
      <c r="E1805">
        <f t="shared" si="337"/>
        <v>3</v>
      </c>
      <c r="F1805" t="str">
        <f t="shared" si="339"/>
        <v>March</v>
      </c>
      <c r="G1805">
        <f t="shared" si="338"/>
        <v>20</v>
      </c>
      <c r="H1805" s="7">
        <f t="shared" si="340"/>
        <v>7.1070784888543376E-2</v>
      </c>
      <c r="I1805" s="9">
        <f t="shared" si="341"/>
        <v>7.1045541565936329E-4</v>
      </c>
      <c r="J1805" s="9">
        <f t="shared" si="342"/>
        <v>56218.777142857143</v>
      </c>
      <c r="K1805" s="9">
        <f t="shared" si="333"/>
        <v>57444.938666666669</v>
      </c>
      <c r="L1805" s="9">
        <f t="shared" si="332"/>
        <v>57393.226777777782</v>
      </c>
      <c r="M1805" s="9">
        <f t="shared" si="343"/>
        <v>9.2398919477301149E-3</v>
      </c>
      <c r="N1805" s="9">
        <f t="shared" si="334"/>
        <v>6.84603976633677E-3</v>
      </c>
    </row>
    <row r="1806" spans="1:14" x14ac:dyDescent="0.35">
      <c r="A1806" s="1">
        <v>45007</v>
      </c>
      <c r="B1806" s="2" t="s">
        <v>1805</v>
      </c>
      <c r="C1806">
        <f t="shared" si="335"/>
        <v>55699.8</v>
      </c>
      <c r="D1806">
        <f t="shared" si="336"/>
        <v>2023</v>
      </c>
      <c r="E1806">
        <f t="shared" si="337"/>
        <v>3</v>
      </c>
      <c r="F1806" t="str">
        <f t="shared" si="339"/>
        <v>March</v>
      </c>
      <c r="G1806">
        <f t="shared" si="338"/>
        <v>22</v>
      </c>
      <c r="H1806" s="7">
        <f t="shared" si="340"/>
        <v>-0.23159964964506977</v>
      </c>
      <c r="I1806" s="9">
        <f t="shared" si="341"/>
        <v>-2.3186825644205171E-3</v>
      </c>
      <c r="J1806" s="9">
        <f t="shared" si="342"/>
        <v>56160.537142857138</v>
      </c>
      <c r="K1806" s="9">
        <f t="shared" si="333"/>
        <v>57338.459000000003</v>
      </c>
      <c r="L1806" s="9">
        <f t="shared" si="332"/>
        <v>57370.801222222217</v>
      </c>
      <c r="M1806" s="9">
        <f t="shared" si="343"/>
        <v>7.5657972941325881E-3</v>
      </c>
      <c r="N1806" s="9">
        <f t="shared" si="334"/>
        <v>6.7647271647392751E-3</v>
      </c>
    </row>
    <row r="1807" spans="1:14" x14ac:dyDescent="0.35">
      <c r="A1807" s="1">
        <v>45008</v>
      </c>
      <c r="B1807" s="2" t="s">
        <v>1806</v>
      </c>
      <c r="C1807">
        <f t="shared" si="335"/>
        <v>55580.65</v>
      </c>
      <c r="D1807">
        <f t="shared" si="336"/>
        <v>2023</v>
      </c>
      <c r="E1807">
        <f t="shared" si="337"/>
        <v>3</v>
      </c>
      <c r="F1807" t="str">
        <f t="shared" si="339"/>
        <v>March</v>
      </c>
      <c r="G1807">
        <f t="shared" si="338"/>
        <v>23</v>
      </c>
      <c r="H1807" s="7">
        <f t="shared" si="340"/>
        <v>-0.21391459215293673</v>
      </c>
      <c r="I1807" s="9">
        <f t="shared" si="341"/>
        <v>-2.1414371622815649E-3</v>
      </c>
      <c r="J1807" s="9">
        <f t="shared" si="342"/>
        <v>56079.82</v>
      </c>
      <c r="K1807" s="9">
        <f t="shared" si="333"/>
        <v>57230.911666666667</v>
      </c>
      <c r="L1807" s="9">
        <f t="shared" si="332"/>
        <v>57340.479666666666</v>
      </c>
      <c r="M1807" s="9">
        <f t="shared" si="343"/>
        <v>7.533849468107888E-3</v>
      </c>
      <c r="N1807" s="9">
        <f t="shared" si="334"/>
        <v>6.7645283998277418E-3</v>
      </c>
    </row>
    <row r="1808" spans="1:14" x14ac:dyDescent="0.35">
      <c r="A1808" s="1">
        <v>45009</v>
      </c>
      <c r="B1808" s="2" t="s">
        <v>1807</v>
      </c>
      <c r="C1808">
        <f t="shared" si="335"/>
        <v>55488.79</v>
      </c>
      <c r="D1808">
        <f t="shared" si="336"/>
        <v>2023</v>
      </c>
      <c r="E1808">
        <f t="shared" si="337"/>
        <v>3</v>
      </c>
      <c r="F1808" t="str">
        <f t="shared" si="339"/>
        <v>March</v>
      </c>
      <c r="G1808">
        <f t="shared" si="338"/>
        <v>24</v>
      </c>
      <c r="H1808" s="7">
        <f t="shared" si="340"/>
        <v>-0.16527334602959948</v>
      </c>
      <c r="I1808" s="9">
        <f t="shared" si="341"/>
        <v>-1.6541007309383937E-3</v>
      </c>
      <c r="J1808" s="9">
        <f t="shared" si="342"/>
        <v>55885.408571428576</v>
      </c>
      <c r="K1808" s="9">
        <f t="shared" si="333"/>
        <v>57110.448666666671</v>
      </c>
      <c r="L1808" s="9">
        <f t="shared" si="332"/>
        <v>57312.409666666666</v>
      </c>
      <c r="M1808" s="9">
        <f t="shared" si="343"/>
        <v>4.4490611346736974E-3</v>
      </c>
      <c r="N1808" s="9">
        <f t="shared" si="334"/>
        <v>6.6385331561160709E-3</v>
      </c>
    </row>
    <row r="1809" spans="1:14" x14ac:dyDescent="0.35">
      <c r="A1809" s="1">
        <v>45012</v>
      </c>
      <c r="B1809" s="2" t="s">
        <v>1808</v>
      </c>
      <c r="C1809">
        <f t="shared" si="335"/>
        <v>55857.89</v>
      </c>
      <c r="D1809">
        <f t="shared" si="336"/>
        <v>2023</v>
      </c>
      <c r="E1809">
        <f t="shared" si="337"/>
        <v>3</v>
      </c>
      <c r="F1809" t="str">
        <f t="shared" si="339"/>
        <v>March</v>
      </c>
      <c r="G1809">
        <f t="shared" si="338"/>
        <v>27</v>
      </c>
      <c r="H1809" s="7">
        <f t="shared" si="340"/>
        <v>0.66517939929848635</v>
      </c>
      <c r="I1809" s="9">
        <f t="shared" si="341"/>
        <v>6.6297684303752245E-3</v>
      </c>
      <c r="J1809" s="9">
        <f t="shared" si="342"/>
        <v>55755.127142857142</v>
      </c>
      <c r="K1809" s="9">
        <f t="shared" si="333"/>
        <v>56987.551666666666</v>
      </c>
      <c r="L1809" s="9">
        <f t="shared" si="332"/>
        <v>57285.844777777769</v>
      </c>
      <c r="M1809" s="9">
        <f t="shared" si="343"/>
        <v>5.8757141006455333E-3</v>
      </c>
      <c r="N1809" s="9">
        <f t="shared" si="334"/>
        <v>6.5992698876277201E-3</v>
      </c>
    </row>
    <row r="1810" spans="1:14" x14ac:dyDescent="0.35">
      <c r="A1810" s="1">
        <v>45013</v>
      </c>
      <c r="B1810" s="2" t="s">
        <v>1809</v>
      </c>
      <c r="C1810">
        <f t="shared" si="335"/>
        <v>56073.86</v>
      </c>
      <c r="D1810">
        <f t="shared" si="336"/>
        <v>2023</v>
      </c>
      <c r="E1810">
        <f t="shared" si="337"/>
        <v>3</v>
      </c>
      <c r="F1810" t="str">
        <f t="shared" si="339"/>
        <v>March</v>
      </c>
      <c r="G1810">
        <f t="shared" si="338"/>
        <v>28</v>
      </c>
      <c r="H1810" s="7">
        <f t="shared" si="340"/>
        <v>0.38664188711747111</v>
      </c>
      <c r="I1810" s="9">
        <f t="shared" si="341"/>
        <v>3.8589634846501507E-3</v>
      </c>
      <c r="J1810" s="9">
        <f t="shared" si="342"/>
        <v>55759.934285714284</v>
      </c>
      <c r="K1810" s="9">
        <f t="shared" si="333"/>
        <v>56882.598000000005</v>
      </c>
      <c r="L1810" s="9">
        <f t="shared" si="332"/>
        <v>57265.859555555558</v>
      </c>
      <c r="M1810" s="9">
        <f t="shared" si="343"/>
        <v>3.9181031286233464E-3</v>
      </c>
      <c r="N1810" s="9">
        <f t="shared" si="334"/>
        <v>6.6568299846544807E-3</v>
      </c>
    </row>
    <row r="1811" spans="1:14" x14ac:dyDescent="0.35">
      <c r="A1811" s="1">
        <v>45014</v>
      </c>
      <c r="B1811" s="2" t="s">
        <v>1810</v>
      </c>
      <c r="C1811">
        <f t="shared" si="335"/>
        <v>55815.43</v>
      </c>
      <c r="D1811">
        <f t="shared" si="336"/>
        <v>2023</v>
      </c>
      <c r="E1811">
        <f t="shared" si="337"/>
        <v>3</v>
      </c>
      <c r="F1811" t="str">
        <f t="shared" si="339"/>
        <v>March</v>
      </c>
      <c r="G1811">
        <f t="shared" si="338"/>
        <v>29</v>
      </c>
      <c r="H1811" s="7">
        <f t="shared" si="340"/>
        <v>-0.46087428259798824</v>
      </c>
      <c r="I1811" s="9">
        <f t="shared" si="341"/>
        <v>-4.6193958250885488E-3</v>
      </c>
      <c r="J1811" s="9">
        <f t="shared" si="342"/>
        <v>55763.645714285711</v>
      </c>
      <c r="K1811" s="9">
        <f t="shared" si="333"/>
        <v>56779.502</v>
      </c>
      <c r="L1811" s="9">
        <f t="shared" si="332"/>
        <v>57245.630888888889</v>
      </c>
      <c r="M1811" s="9">
        <f t="shared" si="343"/>
        <v>3.9445346004585548E-3</v>
      </c>
      <c r="N1811" s="9">
        <f t="shared" si="334"/>
        <v>6.6453714770834896E-3</v>
      </c>
    </row>
    <row r="1812" spans="1:14" x14ac:dyDescent="0.35">
      <c r="A1812" s="1">
        <v>45015</v>
      </c>
      <c r="B1812" s="2" t="s">
        <v>1811</v>
      </c>
      <c r="C1812">
        <f t="shared" si="335"/>
        <v>56217.13</v>
      </c>
      <c r="D1812">
        <f t="shared" si="336"/>
        <v>2023</v>
      </c>
      <c r="E1812">
        <f t="shared" si="337"/>
        <v>3</v>
      </c>
      <c r="F1812" t="str">
        <f t="shared" si="339"/>
        <v>March</v>
      </c>
      <c r="G1812">
        <f t="shared" si="338"/>
        <v>30</v>
      </c>
      <c r="H1812" s="7">
        <f t="shared" si="340"/>
        <v>0.71969346110922572</v>
      </c>
      <c r="I1812" s="9">
        <f t="shared" si="341"/>
        <v>7.1711602674875983E-3</v>
      </c>
      <c r="J1812" s="9">
        <f t="shared" si="342"/>
        <v>55819.078571428567</v>
      </c>
      <c r="K1812" s="9">
        <f t="shared" si="333"/>
        <v>56689.985000000001</v>
      </c>
      <c r="L1812" s="9">
        <f t="shared" si="332"/>
        <v>57225.235444444435</v>
      </c>
      <c r="M1812" s="9">
        <f t="shared" si="343"/>
        <v>4.7863442714124E-3</v>
      </c>
      <c r="N1812" s="9">
        <f t="shared" si="334"/>
        <v>6.839170460477253E-3</v>
      </c>
    </row>
    <row r="1813" spans="1:14" x14ac:dyDescent="0.35">
      <c r="A1813" s="1">
        <v>45016</v>
      </c>
      <c r="B1813" s="2" t="s">
        <v>1812</v>
      </c>
      <c r="C1813">
        <f t="shared" si="335"/>
        <v>56203.11</v>
      </c>
      <c r="D1813">
        <f t="shared" si="336"/>
        <v>2023</v>
      </c>
      <c r="E1813">
        <f t="shared" si="337"/>
        <v>3</v>
      </c>
      <c r="F1813" t="str">
        <f t="shared" si="339"/>
        <v>March</v>
      </c>
      <c r="G1813">
        <f t="shared" si="338"/>
        <v>31</v>
      </c>
      <c r="H1813" s="7">
        <f t="shared" si="340"/>
        <v>-2.4939017697980667E-2</v>
      </c>
      <c r="I1813" s="9">
        <f t="shared" si="341"/>
        <v>-2.494212798812467E-4</v>
      </c>
      <c r="J1813" s="9">
        <f t="shared" si="342"/>
        <v>55890.979999999996</v>
      </c>
      <c r="K1813" s="9">
        <f t="shared" si="333"/>
        <v>56621.777000000009</v>
      </c>
      <c r="L1813" s="9">
        <f t="shared" si="332"/>
        <v>57210.411888888892</v>
      </c>
      <c r="M1813" s="9">
        <f t="shared" si="343"/>
        <v>4.6085761305258563E-3</v>
      </c>
      <c r="N1813" s="9">
        <f t="shared" si="334"/>
        <v>6.5969800557314382E-3</v>
      </c>
    </row>
    <row r="1814" spans="1:14" x14ac:dyDescent="0.35">
      <c r="A1814" s="1">
        <v>45019</v>
      </c>
      <c r="B1814" s="2" t="s">
        <v>1813</v>
      </c>
      <c r="C1814">
        <f t="shared" si="335"/>
        <v>56002.080000000002</v>
      </c>
      <c r="D1814">
        <f t="shared" si="336"/>
        <v>2023</v>
      </c>
      <c r="E1814">
        <f t="shared" si="337"/>
        <v>4</v>
      </c>
      <c r="F1814" t="str">
        <f t="shared" si="339"/>
        <v>April</v>
      </c>
      <c r="G1814">
        <f t="shared" si="338"/>
        <v>3</v>
      </c>
      <c r="H1814" s="7">
        <f t="shared" si="340"/>
        <v>-0.35768483274323937</v>
      </c>
      <c r="I1814" s="9">
        <f t="shared" si="341"/>
        <v>-3.5832605443290051E-3</v>
      </c>
      <c r="J1814" s="9">
        <f t="shared" si="342"/>
        <v>55951.184285714284</v>
      </c>
      <c r="K1814" s="9">
        <f t="shared" si="333"/>
        <v>56541.669666666676</v>
      </c>
      <c r="L1814" s="9">
        <f t="shared" si="332"/>
        <v>57196.24222222223</v>
      </c>
      <c r="M1814" s="9">
        <f t="shared" si="343"/>
        <v>4.8148481260315342E-3</v>
      </c>
      <c r="N1814" s="9">
        <f t="shared" si="334"/>
        <v>6.5693996456472675E-3</v>
      </c>
    </row>
    <row r="1815" spans="1:14" x14ac:dyDescent="0.35">
      <c r="A1815" s="1">
        <v>45020</v>
      </c>
      <c r="B1815" s="2" t="s">
        <v>1814</v>
      </c>
      <c r="C1815">
        <f t="shared" si="335"/>
        <v>56297.95</v>
      </c>
      <c r="D1815">
        <f t="shared" si="336"/>
        <v>2023</v>
      </c>
      <c r="E1815">
        <f t="shared" si="337"/>
        <v>4</v>
      </c>
      <c r="F1815" t="str">
        <f t="shared" si="339"/>
        <v>April</v>
      </c>
      <c r="G1815">
        <f t="shared" si="338"/>
        <v>4</v>
      </c>
      <c r="H1815" s="7">
        <f t="shared" si="340"/>
        <v>0.5283196624125307</v>
      </c>
      <c r="I1815" s="9">
        <f t="shared" si="341"/>
        <v>5.2692895020428456E-3</v>
      </c>
      <c r="J1815" s="9">
        <f t="shared" si="342"/>
        <v>56066.778571428571</v>
      </c>
      <c r="K1815" s="9">
        <f t="shared" si="333"/>
        <v>56478.72833333334</v>
      </c>
      <c r="L1815" s="9">
        <f t="shared" si="332"/>
        <v>57185.406777777782</v>
      </c>
      <c r="M1815" s="9">
        <f t="shared" si="343"/>
        <v>4.8705959676904071E-3</v>
      </c>
      <c r="N1815" s="9">
        <f t="shared" si="334"/>
        <v>6.6637561555880362E-3</v>
      </c>
    </row>
    <row r="1816" spans="1:14" x14ac:dyDescent="0.35">
      <c r="A1816" s="1">
        <v>45021</v>
      </c>
      <c r="B1816" s="2" t="s">
        <v>1815</v>
      </c>
      <c r="C1816">
        <f t="shared" si="335"/>
        <v>56242.8</v>
      </c>
      <c r="D1816">
        <f t="shared" si="336"/>
        <v>2023</v>
      </c>
      <c r="E1816">
        <f t="shared" si="337"/>
        <v>4</v>
      </c>
      <c r="F1816" t="str">
        <f t="shared" si="339"/>
        <v>April</v>
      </c>
      <c r="G1816">
        <f t="shared" si="338"/>
        <v>5</v>
      </c>
      <c r="H1816" s="7">
        <f t="shared" si="340"/>
        <v>-9.7960938186904115E-2</v>
      </c>
      <c r="I1816" s="9">
        <f t="shared" si="341"/>
        <v>-9.8008951272562342E-4</v>
      </c>
      <c r="J1816" s="9">
        <f t="shared" si="342"/>
        <v>56121.765714285721</v>
      </c>
      <c r="K1816" s="9">
        <f t="shared" si="333"/>
        <v>56406.433333333334</v>
      </c>
      <c r="L1816" s="9">
        <f t="shared" si="332"/>
        <v>57170.350444444448</v>
      </c>
      <c r="M1816" s="9">
        <f t="shared" si="343"/>
        <v>4.5193454746960829E-3</v>
      </c>
      <c r="N1816" s="9">
        <f t="shared" si="334"/>
        <v>6.5976064410769508E-3</v>
      </c>
    </row>
    <row r="1817" spans="1:14" x14ac:dyDescent="0.35">
      <c r="A1817" s="1">
        <v>45022</v>
      </c>
      <c r="B1817" s="2" t="s">
        <v>1816</v>
      </c>
      <c r="C1817">
        <f t="shared" si="335"/>
        <v>55878.2</v>
      </c>
      <c r="D1817">
        <f t="shared" si="336"/>
        <v>2023</v>
      </c>
      <c r="E1817">
        <f t="shared" si="337"/>
        <v>4</v>
      </c>
      <c r="F1817" t="str">
        <f t="shared" si="339"/>
        <v>April</v>
      </c>
      <c r="G1817">
        <f t="shared" si="338"/>
        <v>6</v>
      </c>
      <c r="H1817" s="7">
        <f t="shared" si="340"/>
        <v>-0.64826075515444792</v>
      </c>
      <c r="I1817" s="9">
        <f t="shared" si="341"/>
        <v>-6.5037109044888738E-3</v>
      </c>
      <c r="J1817" s="9">
        <f t="shared" si="342"/>
        <v>56093.814285714288</v>
      </c>
      <c r="K1817" s="9">
        <f t="shared" si="333"/>
        <v>56341.094333333327</v>
      </c>
      <c r="L1817" s="9">
        <f t="shared" si="332"/>
        <v>57158.288222222218</v>
      </c>
      <c r="M1817" s="9">
        <f t="shared" si="343"/>
        <v>5.0817506174863601E-3</v>
      </c>
      <c r="N1817" s="9">
        <f t="shared" si="334"/>
        <v>6.4739310187369951E-3</v>
      </c>
    </row>
    <row r="1818" spans="1:14" x14ac:dyDescent="0.35">
      <c r="A1818" s="1">
        <v>45027</v>
      </c>
      <c r="B1818" s="2" t="s">
        <v>1817</v>
      </c>
      <c r="C1818">
        <f t="shared" si="335"/>
        <v>55992.97</v>
      </c>
      <c r="D1818">
        <f t="shared" si="336"/>
        <v>2023</v>
      </c>
      <c r="E1818">
        <f t="shared" si="337"/>
        <v>4</v>
      </c>
      <c r="F1818" t="str">
        <f t="shared" si="339"/>
        <v>April</v>
      </c>
      <c r="G1818">
        <f t="shared" si="338"/>
        <v>11</v>
      </c>
      <c r="H1818" s="7">
        <f t="shared" si="340"/>
        <v>0.20539315869159006</v>
      </c>
      <c r="I1818" s="9">
        <f t="shared" si="341"/>
        <v>2.0518251532546613E-3</v>
      </c>
      <c r="J1818" s="9">
        <f t="shared" si="342"/>
        <v>56119.177142857145</v>
      </c>
      <c r="K1818" s="9">
        <f t="shared" si="333"/>
        <v>56274.667333333331</v>
      </c>
      <c r="L1818" s="9">
        <f t="shared" si="332"/>
        <v>57138.972333333324</v>
      </c>
      <c r="M1818" s="9">
        <f t="shared" si="343"/>
        <v>4.7979323243225198E-3</v>
      </c>
      <c r="N1818" s="9">
        <f t="shared" si="334"/>
        <v>6.4648383681317973E-3</v>
      </c>
    </row>
    <row r="1819" spans="1:14" x14ac:dyDescent="0.35">
      <c r="A1819" s="1">
        <v>45028</v>
      </c>
      <c r="B1819" s="2" t="s">
        <v>1818</v>
      </c>
      <c r="C1819">
        <f t="shared" si="335"/>
        <v>55483.79</v>
      </c>
      <c r="D1819">
        <f t="shared" si="336"/>
        <v>2023</v>
      </c>
      <c r="E1819">
        <f t="shared" si="337"/>
        <v>4</v>
      </c>
      <c r="F1819" t="str">
        <f t="shared" si="339"/>
        <v>April</v>
      </c>
      <c r="G1819">
        <f t="shared" si="338"/>
        <v>12</v>
      </c>
      <c r="H1819" s="7">
        <f t="shared" si="340"/>
        <v>-0.90936415767908052</v>
      </c>
      <c r="I1819" s="9">
        <f t="shared" si="341"/>
        <v>-9.1352411216341339E-3</v>
      </c>
      <c r="J1819" s="9">
        <f t="shared" si="342"/>
        <v>56014.41428571428</v>
      </c>
      <c r="K1819" s="9">
        <f t="shared" si="333"/>
        <v>56198.248333333329</v>
      </c>
      <c r="L1819" s="9">
        <f t="shared" si="332"/>
        <v>57115.571999999993</v>
      </c>
      <c r="M1819" s="9">
        <f t="shared" si="343"/>
        <v>4.9490472922193007E-3</v>
      </c>
      <c r="N1819" s="9">
        <f t="shared" si="334"/>
        <v>6.6137638877756377E-3</v>
      </c>
    </row>
    <row r="1820" spans="1:14" x14ac:dyDescent="0.35">
      <c r="A1820" s="1">
        <v>45029</v>
      </c>
      <c r="B1820" s="2" t="s">
        <v>1819</v>
      </c>
      <c r="C1820">
        <f t="shared" si="335"/>
        <v>55691.58</v>
      </c>
      <c r="D1820">
        <f t="shared" si="336"/>
        <v>2023</v>
      </c>
      <c r="E1820">
        <f t="shared" si="337"/>
        <v>4</v>
      </c>
      <c r="F1820" t="str">
        <f t="shared" si="339"/>
        <v>April</v>
      </c>
      <c r="G1820">
        <f t="shared" si="338"/>
        <v>13</v>
      </c>
      <c r="H1820" s="7">
        <f t="shared" si="340"/>
        <v>0.37450577907529542</v>
      </c>
      <c r="I1820" s="9">
        <f t="shared" si="341"/>
        <v>3.7380625215101722E-3</v>
      </c>
      <c r="J1820" s="9">
        <f t="shared" si="342"/>
        <v>55941.338571428569</v>
      </c>
      <c r="K1820" s="9">
        <f t="shared" si="333"/>
        <v>56130.933666666664</v>
      </c>
      <c r="L1820" s="9">
        <f t="shared" ref="L1820:L1883" si="344">AVERAGE(C1731:C1820)</f>
        <v>57091.817666666655</v>
      </c>
      <c r="M1820" s="9">
        <f t="shared" si="343"/>
        <v>5.3783104031445471E-3</v>
      </c>
      <c r="N1820" s="9">
        <f t="shared" si="334"/>
        <v>6.6787385069374799E-3</v>
      </c>
    </row>
    <row r="1821" spans="1:14" x14ac:dyDescent="0.35">
      <c r="A1821" s="1">
        <v>45030</v>
      </c>
      <c r="B1821" s="2" t="s">
        <v>1820</v>
      </c>
      <c r="C1821">
        <f t="shared" si="335"/>
        <v>55194.62</v>
      </c>
      <c r="D1821">
        <f t="shared" si="336"/>
        <v>2023</v>
      </c>
      <c r="E1821">
        <f t="shared" si="337"/>
        <v>4</v>
      </c>
      <c r="F1821" t="str">
        <f t="shared" si="339"/>
        <v>April</v>
      </c>
      <c r="G1821">
        <f t="shared" si="338"/>
        <v>14</v>
      </c>
      <c r="H1821" s="7">
        <f t="shared" si="340"/>
        <v>-0.89234315133454489</v>
      </c>
      <c r="I1821" s="9">
        <f t="shared" si="341"/>
        <v>-8.9634837754402012E-3</v>
      </c>
      <c r="J1821" s="9">
        <f t="shared" si="342"/>
        <v>55825.98714285715</v>
      </c>
      <c r="K1821" s="9">
        <f t="shared" si="333"/>
        <v>56039.887333333339</v>
      </c>
      <c r="L1821" s="9">
        <f t="shared" si="344"/>
        <v>57060.511444444433</v>
      </c>
      <c r="M1821" s="9">
        <f t="shared" si="343"/>
        <v>6.0946902067199682E-3</v>
      </c>
      <c r="N1821" s="9">
        <f t="shared" si="334"/>
        <v>6.7584003204969626E-3</v>
      </c>
    </row>
    <row r="1822" spans="1:14" x14ac:dyDescent="0.35">
      <c r="A1822" s="1">
        <v>45033</v>
      </c>
      <c r="B1822" s="2" t="s">
        <v>1821</v>
      </c>
      <c r="C1822">
        <f t="shared" si="335"/>
        <v>55259.98</v>
      </c>
      <c r="D1822">
        <f t="shared" si="336"/>
        <v>2023</v>
      </c>
      <c r="E1822">
        <f t="shared" si="337"/>
        <v>4</v>
      </c>
      <c r="F1822" t="str">
        <f t="shared" si="339"/>
        <v>April</v>
      </c>
      <c r="G1822">
        <f t="shared" si="338"/>
        <v>17</v>
      </c>
      <c r="H1822" s="7">
        <f t="shared" si="340"/>
        <v>0.11841733850147093</v>
      </c>
      <c r="I1822" s="9">
        <f t="shared" si="341"/>
        <v>1.1834728047295617E-3</v>
      </c>
      <c r="J1822" s="9">
        <f t="shared" si="342"/>
        <v>55677.705714285716</v>
      </c>
      <c r="K1822" s="9">
        <f t="shared" si="333"/>
        <v>55976.62</v>
      </c>
      <c r="L1822" s="9">
        <f t="shared" si="344"/>
        <v>57029.039222222222</v>
      </c>
      <c r="M1822" s="9">
        <f t="shared" si="343"/>
        <v>5.4339616423966595E-3</v>
      </c>
      <c r="N1822" s="9">
        <f t="shared" si="334"/>
        <v>6.3993783442710386E-3</v>
      </c>
    </row>
    <row r="1823" spans="1:14" x14ac:dyDescent="0.35">
      <c r="A1823" s="1">
        <v>45034</v>
      </c>
      <c r="B1823" s="2" t="s">
        <v>1822</v>
      </c>
      <c r="C1823">
        <f t="shared" si="335"/>
        <v>54628.41</v>
      </c>
      <c r="D1823">
        <f t="shared" si="336"/>
        <v>2023</v>
      </c>
      <c r="E1823">
        <f t="shared" si="337"/>
        <v>4</v>
      </c>
      <c r="F1823" t="str">
        <f t="shared" si="339"/>
        <v>April</v>
      </c>
      <c r="G1823">
        <f t="shared" si="338"/>
        <v>18</v>
      </c>
      <c r="H1823" s="7">
        <f t="shared" si="340"/>
        <v>-1.1429066749571746</v>
      </c>
      <c r="I1823" s="9">
        <f t="shared" si="341"/>
        <v>-1.1494880473115324E-2</v>
      </c>
      <c r="J1823" s="9">
        <f t="shared" si="342"/>
        <v>55447.078571428559</v>
      </c>
      <c r="K1823" s="9">
        <f t="shared" si="333"/>
        <v>55893.912333333334</v>
      </c>
      <c r="L1823" s="9">
        <f t="shared" si="344"/>
        <v>56986.326888888885</v>
      </c>
      <c r="M1823" s="9">
        <f t="shared" si="343"/>
        <v>6.2801114064657418E-3</v>
      </c>
      <c r="N1823" s="9">
        <f t="shared" si="334"/>
        <v>6.6728268882126456E-3</v>
      </c>
    </row>
    <row r="1824" spans="1:14" x14ac:dyDescent="0.35">
      <c r="A1824" s="1">
        <v>45035</v>
      </c>
      <c r="B1824" s="2" t="s">
        <v>1823</v>
      </c>
      <c r="C1824">
        <f t="shared" si="335"/>
        <v>54527.11</v>
      </c>
      <c r="D1824">
        <f t="shared" si="336"/>
        <v>2023</v>
      </c>
      <c r="E1824">
        <f t="shared" si="337"/>
        <v>4</v>
      </c>
      <c r="F1824" t="str">
        <f t="shared" si="339"/>
        <v>April</v>
      </c>
      <c r="G1824">
        <f t="shared" si="338"/>
        <v>19</v>
      </c>
      <c r="H1824" s="7">
        <f t="shared" si="340"/>
        <v>-0.18543464838168072</v>
      </c>
      <c r="I1824" s="9">
        <f t="shared" si="341"/>
        <v>-1.8560679126706637E-3</v>
      </c>
      <c r="J1824" s="9">
        <f t="shared" si="342"/>
        <v>55254.065714285709</v>
      </c>
      <c r="K1824" s="9">
        <f t="shared" ref="K1824:K1887" si="345">AVERAGE(C1795:C1824)</f>
        <v>55829.397666666679</v>
      </c>
      <c r="L1824" s="9">
        <f t="shared" si="344"/>
        <v>56945.474333333324</v>
      </c>
      <c r="M1824" s="9">
        <f t="shared" si="343"/>
        <v>6.2366306729688325E-3</v>
      </c>
      <c r="N1824" s="9">
        <f t="shared" si="334"/>
        <v>6.4060264783405785E-3</v>
      </c>
    </row>
    <row r="1825" spans="1:14" x14ac:dyDescent="0.35">
      <c r="A1825" s="1">
        <v>45036</v>
      </c>
      <c r="B1825" s="2" t="s">
        <v>1824</v>
      </c>
      <c r="C1825">
        <f t="shared" si="335"/>
        <v>54543.22</v>
      </c>
      <c r="D1825">
        <f t="shared" si="336"/>
        <v>2023</v>
      </c>
      <c r="E1825">
        <f t="shared" si="337"/>
        <v>4</v>
      </c>
      <c r="F1825" t="str">
        <f t="shared" si="339"/>
        <v>April</v>
      </c>
      <c r="G1825">
        <f t="shared" si="338"/>
        <v>20</v>
      </c>
      <c r="H1825" s="7">
        <f t="shared" si="340"/>
        <v>2.9544936454546339E-2</v>
      </c>
      <c r="I1825" s="9">
        <f t="shared" si="341"/>
        <v>2.9540572797672236E-4</v>
      </c>
      <c r="J1825" s="9">
        <f t="shared" si="342"/>
        <v>55046.958571428564</v>
      </c>
      <c r="K1825" s="9">
        <f t="shared" si="345"/>
        <v>55778.85500000001</v>
      </c>
      <c r="L1825" s="9">
        <f t="shared" si="344"/>
        <v>56906.325111111117</v>
      </c>
      <c r="M1825" s="9">
        <f t="shared" si="343"/>
        <v>6.0073134103026645E-3</v>
      </c>
      <c r="N1825" s="9">
        <f t="shared" ref="N1825:N1888" si="346">STDEV(I1796:I1825)</f>
        <v>6.3090891995652588E-3</v>
      </c>
    </row>
    <row r="1826" spans="1:14" x14ac:dyDescent="0.35">
      <c r="A1826" s="1">
        <v>45037</v>
      </c>
      <c r="B1826" s="2" t="s">
        <v>1825</v>
      </c>
      <c r="C1826">
        <f t="shared" si="335"/>
        <v>53960.51</v>
      </c>
      <c r="D1826">
        <f t="shared" si="336"/>
        <v>2023</v>
      </c>
      <c r="E1826">
        <f t="shared" si="337"/>
        <v>4</v>
      </c>
      <c r="F1826" t="str">
        <f t="shared" si="339"/>
        <v>April</v>
      </c>
      <c r="G1826">
        <f t="shared" si="338"/>
        <v>21</v>
      </c>
      <c r="H1826" s="7">
        <f t="shared" si="340"/>
        <v>-1.0683454332179125</v>
      </c>
      <c r="I1826" s="9">
        <f t="shared" si="341"/>
        <v>-1.0740932171546608E-2</v>
      </c>
      <c r="J1826" s="9">
        <f t="shared" si="342"/>
        <v>54829.34714285715</v>
      </c>
      <c r="K1826" s="9">
        <f t="shared" si="345"/>
        <v>55705.895333333341</v>
      </c>
      <c r="L1826" s="9">
        <f t="shared" si="344"/>
        <v>56856.756111111106</v>
      </c>
      <c r="M1826" s="9">
        <f t="shared" si="343"/>
        <v>6.2721447491696797E-3</v>
      </c>
      <c r="N1826" s="9">
        <f t="shared" si="346"/>
        <v>6.5376937704045143E-3</v>
      </c>
    </row>
    <row r="1827" spans="1:14" x14ac:dyDescent="0.35">
      <c r="A1827" s="1">
        <v>45040</v>
      </c>
      <c r="B1827" s="2" t="s">
        <v>1826</v>
      </c>
      <c r="C1827">
        <f t="shared" si="335"/>
        <v>53409.14</v>
      </c>
      <c r="D1827">
        <f t="shared" si="336"/>
        <v>2023</v>
      </c>
      <c r="E1827">
        <f t="shared" si="337"/>
        <v>4</v>
      </c>
      <c r="F1827" t="str">
        <f t="shared" si="339"/>
        <v>April</v>
      </c>
      <c r="G1827">
        <f t="shared" si="338"/>
        <v>24</v>
      </c>
      <c r="H1827" s="7">
        <f t="shared" si="340"/>
        <v>-1.0218027961559344</v>
      </c>
      <c r="I1827" s="9">
        <f t="shared" si="341"/>
        <v>-1.0270590371948518E-2</v>
      </c>
      <c r="J1827" s="9">
        <f t="shared" si="342"/>
        <v>54503.284285714282</v>
      </c>
      <c r="K1827" s="9">
        <f t="shared" si="345"/>
        <v>55631.585666666666</v>
      </c>
      <c r="L1827" s="9">
        <f t="shared" si="344"/>
        <v>56801.932888888885</v>
      </c>
      <c r="M1827" s="9">
        <f t="shared" si="343"/>
        <v>5.5990114399471552E-3</v>
      </c>
      <c r="N1827" s="9">
        <f t="shared" si="346"/>
        <v>6.5873615015170101E-3</v>
      </c>
    </row>
    <row r="1828" spans="1:14" x14ac:dyDescent="0.35">
      <c r="A1828" s="1">
        <v>45041</v>
      </c>
      <c r="B1828" s="2" t="s">
        <v>1827</v>
      </c>
      <c r="C1828">
        <f t="shared" si="335"/>
        <v>53244.18</v>
      </c>
      <c r="D1828">
        <f t="shared" si="336"/>
        <v>2023</v>
      </c>
      <c r="E1828">
        <f t="shared" si="337"/>
        <v>4</v>
      </c>
      <c r="F1828" t="str">
        <f t="shared" si="339"/>
        <v>April</v>
      </c>
      <c r="G1828">
        <f t="shared" si="338"/>
        <v>25</v>
      </c>
      <c r="H1828" s="7">
        <f t="shared" si="340"/>
        <v>-0.3088609927064902</v>
      </c>
      <c r="I1828" s="9">
        <f t="shared" si="341"/>
        <v>-3.0933895267890696E-3</v>
      </c>
      <c r="J1828" s="9">
        <f t="shared" si="342"/>
        <v>54224.65</v>
      </c>
      <c r="K1828" s="9">
        <f t="shared" si="345"/>
        <v>55560.821333333341</v>
      </c>
      <c r="L1828" s="9">
        <f t="shared" si="344"/>
        <v>56740.690333333332</v>
      </c>
      <c r="M1828" s="9">
        <f t="shared" si="343"/>
        <v>5.516349508573706E-3</v>
      </c>
      <c r="N1828" s="9">
        <f t="shared" si="346"/>
        <v>6.562340789527432E-3</v>
      </c>
    </row>
    <row r="1829" spans="1:14" x14ac:dyDescent="0.35">
      <c r="A1829" s="1">
        <v>45042</v>
      </c>
      <c r="B1829" s="2" t="s">
        <v>1828</v>
      </c>
      <c r="C1829">
        <f t="shared" si="335"/>
        <v>53888.85</v>
      </c>
      <c r="D1829">
        <f t="shared" si="336"/>
        <v>2023</v>
      </c>
      <c r="E1829">
        <f t="shared" si="337"/>
        <v>4</v>
      </c>
      <c r="F1829" t="str">
        <f t="shared" si="339"/>
        <v>April</v>
      </c>
      <c r="G1829">
        <f t="shared" si="338"/>
        <v>26</v>
      </c>
      <c r="H1829" s="7">
        <f t="shared" si="340"/>
        <v>1.2107802204860667</v>
      </c>
      <c r="I1829" s="9">
        <f t="shared" si="341"/>
        <v>1.2035089109850626E-2</v>
      </c>
      <c r="J1829" s="9">
        <f t="shared" si="342"/>
        <v>54028.77428571428</v>
      </c>
      <c r="K1829" s="9">
        <f t="shared" si="345"/>
        <v>55486.866999999998</v>
      </c>
      <c r="L1829" s="9">
        <f t="shared" si="344"/>
        <v>56684.550111111101</v>
      </c>
      <c r="M1829" s="9">
        <f t="shared" si="343"/>
        <v>8.3740291046504618E-3</v>
      </c>
      <c r="N1829" s="9">
        <f t="shared" si="346"/>
        <v>6.4699681301463178E-3</v>
      </c>
    </row>
    <row r="1830" spans="1:14" x14ac:dyDescent="0.35">
      <c r="A1830" s="1">
        <v>45044</v>
      </c>
      <c r="B1830" s="2" t="s">
        <v>1829</v>
      </c>
      <c r="C1830">
        <f t="shared" si="335"/>
        <v>54574.28</v>
      </c>
      <c r="D1830">
        <f t="shared" si="336"/>
        <v>2023</v>
      </c>
      <c r="E1830">
        <f t="shared" si="337"/>
        <v>4</v>
      </c>
      <c r="F1830" t="str">
        <f t="shared" si="339"/>
        <v>April</v>
      </c>
      <c r="G1830">
        <f t="shared" si="338"/>
        <v>28</v>
      </c>
      <c r="H1830" s="7">
        <f t="shared" si="340"/>
        <v>1.2719328766525919</v>
      </c>
      <c r="I1830" s="9">
        <f t="shared" si="341"/>
        <v>1.2639117543591436E-2</v>
      </c>
      <c r="J1830" s="9">
        <f t="shared" si="342"/>
        <v>54021.041428571414</v>
      </c>
      <c r="K1830" s="9">
        <f t="shared" si="345"/>
        <v>55434.487333333338</v>
      </c>
      <c r="L1830" s="9">
        <f t="shared" si="344"/>
        <v>56635.668555555545</v>
      </c>
      <c r="M1830" s="9">
        <f t="shared" si="343"/>
        <v>9.4728051343582129E-3</v>
      </c>
      <c r="N1830" s="9">
        <f t="shared" si="346"/>
        <v>6.949663277678598E-3</v>
      </c>
    </row>
    <row r="1831" spans="1:14" x14ac:dyDescent="0.35">
      <c r="A1831" s="1">
        <v>45048</v>
      </c>
      <c r="B1831" s="2" t="s">
        <v>1830</v>
      </c>
      <c r="C1831">
        <f t="shared" si="335"/>
        <v>54209.41</v>
      </c>
      <c r="D1831">
        <f t="shared" si="336"/>
        <v>2023</v>
      </c>
      <c r="E1831">
        <f t="shared" si="337"/>
        <v>5</v>
      </c>
      <c r="F1831" t="str">
        <f t="shared" si="339"/>
        <v>May</v>
      </c>
      <c r="G1831">
        <f t="shared" si="338"/>
        <v>2</v>
      </c>
      <c r="H1831" s="7">
        <f t="shared" si="340"/>
        <v>-0.66857501372440531</v>
      </c>
      <c r="I1831" s="9">
        <f t="shared" si="341"/>
        <v>-6.708199882901866E-3</v>
      </c>
      <c r="J1831" s="9">
        <f t="shared" si="342"/>
        <v>53975.655714285713</v>
      </c>
      <c r="K1831" s="9">
        <f t="shared" si="345"/>
        <v>55346.478666666662</v>
      </c>
      <c r="L1831" s="9">
        <f t="shared" si="344"/>
        <v>56587.276222222208</v>
      </c>
      <c r="M1831" s="9">
        <f t="shared" si="343"/>
        <v>9.7913355578283547E-3</v>
      </c>
      <c r="N1831" s="9">
        <f t="shared" si="346"/>
        <v>6.5438543366711328E-3</v>
      </c>
    </row>
    <row r="1832" spans="1:14" x14ac:dyDescent="0.35">
      <c r="A1832" s="1">
        <v>45049</v>
      </c>
      <c r="B1832" s="2" t="s">
        <v>1831</v>
      </c>
      <c r="C1832">
        <f t="shared" si="335"/>
        <v>53391.83</v>
      </c>
      <c r="D1832">
        <f t="shared" si="336"/>
        <v>2023</v>
      </c>
      <c r="E1832">
        <f t="shared" si="337"/>
        <v>5</v>
      </c>
      <c r="F1832" t="str">
        <f t="shared" si="339"/>
        <v>May</v>
      </c>
      <c r="G1832">
        <f t="shared" si="338"/>
        <v>3</v>
      </c>
      <c r="H1832" s="7">
        <f t="shared" si="340"/>
        <v>-1.5081883385190904</v>
      </c>
      <c r="I1832" s="9">
        <f t="shared" si="341"/>
        <v>-1.5196771605861744E-2</v>
      </c>
      <c r="J1832" s="9">
        <f t="shared" si="342"/>
        <v>53811.171428571433</v>
      </c>
      <c r="K1832" s="9">
        <f t="shared" si="345"/>
        <v>55233.87766666666</v>
      </c>
      <c r="L1832" s="9">
        <f t="shared" si="344"/>
        <v>56529.084444444437</v>
      </c>
      <c r="M1832" s="9">
        <f t="shared" si="343"/>
        <v>1.1149917981070127E-2</v>
      </c>
      <c r="N1832" s="9">
        <f t="shared" si="346"/>
        <v>6.9993614195674354E-3</v>
      </c>
    </row>
    <row r="1833" spans="1:14" x14ac:dyDescent="0.35">
      <c r="A1833" s="1">
        <v>45050</v>
      </c>
      <c r="B1833" s="2" t="s">
        <v>1832</v>
      </c>
      <c r="C1833">
        <f t="shared" si="335"/>
        <v>53930.14</v>
      </c>
      <c r="D1833">
        <f t="shared" si="336"/>
        <v>2023</v>
      </c>
      <c r="E1833">
        <f t="shared" si="337"/>
        <v>5</v>
      </c>
      <c r="F1833" t="str">
        <f t="shared" si="339"/>
        <v>May</v>
      </c>
      <c r="G1833">
        <f t="shared" si="338"/>
        <v>4</v>
      </c>
      <c r="H1833" s="7">
        <f t="shared" si="340"/>
        <v>1.008225415761171</v>
      </c>
      <c r="I1833" s="9">
        <f t="shared" si="341"/>
        <v>1.0031767297142518E-2</v>
      </c>
      <c r="J1833" s="9">
        <f t="shared" si="342"/>
        <v>53806.832857142857</v>
      </c>
      <c r="K1833" s="9">
        <f t="shared" si="345"/>
        <v>55163.541999999994</v>
      </c>
      <c r="L1833" s="9">
        <f t="shared" si="344"/>
        <v>56481.710666666644</v>
      </c>
      <c r="M1833" s="9">
        <f t="shared" si="343"/>
        <v>1.1519386831720763E-2</v>
      </c>
      <c r="N1833" s="9">
        <f t="shared" si="346"/>
        <v>7.0230800878447195E-3</v>
      </c>
    </row>
    <row r="1834" spans="1:14" x14ac:dyDescent="0.35">
      <c r="A1834" s="1">
        <v>45051</v>
      </c>
      <c r="B1834" s="2" t="s">
        <v>1833</v>
      </c>
      <c r="C1834">
        <f t="shared" si="335"/>
        <v>54156.75</v>
      </c>
      <c r="D1834">
        <f t="shared" si="336"/>
        <v>2023</v>
      </c>
      <c r="E1834">
        <f t="shared" si="337"/>
        <v>5</v>
      </c>
      <c r="F1834" t="str">
        <f t="shared" si="339"/>
        <v>May</v>
      </c>
      <c r="G1834">
        <f t="shared" si="338"/>
        <v>5</v>
      </c>
      <c r="H1834" s="7">
        <f t="shared" si="340"/>
        <v>0.42019175177368462</v>
      </c>
      <c r="I1834" s="9">
        <f t="shared" si="341"/>
        <v>4.1931141144908269E-3</v>
      </c>
      <c r="J1834" s="9">
        <f t="shared" si="342"/>
        <v>53913.634285714288</v>
      </c>
      <c r="K1834" s="9">
        <f t="shared" si="345"/>
        <v>55109.118666666662</v>
      </c>
      <c r="L1834" s="9">
        <f t="shared" si="344"/>
        <v>56431.256444444422</v>
      </c>
      <c r="M1834" s="9">
        <f t="shared" si="343"/>
        <v>1.0651414451031644E-2</v>
      </c>
      <c r="N1834" s="9">
        <f t="shared" si="346"/>
        <v>7.0650895052415093E-3</v>
      </c>
    </row>
    <row r="1835" spans="1:14" x14ac:dyDescent="0.35">
      <c r="A1835" s="1">
        <v>45054</v>
      </c>
      <c r="B1835" s="2" t="s">
        <v>1834</v>
      </c>
      <c r="C1835">
        <f t="shared" si="335"/>
        <v>54131.67</v>
      </c>
      <c r="D1835">
        <f t="shared" si="336"/>
        <v>2023</v>
      </c>
      <c r="E1835">
        <f t="shared" si="337"/>
        <v>5</v>
      </c>
      <c r="F1835" t="str">
        <f t="shared" si="339"/>
        <v>May</v>
      </c>
      <c r="G1835">
        <f t="shared" si="338"/>
        <v>8</v>
      </c>
      <c r="H1835" s="7">
        <f t="shared" si="340"/>
        <v>-4.6310016756917184E-2</v>
      </c>
      <c r="I1835" s="9">
        <f t="shared" si="341"/>
        <v>-4.6320743156898312E-4</v>
      </c>
      <c r="J1835" s="9">
        <f t="shared" si="342"/>
        <v>54040.41857142857</v>
      </c>
      <c r="K1835" s="9">
        <f t="shared" si="345"/>
        <v>55052.537666666656</v>
      </c>
      <c r="L1835" s="9">
        <f t="shared" si="344"/>
        <v>56380.379999999983</v>
      </c>
      <c r="M1835" s="9">
        <f t="shared" si="343"/>
        <v>1.0487507561489071E-2</v>
      </c>
      <c r="N1835" s="9">
        <f t="shared" si="346"/>
        <v>7.0585948540999076E-3</v>
      </c>
    </row>
    <row r="1836" spans="1:14" x14ac:dyDescent="0.35">
      <c r="A1836" s="1">
        <v>45055</v>
      </c>
      <c r="B1836" s="2" t="s">
        <v>1835</v>
      </c>
      <c r="C1836">
        <f t="shared" si="335"/>
        <v>54387.7</v>
      </c>
      <c r="D1836">
        <f t="shared" si="336"/>
        <v>2023</v>
      </c>
      <c r="E1836">
        <f t="shared" si="337"/>
        <v>5</v>
      </c>
      <c r="F1836" t="str">
        <f t="shared" si="339"/>
        <v>May</v>
      </c>
      <c r="G1836">
        <f t="shared" si="338"/>
        <v>9</v>
      </c>
      <c r="H1836" s="7">
        <f t="shared" si="340"/>
        <v>0.47297635561585089</v>
      </c>
      <c r="I1836" s="9">
        <f t="shared" si="341"/>
        <v>4.7186133691858164E-3</v>
      </c>
      <c r="J1836" s="9">
        <f t="shared" si="342"/>
        <v>54111.682857142863</v>
      </c>
      <c r="K1836" s="9">
        <f t="shared" si="345"/>
        <v>55008.800999999992</v>
      </c>
      <c r="L1836" s="9">
        <f t="shared" si="344"/>
        <v>56331.714111111098</v>
      </c>
      <c r="M1836" s="9">
        <f t="shared" si="343"/>
        <v>9.6975782368472086E-3</v>
      </c>
      <c r="N1836" s="9">
        <f t="shared" si="346"/>
        <v>7.1308286640658324E-3</v>
      </c>
    </row>
    <row r="1837" spans="1:14" x14ac:dyDescent="0.35">
      <c r="A1837" s="1">
        <v>45056</v>
      </c>
      <c r="B1837" s="2" t="s">
        <v>1836</v>
      </c>
      <c r="C1837">
        <f t="shared" si="335"/>
        <v>53767.47</v>
      </c>
      <c r="D1837">
        <f t="shared" si="336"/>
        <v>2023</v>
      </c>
      <c r="E1837">
        <f t="shared" si="337"/>
        <v>5</v>
      </c>
      <c r="F1837" t="str">
        <f t="shared" si="339"/>
        <v>May</v>
      </c>
      <c r="G1837">
        <f t="shared" si="338"/>
        <v>10</v>
      </c>
      <c r="H1837" s="7">
        <f t="shared" si="340"/>
        <v>-1.140386521217106</v>
      </c>
      <c r="I1837" s="9">
        <f t="shared" si="341"/>
        <v>-1.1469387900626668E-2</v>
      </c>
      <c r="J1837" s="9">
        <f t="shared" si="342"/>
        <v>53996.424285714282</v>
      </c>
      <c r="K1837" s="9">
        <f t="shared" si="345"/>
        <v>54948.361666666657</v>
      </c>
      <c r="L1837" s="9">
        <f t="shared" si="344"/>
        <v>56279.340999999986</v>
      </c>
      <c r="M1837" s="9">
        <f t="shared" si="343"/>
        <v>9.2780801078363503E-3</v>
      </c>
      <c r="N1837" s="9">
        <f t="shared" si="346"/>
        <v>7.3902294453263252E-3</v>
      </c>
    </row>
    <row r="1838" spans="1:14" x14ac:dyDescent="0.35">
      <c r="A1838" s="1">
        <v>45057</v>
      </c>
      <c r="B1838" s="2" t="s">
        <v>1837</v>
      </c>
      <c r="C1838">
        <f t="shared" si="335"/>
        <v>54050.23</v>
      </c>
      <c r="D1838">
        <f t="shared" si="336"/>
        <v>2023</v>
      </c>
      <c r="E1838">
        <f t="shared" si="337"/>
        <v>5</v>
      </c>
      <c r="F1838" t="str">
        <f t="shared" si="339"/>
        <v>May</v>
      </c>
      <c r="G1838">
        <f t="shared" si="338"/>
        <v>11</v>
      </c>
      <c r="H1838" s="7">
        <f t="shared" si="340"/>
        <v>0.52589418843773394</v>
      </c>
      <c r="I1838" s="9">
        <f t="shared" si="341"/>
        <v>5.2451619403423421E-3</v>
      </c>
      <c r="J1838" s="9">
        <f t="shared" si="342"/>
        <v>53973.684285714291</v>
      </c>
      <c r="K1838" s="9">
        <f t="shared" si="345"/>
        <v>54900.409666666659</v>
      </c>
      <c r="L1838" s="9">
        <f t="shared" si="344"/>
        <v>56234.345333333324</v>
      </c>
      <c r="M1838" s="9">
        <f t="shared" si="343"/>
        <v>9.3938232145349305E-3</v>
      </c>
      <c r="N1838" s="9">
        <f t="shared" si="346"/>
        <v>7.4793813392923566E-3</v>
      </c>
    </row>
    <row r="1839" spans="1:14" x14ac:dyDescent="0.35">
      <c r="A1839" s="1">
        <v>45058</v>
      </c>
      <c r="B1839" s="2" t="s">
        <v>1838</v>
      </c>
      <c r="C1839">
        <f t="shared" si="335"/>
        <v>53639.09</v>
      </c>
      <c r="D1839">
        <f t="shared" si="336"/>
        <v>2023</v>
      </c>
      <c r="E1839">
        <f t="shared" si="337"/>
        <v>5</v>
      </c>
      <c r="F1839" t="str">
        <f t="shared" si="339"/>
        <v>May</v>
      </c>
      <c r="G1839">
        <f t="shared" si="338"/>
        <v>12</v>
      </c>
      <c r="H1839" s="7">
        <f t="shared" si="340"/>
        <v>-0.76066281309072437</v>
      </c>
      <c r="I1839" s="9">
        <f t="shared" si="341"/>
        <v>-7.6357060772698979E-3</v>
      </c>
      <c r="J1839" s="9">
        <f t="shared" si="342"/>
        <v>54009.007142857132</v>
      </c>
      <c r="K1839" s="9">
        <f t="shared" si="345"/>
        <v>54826.449666666667</v>
      </c>
      <c r="L1839" s="9">
        <f t="shared" si="344"/>
        <v>56195.995999999985</v>
      </c>
      <c r="M1839" s="9">
        <f t="shared" si="343"/>
        <v>7.6921101915980545E-3</v>
      </c>
      <c r="N1839" s="9">
        <f t="shared" si="346"/>
        <v>7.4391299413734402E-3</v>
      </c>
    </row>
    <row r="1840" spans="1:14" x14ac:dyDescent="0.35">
      <c r="A1840" s="1">
        <v>45061</v>
      </c>
      <c r="B1840" s="2" t="s">
        <v>1839</v>
      </c>
      <c r="C1840">
        <f t="shared" si="335"/>
        <v>53915.15</v>
      </c>
      <c r="D1840">
        <f t="shared" si="336"/>
        <v>2023</v>
      </c>
      <c r="E1840">
        <f t="shared" si="337"/>
        <v>5</v>
      </c>
      <c r="F1840" t="str">
        <f t="shared" si="339"/>
        <v>May</v>
      </c>
      <c r="G1840">
        <f t="shared" si="338"/>
        <v>15</v>
      </c>
      <c r="H1840" s="7">
        <f t="shared" si="340"/>
        <v>0.51466197506334455</v>
      </c>
      <c r="I1840" s="9">
        <f t="shared" si="341"/>
        <v>5.133421169221975E-3</v>
      </c>
      <c r="J1840" s="9">
        <f t="shared" si="342"/>
        <v>54006.865714285719</v>
      </c>
      <c r="K1840" s="9">
        <f t="shared" si="345"/>
        <v>54754.492666666658</v>
      </c>
      <c r="L1840" s="9">
        <f t="shared" si="344"/>
        <v>56160.904555555549</v>
      </c>
      <c r="M1840" s="9">
        <f t="shared" si="343"/>
        <v>6.8770832259784581E-3</v>
      </c>
      <c r="N1840" s="9">
        <f t="shared" si="346"/>
        <v>7.4734681513742608E-3</v>
      </c>
    </row>
    <row r="1841" spans="1:14" x14ac:dyDescent="0.35">
      <c r="A1841" s="1">
        <v>45062</v>
      </c>
      <c r="B1841" s="2" t="s">
        <v>1840</v>
      </c>
      <c r="C1841">
        <f t="shared" si="335"/>
        <v>54078.37</v>
      </c>
      <c r="D1841">
        <f t="shared" si="336"/>
        <v>2023</v>
      </c>
      <c r="E1841">
        <f t="shared" si="337"/>
        <v>5</v>
      </c>
      <c r="F1841" t="str">
        <f t="shared" si="339"/>
        <v>May</v>
      </c>
      <c r="G1841">
        <f t="shared" si="338"/>
        <v>16</v>
      </c>
      <c r="H1841" s="7">
        <f t="shared" si="340"/>
        <v>0.30273494555797614</v>
      </c>
      <c r="I1841" s="9">
        <f t="shared" si="341"/>
        <v>3.0227762606646292E-3</v>
      </c>
      <c r="J1841" s="9">
        <f t="shared" si="342"/>
        <v>53995.668571428578</v>
      </c>
      <c r="K1841" s="9">
        <f t="shared" si="345"/>
        <v>54696.590666666663</v>
      </c>
      <c r="L1841" s="9">
        <f t="shared" si="344"/>
        <v>56133.993333333325</v>
      </c>
      <c r="M1841" s="9">
        <f t="shared" si="343"/>
        <v>6.7704257280629832E-3</v>
      </c>
      <c r="N1841" s="9">
        <f t="shared" si="346"/>
        <v>7.4869584813026802E-3</v>
      </c>
    </row>
    <row r="1842" spans="1:14" x14ac:dyDescent="0.35">
      <c r="A1842" s="1">
        <v>45063</v>
      </c>
      <c r="B1842" s="2" t="s">
        <v>1841</v>
      </c>
      <c r="C1842">
        <f t="shared" si="335"/>
        <v>54139.05</v>
      </c>
      <c r="D1842">
        <f t="shared" si="336"/>
        <v>2023</v>
      </c>
      <c r="E1842">
        <f t="shared" si="337"/>
        <v>5</v>
      </c>
      <c r="F1842" t="str">
        <f t="shared" si="339"/>
        <v>May</v>
      </c>
      <c r="G1842">
        <f t="shared" si="338"/>
        <v>17</v>
      </c>
      <c r="H1842" s="7">
        <f t="shared" si="340"/>
        <v>0.11220752400636388</v>
      </c>
      <c r="I1842" s="9">
        <f t="shared" si="341"/>
        <v>1.1214461841627913E-3</v>
      </c>
      <c r="J1842" s="9">
        <f t="shared" si="342"/>
        <v>53996.722857142857</v>
      </c>
      <c r="K1842" s="9">
        <f t="shared" si="345"/>
        <v>54627.321333333333</v>
      </c>
      <c r="L1842" s="9">
        <f t="shared" si="344"/>
        <v>56110.134888888882</v>
      </c>
      <c r="M1842" s="9">
        <f t="shared" si="343"/>
        <v>6.786900100698167E-3</v>
      </c>
      <c r="N1842" s="9">
        <f t="shared" si="346"/>
        <v>7.3377690773459127E-3</v>
      </c>
    </row>
    <row r="1843" spans="1:14" x14ac:dyDescent="0.35">
      <c r="A1843" s="1">
        <v>45064</v>
      </c>
      <c r="B1843" s="2" t="s">
        <v>1842</v>
      </c>
      <c r="C1843">
        <f t="shared" si="335"/>
        <v>53731.5</v>
      </c>
      <c r="D1843">
        <f t="shared" si="336"/>
        <v>2023</v>
      </c>
      <c r="E1843">
        <f t="shared" si="337"/>
        <v>5</v>
      </c>
      <c r="F1843" t="str">
        <f t="shared" si="339"/>
        <v>May</v>
      </c>
      <c r="G1843">
        <f t="shared" si="338"/>
        <v>18</v>
      </c>
      <c r="H1843" s="7">
        <f t="shared" si="340"/>
        <v>-0.7527838039271153</v>
      </c>
      <c r="I1843" s="9">
        <f t="shared" si="341"/>
        <v>-7.5563152164436782E-3</v>
      </c>
      <c r="J1843" s="9">
        <f t="shared" si="342"/>
        <v>53902.979999999996</v>
      </c>
      <c r="K1843" s="9">
        <f t="shared" si="345"/>
        <v>54544.934333333331</v>
      </c>
      <c r="L1843" s="9">
        <f t="shared" si="344"/>
        <v>56088.813666666661</v>
      </c>
      <c r="M1843" s="9">
        <f t="shared" si="343"/>
        <v>6.954110712801497E-3</v>
      </c>
      <c r="N1843" s="9">
        <f t="shared" si="346"/>
        <v>7.423984442544153E-3</v>
      </c>
    </row>
    <row r="1844" spans="1:14" x14ac:dyDescent="0.35">
      <c r="A1844" s="1">
        <v>45065</v>
      </c>
      <c r="B1844" s="2" t="s">
        <v>1843</v>
      </c>
      <c r="C1844">
        <f t="shared" si="335"/>
        <v>53436.21</v>
      </c>
      <c r="D1844">
        <f t="shared" si="336"/>
        <v>2023</v>
      </c>
      <c r="E1844">
        <f t="shared" si="337"/>
        <v>5</v>
      </c>
      <c r="F1844" t="str">
        <f t="shared" si="339"/>
        <v>May</v>
      </c>
      <c r="G1844">
        <f t="shared" si="338"/>
        <v>19</v>
      </c>
      <c r="H1844" s="7">
        <f t="shared" si="340"/>
        <v>-0.54956589709946846</v>
      </c>
      <c r="I1844" s="9">
        <f t="shared" si="341"/>
        <v>-5.5108156609297056E-3</v>
      </c>
      <c r="J1844" s="9">
        <f t="shared" si="342"/>
        <v>53855.657142857148</v>
      </c>
      <c r="K1844" s="9">
        <f t="shared" si="345"/>
        <v>54459.405333333336</v>
      </c>
      <c r="L1844" s="9">
        <f t="shared" si="344"/>
        <v>56063.653888888897</v>
      </c>
      <c r="M1844" s="9">
        <f t="shared" si="343"/>
        <v>5.8391414631153203E-3</v>
      </c>
      <c r="N1844" s="9">
        <f t="shared" si="346"/>
        <v>7.4509363810675525E-3</v>
      </c>
    </row>
    <row r="1845" spans="1:14" x14ac:dyDescent="0.35">
      <c r="A1845" s="1">
        <v>45068</v>
      </c>
      <c r="B1845" s="2" t="s">
        <v>1844</v>
      </c>
      <c r="C1845">
        <f t="shared" si="335"/>
        <v>53786.74</v>
      </c>
      <c r="D1845">
        <f t="shared" si="336"/>
        <v>2023</v>
      </c>
      <c r="E1845">
        <f t="shared" si="337"/>
        <v>5</v>
      </c>
      <c r="F1845" t="str">
        <f t="shared" si="339"/>
        <v>May</v>
      </c>
      <c r="G1845">
        <f t="shared" si="338"/>
        <v>22</v>
      </c>
      <c r="H1845" s="7">
        <f t="shared" si="340"/>
        <v>0.65597840864836565</v>
      </c>
      <c r="I1845" s="9">
        <f t="shared" si="341"/>
        <v>6.5383623332048585E-3</v>
      </c>
      <c r="J1845" s="9">
        <f t="shared" si="342"/>
        <v>53818.015714285713</v>
      </c>
      <c r="K1845" s="9">
        <f t="shared" si="345"/>
        <v>54375.698333333334</v>
      </c>
      <c r="L1845" s="9">
        <f t="shared" si="344"/>
        <v>56050.202777777791</v>
      </c>
      <c r="M1845" s="9">
        <f t="shared" si="343"/>
        <v>6.0807951889451884E-3</v>
      </c>
      <c r="N1845" s="9">
        <f t="shared" si="346"/>
        <v>7.4945410199235771E-3</v>
      </c>
    </row>
    <row r="1846" spans="1:14" x14ac:dyDescent="0.35">
      <c r="A1846" s="1">
        <v>45069</v>
      </c>
      <c r="B1846" s="2" t="s">
        <v>1845</v>
      </c>
      <c r="C1846">
        <f t="shared" si="335"/>
        <v>53533.54</v>
      </c>
      <c r="D1846">
        <f t="shared" si="336"/>
        <v>2023</v>
      </c>
      <c r="E1846">
        <f t="shared" si="337"/>
        <v>5</v>
      </c>
      <c r="F1846" t="str">
        <f t="shared" si="339"/>
        <v>May</v>
      </c>
      <c r="G1846">
        <f t="shared" si="338"/>
        <v>23</v>
      </c>
      <c r="H1846" s="7">
        <f t="shared" si="340"/>
        <v>-0.47074799476599083</v>
      </c>
      <c r="I1846" s="9">
        <f t="shared" si="341"/>
        <v>-4.7185950277851213E-3</v>
      </c>
      <c r="J1846" s="9">
        <f t="shared" si="342"/>
        <v>53802.937142857139</v>
      </c>
      <c r="K1846" s="9">
        <f t="shared" si="345"/>
        <v>54285.38966666667</v>
      </c>
      <c r="L1846" s="9">
        <f t="shared" si="344"/>
        <v>56040.224000000009</v>
      </c>
      <c r="M1846" s="9">
        <f t="shared" si="343"/>
        <v>5.6076567302947543E-3</v>
      </c>
      <c r="N1846" s="9">
        <f t="shared" si="346"/>
        <v>7.5162859254581356E-3</v>
      </c>
    </row>
    <row r="1847" spans="1:14" x14ac:dyDescent="0.35">
      <c r="A1847" s="1">
        <v>45070</v>
      </c>
      <c r="B1847" s="2" t="s">
        <v>1846</v>
      </c>
      <c r="C1847">
        <f t="shared" si="335"/>
        <v>53485.59</v>
      </c>
      <c r="D1847">
        <f t="shared" si="336"/>
        <v>2023</v>
      </c>
      <c r="E1847">
        <f t="shared" si="337"/>
        <v>5</v>
      </c>
      <c r="F1847" t="str">
        <f t="shared" si="339"/>
        <v>May</v>
      </c>
      <c r="G1847">
        <f t="shared" si="338"/>
        <v>24</v>
      </c>
      <c r="H1847" s="7">
        <f t="shared" si="340"/>
        <v>-8.9570015358603899E-2</v>
      </c>
      <c r="I1847" s="9">
        <f t="shared" si="341"/>
        <v>-8.9610153266342059E-4</v>
      </c>
      <c r="J1847" s="9">
        <f t="shared" si="342"/>
        <v>53741.571428571428</v>
      </c>
      <c r="K1847" s="9">
        <f t="shared" si="345"/>
        <v>54205.636000000013</v>
      </c>
      <c r="L1847" s="9">
        <f t="shared" si="344"/>
        <v>56029.084444444452</v>
      </c>
      <c r="M1847" s="9">
        <f t="shared" si="343"/>
        <v>5.0750861995456564E-3</v>
      </c>
      <c r="N1847" s="9">
        <f t="shared" si="346"/>
        <v>7.460828788160262E-3</v>
      </c>
    </row>
    <row r="1848" spans="1:14" x14ac:dyDescent="0.35">
      <c r="A1848" s="1">
        <v>45071</v>
      </c>
      <c r="B1848" s="2" t="s">
        <v>1847</v>
      </c>
      <c r="C1848">
        <f t="shared" si="335"/>
        <v>53653.38</v>
      </c>
      <c r="D1848">
        <f t="shared" si="336"/>
        <v>2023</v>
      </c>
      <c r="E1848">
        <f t="shared" si="337"/>
        <v>5</v>
      </c>
      <c r="F1848" t="str">
        <f t="shared" si="339"/>
        <v>May</v>
      </c>
      <c r="G1848">
        <f t="shared" si="338"/>
        <v>25</v>
      </c>
      <c r="H1848" s="7">
        <f t="shared" si="340"/>
        <v>0.31371066487254023</v>
      </c>
      <c r="I1848" s="9">
        <f t="shared" si="341"/>
        <v>3.1321961967234061E-3</v>
      </c>
      <c r="J1848" s="9">
        <f t="shared" si="342"/>
        <v>53680.858571428573</v>
      </c>
      <c r="K1848" s="9">
        <f t="shared" si="345"/>
        <v>54127.649666666672</v>
      </c>
      <c r="L1848" s="9">
        <f t="shared" si="344"/>
        <v>56020.526888888897</v>
      </c>
      <c r="M1848" s="9">
        <f t="shared" si="343"/>
        <v>5.0902004697771118E-3</v>
      </c>
      <c r="N1848" s="9">
        <f t="shared" si="346"/>
        <v>7.4809383745167704E-3</v>
      </c>
    </row>
    <row r="1849" spans="1:14" x14ac:dyDescent="0.35">
      <c r="A1849" s="1">
        <v>45072</v>
      </c>
      <c r="B1849" s="2" t="s">
        <v>1848</v>
      </c>
      <c r="C1849">
        <f t="shared" si="335"/>
        <v>53271.02</v>
      </c>
      <c r="D1849">
        <f t="shared" si="336"/>
        <v>2023</v>
      </c>
      <c r="E1849">
        <f t="shared" si="337"/>
        <v>5</v>
      </c>
      <c r="F1849" t="str">
        <f t="shared" si="339"/>
        <v>May</v>
      </c>
      <c r="G1849">
        <f t="shared" si="338"/>
        <v>26</v>
      </c>
      <c r="H1849" s="7">
        <f t="shared" si="340"/>
        <v>-0.71264848551945958</v>
      </c>
      <c r="I1849" s="9">
        <f t="shared" si="341"/>
        <v>-7.1519995406676218E-3</v>
      </c>
      <c r="J1849" s="9">
        <f t="shared" si="342"/>
        <v>53556.854285714282</v>
      </c>
      <c r="K1849" s="9">
        <f t="shared" si="345"/>
        <v>54053.890666666673</v>
      </c>
      <c r="L1849" s="9">
        <f t="shared" si="344"/>
        <v>56009.413333333345</v>
      </c>
      <c r="M1849" s="9">
        <f t="shared" si="343"/>
        <v>5.4302463362031466E-3</v>
      </c>
      <c r="N1849" s="9">
        <f t="shared" si="346"/>
        <v>7.4189396355478516E-3</v>
      </c>
    </row>
    <row r="1850" spans="1:14" x14ac:dyDescent="0.35">
      <c r="A1850" s="1">
        <v>45075</v>
      </c>
      <c r="B1850" s="2" t="s">
        <v>1849</v>
      </c>
      <c r="C1850">
        <f t="shared" si="335"/>
        <v>53222.89</v>
      </c>
      <c r="D1850">
        <f t="shared" si="336"/>
        <v>2023</v>
      </c>
      <c r="E1850">
        <f t="shared" si="337"/>
        <v>5</v>
      </c>
      <c r="F1850" t="str">
        <f t="shared" si="339"/>
        <v>May</v>
      </c>
      <c r="G1850">
        <f t="shared" si="338"/>
        <v>29</v>
      </c>
      <c r="H1850" s="7">
        <f t="shared" si="340"/>
        <v>-9.0349311877259697E-2</v>
      </c>
      <c r="I1850" s="9">
        <f t="shared" si="341"/>
        <v>-9.0390151468754392E-4</v>
      </c>
      <c r="J1850" s="9">
        <f t="shared" si="342"/>
        <v>53484.195714285714</v>
      </c>
      <c r="K1850" s="9">
        <f t="shared" si="345"/>
        <v>53971.600999999995</v>
      </c>
      <c r="L1850" s="9">
        <f t="shared" si="344"/>
        <v>55987.100444444455</v>
      </c>
      <c r="M1850" s="9">
        <f t="shared" si="343"/>
        <v>4.9167038378635404E-3</v>
      </c>
      <c r="N1850" s="9">
        <f t="shared" si="346"/>
        <v>7.357169263229239E-3</v>
      </c>
    </row>
    <row r="1851" spans="1:14" x14ac:dyDescent="0.35">
      <c r="A1851" s="1">
        <v>45076</v>
      </c>
      <c r="B1851" s="2" t="s">
        <v>1850</v>
      </c>
      <c r="C1851">
        <f t="shared" si="335"/>
        <v>52165.47</v>
      </c>
      <c r="D1851">
        <f t="shared" si="336"/>
        <v>2023</v>
      </c>
      <c r="E1851">
        <f t="shared" si="337"/>
        <v>5</v>
      </c>
      <c r="F1851" t="str">
        <f t="shared" si="339"/>
        <v>May</v>
      </c>
      <c r="G1851">
        <f t="shared" si="338"/>
        <v>30</v>
      </c>
      <c r="H1851" s="7">
        <f t="shared" si="340"/>
        <v>-1.9867767421122722</v>
      </c>
      <c r="I1851" s="9">
        <f t="shared" si="341"/>
        <v>-2.0067785216979432E-2</v>
      </c>
      <c r="J1851" s="9">
        <f t="shared" si="342"/>
        <v>53302.661428571431</v>
      </c>
      <c r="K1851" s="9">
        <f t="shared" si="345"/>
        <v>53870.629333333331</v>
      </c>
      <c r="L1851" s="9">
        <f t="shared" si="344"/>
        <v>55949.784000000007</v>
      </c>
      <c r="M1851" s="9">
        <f t="shared" si="343"/>
        <v>8.6367592158848681E-3</v>
      </c>
      <c r="N1851" s="9">
        <f t="shared" si="346"/>
        <v>7.9965663467536953E-3</v>
      </c>
    </row>
    <row r="1852" spans="1:14" x14ac:dyDescent="0.35">
      <c r="A1852" s="1">
        <v>45077</v>
      </c>
      <c r="B1852" s="2" t="s">
        <v>1851</v>
      </c>
      <c r="C1852">
        <f t="shared" si="335"/>
        <v>51959.3</v>
      </c>
      <c r="D1852">
        <f t="shared" si="336"/>
        <v>2023</v>
      </c>
      <c r="E1852">
        <f t="shared" si="337"/>
        <v>5</v>
      </c>
      <c r="F1852" t="str">
        <f t="shared" si="339"/>
        <v>May</v>
      </c>
      <c r="G1852">
        <f t="shared" si="338"/>
        <v>31</v>
      </c>
      <c r="H1852" s="7">
        <f t="shared" si="340"/>
        <v>-0.39522312364864776</v>
      </c>
      <c r="I1852" s="9">
        <f t="shared" si="341"/>
        <v>-3.960061941674628E-3</v>
      </c>
      <c r="J1852" s="9">
        <f t="shared" si="342"/>
        <v>53041.598571428571</v>
      </c>
      <c r="K1852" s="9">
        <f t="shared" si="345"/>
        <v>53760.606666666659</v>
      </c>
      <c r="L1852" s="9">
        <f t="shared" si="344"/>
        <v>55909.143222222228</v>
      </c>
      <c r="M1852" s="9">
        <f t="shared" si="343"/>
        <v>7.4448601567345249E-3</v>
      </c>
      <c r="N1852" s="9">
        <f t="shared" si="346"/>
        <v>7.983715592298329E-3</v>
      </c>
    </row>
    <row r="1853" spans="1:14" x14ac:dyDescent="0.35">
      <c r="A1853" s="1">
        <v>45078</v>
      </c>
      <c r="B1853" s="2" t="s">
        <v>1852</v>
      </c>
      <c r="C1853">
        <f t="shared" si="335"/>
        <v>52202.95</v>
      </c>
      <c r="D1853">
        <f t="shared" si="336"/>
        <v>2023</v>
      </c>
      <c r="E1853">
        <f t="shared" si="337"/>
        <v>6</v>
      </c>
      <c r="F1853" t="str">
        <f t="shared" si="339"/>
        <v>June</v>
      </c>
      <c r="G1853">
        <f t="shared" si="338"/>
        <v>1</v>
      </c>
      <c r="H1853" s="7">
        <f t="shared" si="340"/>
        <v>0.46892471607584046</v>
      </c>
      <c r="I1853" s="9">
        <f t="shared" si="341"/>
        <v>4.6782868915428363E-3</v>
      </c>
      <c r="J1853" s="9">
        <f t="shared" si="342"/>
        <v>52851.514285714286</v>
      </c>
      <c r="K1853" s="9">
        <f t="shared" si="345"/>
        <v>53679.757999999994</v>
      </c>
      <c r="L1853" s="9">
        <f t="shared" si="344"/>
        <v>55864.918111111117</v>
      </c>
      <c r="M1853" s="9">
        <f t="shared" si="343"/>
        <v>8.2902218977939524E-3</v>
      </c>
      <c r="N1853" s="9">
        <f t="shared" si="346"/>
        <v>7.8693904961136176E-3</v>
      </c>
    </row>
    <row r="1854" spans="1:14" x14ac:dyDescent="0.35">
      <c r="A1854" s="1">
        <v>45079</v>
      </c>
      <c r="B1854" s="2" t="s">
        <v>1853</v>
      </c>
      <c r="C1854">
        <f t="shared" si="335"/>
        <v>51669.94</v>
      </c>
      <c r="D1854">
        <f t="shared" si="336"/>
        <v>2023</v>
      </c>
      <c r="E1854">
        <f t="shared" si="337"/>
        <v>6</v>
      </c>
      <c r="F1854" t="str">
        <f t="shared" si="339"/>
        <v>June</v>
      </c>
      <c r="G1854">
        <f t="shared" si="338"/>
        <v>2</v>
      </c>
      <c r="H1854" s="7">
        <f t="shared" si="340"/>
        <v>-1.0210342518957163</v>
      </c>
      <c r="I1854" s="9">
        <f t="shared" si="341"/>
        <v>-1.026282561871843E-2</v>
      </c>
      <c r="J1854" s="9">
        <f t="shared" si="342"/>
        <v>52592.135714285716</v>
      </c>
      <c r="K1854" s="9">
        <f t="shared" si="345"/>
        <v>53584.518999999993</v>
      </c>
      <c r="L1854" s="9">
        <f t="shared" si="344"/>
        <v>55810.83166666668</v>
      </c>
      <c r="M1854" s="9">
        <f t="shared" si="343"/>
        <v>8.5342172890679677E-3</v>
      </c>
      <c r="N1854" s="9">
        <f t="shared" si="346"/>
        <v>8.0300380315184265E-3</v>
      </c>
    </row>
    <row r="1855" spans="1:14" x14ac:dyDescent="0.35">
      <c r="A1855" s="1">
        <v>45082</v>
      </c>
      <c r="B1855" s="2" t="s">
        <v>1854</v>
      </c>
      <c r="C1855">
        <f t="shared" si="335"/>
        <v>51264.06</v>
      </c>
      <c r="D1855">
        <f t="shared" si="336"/>
        <v>2023</v>
      </c>
      <c r="E1855">
        <f t="shared" si="337"/>
        <v>6</v>
      </c>
      <c r="F1855" t="str">
        <f t="shared" si="339"/>
        <v>June</v>
      </c>
      <c r="G1855">
        <f t="shared" si="338"/>
        <v>5</v>
      </c>
      <c r="H1855" s="7">
        <f t="shared" si="340"/>
        <v>-0.7855244267750352</v>
      </c>
      <c r="I1855" s="9">
        <f t="shared" si="341"/>
        <v>-7.8862592258195051E-3</v>
      </c>
      <c r="J1855" s="9">
        <f t="shared" si="342"/>
        <v>52250.804285714286</v>
      </c>
      <c r="K1855" s="9">
        <f t="shared" si="345"/>
        <v>53475.213666666663</v>
      </c>
      <c r="L1855" s="9">
        <f t="shared" si="344"/>
        <v>55757.73</v>
      </c>
      <c r="M1855" s="9">
        <f t="shared" si="343"/>
        <v>7.7815138497128247E-3</v>
      </c>
      <c r="N1855" s="9">
        <f t="shared" si="346"/>
        <v>8.0952976996056473E-3</v>
      </c>
    </row>
    <row r="1856" spans="1:14" x14ac:dyDescent="0.35">
      <c r="A1856" s="1">
        <v>45083</v>
      </c>
      <c r="B1856" s="2" t="s">
        <v>1855</v>
      </c>
      <c r="C1856">
        <f t="shared" si="335"/>
        <v>52736.86</v>
      </c>
      <c r="D1856">
        <f t="shared" si="336"/>
        <v>2023</v>
      </c>
      <c r="E1856">
        <f t="shared" si="337"/>
        <v>6</v>
      </c>
      <c r="F1856" t="str">
        <f t="shared" si="339"/>
        <v>June</v>
      </c>
      <c r="G1856">
        <f t="shared" si="338"/>
        <v>6</v>
      </c>
      <c r="H1856" s="7">
        <f t="shared" si="340"/>
        <v>2.8729679233365499</v>
      </c>
      <c r="I1856" s="9">
        <f t="shared" si="341"/>
        <v>2.8324719942475363E-2</v>
      </c>
      <c r="J1856" s="9">
        <f t="shared" si="342"/>
        <v>52174.495714285709</v>
      </c>
      <c r="K1856" s="9">
        <f t="shared" si="345"/>
        <v>53434.425333333325</v>
      </c>
      <c r="L1856" s="9">
        <f t="shared" si="344"/>
        <v>55718.869777777778</v>
      </c>
      <c r="M1856" s="9">
        <f t="shared" si="343"/>
        <v>1.5255605488021903E-2</v>
      </c>
      <c r="N1856" s="9">
        <f t="shared" si="346"/>
        <v>9.6454621393192094E-3</v>
      </c>
    </row>
    <row r="1857" spans="1:14" x14ac:dyDescent="0.35">
      <c r="A1857" s="1">
        <v>45084</v>
      </c>
      <c r="B1857" s="2" t="s">
        <v>1856</v>
      </c>
      <c r="C1857">
        <f t="shared" si="335"/>
        <v>52444.89</v>
      </c>
      <c r="D1857">
        <f t="shared" si="336"/>
        <v>2023</v>
      </c>
      <c r="E1857">
        <f t="shared" si="337"/>
        <v>6</v>
      </c>
      <c r="F1857" t="str">
        <f t="shared" si="339"/>
        <v>June</v>
      </c>
      <c r="G1857">
        <f t="shared" si="338"/>
        <v>7</v>
      </c>
      <c r="H1857" s="7">
        <f t="shared" si="340"/>
        <v>-0.55363554068255327</v>
      </c>
      <c r="I1857" s="9">
        <f t="shared" si="341"/>
        <v>-5.5517378237102911E-3</v>
      </c>
      <c r="J1857" s="9">
        <f t="shared" si="342"/>
        <v>52063.352857142861</v>
      </c>
      <c r="K1857" s="9">
        <f t="shared" si="345"/>
        <v>53402.283666666663</v>
      </c>
      <c r="L1857" s="9">
        <f t="shared" si="344"/>
        <v>55675.216555555555</v>
      </c>
      <c r="M1857" s="9">
        <f t="shared" si="343"/>
        <v>1.5329366211197046E-2</v>
      </c>
      <c r="N1857" s="9">
        <f t="shared" si="346"/>
        <v>9.5227926029241641E-3</v>
      </c>
    </row>
    <row r="1858" spans="1:14" x14ac:dyDescent="0.35">
      <c r="A1858" s="1">
        <v>45085</v>
      </c>
      <c r="B1858" s="2" t="s">
        <v>1857</v>
      </c>
      <c r="C1858">
        <f t="shared" si="335"/>
        <v>51551.71</v>
      </c>
      <c r="D1858">
        <f t="shared" si="336"/>
        <v>2023</v>
      </c>
      <c r="E1858">
        <f t="shared" si="337"/>
        <v>6</v>
      </c>
      <c r="F1858" t="str">
        <f t="shared" si="339"/>
        <v>June</v>
      </c>
      <c r="G1858">
        <f t="shared" si="338"/>
        <v>8</v>
      </c>
      <c r="H1858" s="7">
        <f t="shared" si="340"/>
        <v>-1.7030829886381691</v>
      </c>
      <c r="I1858" s="9">
        <f t="shared" si="341"/>
        <v>-1.7177522385175573E-2</v>
      </c>
      <c r="J1858" s="9">
        <f t="shared" si="342"/>
        <v>51975.672857142861</v>
      </c>
      <c r="K1858" s="9">
        <f t="shared" si="345"/>
        <v>53345.867999999995</v>
      </c>
      <c r="L1858" s="9">
        <f t="shared" si="344"/>
        <v>55617.1161111111</v>
      </c>
      <c r="M1858" s="9">
        <f t="shared" si="343"/>
        <v>1.4794452813719286E-2</v>
      </c>
      <c r="N1858" s="9">
        <f t="shared" si="346"/>
        <v>9.9855124990115406E-3</v>
      </c>
    </row>
    <row r="1859" spans="1:14" x14ac:dyDescent="0.35">
      <c r="A1859" s="1">
        <v>45086</v>
      </c>
      <c r="B1859" s="2" t="s">
        <v>1858</v>
      </c>
      <c r="C1859">
        <f t="shared" ref="C1859:C1922" si="347">_xlfn.NUMBERVALUE(B1859,".",",")</f>
        <v>52081.11</v>
      </c>
      <c r="D1859">
        <f t="shared" ref="D1859:D1922" si="348">YEAR(A1859)</f>
        <v>2023</v>
      </c>
      <c r="E1859">
        <f t="shared" ref="E1859:E1922" si="349">MONTH(A1859)</f>
        <v>6</v>
      </c>
      <c r="F1859" t="str">
        <f t="shared" si="339"/>
        <v>June</v>
      </c>
      <c r="G1859">
        <f t="shared" ref="G1859:G1922" si="350">DAY(A1859)</f>
        <v>9</v>
      </c>
      <c r="H1859" s="7">
        <f t="shared" si="340"/>
        <v>1.02693004751928</v>
      </c>
      <c r="I1859" s="9">
        <f t="shared" si="341"/>
        <v>1.0216929446459093E-2</v>
      </c>
      <c r="J1859" s="9">
        <f t="shared" si="342"/>
        <v>51993.07428571429</v>
      </c>
      <c r="K1859" s="9">
        <f t="shared" si="345"/>
        <v>53285.609999999993</v>
      </c>
      <c r="L1859" s="9">
        <f t="shared" si="344"/>
        <v>55568.060888888896</v>
      </c>
      <c r="M1859" s="9">
        <f t="shared" si="343"/>
        <v>1.5390398657412726E-2</v>
      </c>
      <c r="N1859" s="9">
        <f t="shared" si="346"/>
        <v>9.9084080305776364E-3</v>
      </c>
    </row>
    <row r="1860" spans="1:14" x14ac:dyDescent="0.35">
      <c r="A1860" s="1">
        <v>45089</v>
      </c>
      <c r="B1860" s="2" t="s">
        <v>1859</v>
      </c>
      <c r="C1860">
        <f t="shared" si="347"/>
        <v>51430.36</v>
      </c>
      <c r="D1860">
        <f t="shared" si="348"/>
        <v>2023</v>
      </c>
      <c r="E1860">
        <f t="shared" si="349"/>
        <v>6</v>
      </c>
      <c r="F1860" t="str">
        <f t="shared" ref="F1860:F1923" si="351">TEXT(A1860,"mmmm")</f>
        <v>June</v>
      </c>
      <c r="G1860">
        <f t="shared" si="350"/>
        <v>12</v>
      </c>
      <c r="H1860" s="7">
        <f t="shared" ref="H1860:H1923" si="352">((C1860-C1859)/C1859)*100</f>
        <v>-1.2494933383716285</v>
      </c>
      <c r="I1860" s="9">
        <f t="shared" ref="I1860:I1923" si="353">LN(C1860/C1859)</f>
        <v>-1.2573651469355358E-2</v>
      </c>
      <c r="J1860" s="9">
        <f t="shared" si="342"/>
        <v>51882.704285714288</v>
      </c>
      <c r="K1860" s="9">
        <f t="shared" si="345"/>
        <v>53180.812666666672</v>
      </c>
      <c r="L1860" s="9">
        <f t="shared" si="344"/>
        <v>55494.580444444444</v>
      </c>
      <c r="M1860" s="9">
        <f t="shared" si="343"/>
        <v>1.5950026551767259E-2</v>
      </c>
      <c r="N1860" s="9">
        <f t="shared" si="346"/>
        <v>9.7678697509125372E-3</v>
      </c>
    </row>
    <row r="1861" spans="1:14" x14ac:dyDescent="0.35">
      <c r="A1861" s="1">
        <v>45090</v>
      </c>
      <c r="B1861" s="2" t="s">
        <v>1860</v>
      </c>
      <c r="C1861">
        <f t="shared" si="347"/>
        <v>51347.57</v>
      </c>
      <c r="D1861">
        <f t="shared" si="348"/>
        <v>2023</v>
      </c>
      <c r="E1861">
        <f t="shared" si="349"/>
        <v>6</v>
      </c>
      <c r="F1861" t="str">
        <f t="shared" si="351"/>
        <v>June</v>
      </c>
      <c r="G1861">
        <f t="shared" si="350"/>
        <v>13</v>
      </c>
      <c r="H1861" s="7">
        <f t="shared" si="352"/>
        <v>-0.16097495720426783</v>
      </c>
      <c r="I1861" s="9">
        <f t="shared" si="353"/>
        <v>-1.6110466110104736E-3</v>
      </c>
      <c r="J1861" s="9">
        <f t="shared" si="342"/>
        <v>51836.651428571429</v>
      </c>
      <c r="K1861" s="9">
        <f t="shared" si="345"/>
        <v>53085.418000000012</v>
      </c>
      <c r="L1861" s="9">
        <f t="shared" si="344"/>
        <v>55412.744222222231</v>
      </c>
      <c r="M1861" s="9">
        <f t="shared" si="343"/>
        <v>1.5544849492499971E-2</v>
      </c>
      <c r="N1861" s="9">
        <f t="shared" si="346"/>
        <v>9.726995698485591E-3</v>
      </c>
    </row>
    <row r="1862" spans="1:14" x14ac:dyDescent="0.35">
      <c r="A1862" s="1">
        <v>45091</v>
      </c>
      <c r="B1862" s="2" t="s">
        <v>1861</v>
      </c>
      <c r="C1862">
        <f t="shared" si="347"/>
        <v>51569.77</v>
      </c>
      <c r="D1862">
        <f t="shared" si="348"/>
        <v>2023</v>
      </c>
      <c r="E1862">
        <f t="shared" si="349"/>
        <v>6</v>
      </c>
      <c r="F1862" t="str">
        <f t="shared" si="351"/>
        <v>June</v>
      </c>
      <c r="G1862">
        <f t="shared" si="350"/>
        <v>14</v>
      </c>
      <c r="H1862" s="7">
        <f t="shared" si="352"/>
        <v>0.43273712855349744</v>
      </c>
      <c r="I1862" s="9">
        <f t="shared" si="353"/>
        <v>4.318035138705564E-3</v>
      </c>
      <c r="J1862" s="9">
        <f t="shared" si="342"/>
        <v>51880.32428571429</v>
      </c>
      <c r="K1862" s="9">
        <f t="shared" si="345"/>
        <v>53024.682666666675</v>
      </c>
      <c r="L1862" s="9">
        <f t="shared" si="344"/>
        <v>55326.453888888893</v>
      </c>
      <c r="M1862" s="9">
        <f t="shared" si="343"/>
        <v>1.5312586587457083E-2</v>
      </c>
      <c r="N1862" s="9">
        <f t="shared" si="346"/>
        <v>9.4493016019096699E-3</v>
      </c>
    </row>
    <row r="1863" spans="1:14" x14ac:dyDescent="0.35">
      <c r="A1863" s="1">
        <v>45092</v>
      </c>
      <c r="B1863" s="2" t="s">
        <v>1862</v>
      </c>
      <c r="C1863">
        <f t="shared" si="347"/>
        <v>51237.08</v>
      </c>
      <c r="D1863">
        <f t="shared" si="348"/>
        <v>2023</v>
      </c>
      <c r="E1863">
        <f t="shared" si="349"/>
        <v>6</v>
      </c>
      <c r="F1863" t="str">
        <f t="shared" si="351"/>
        <v>June</v>
      </c>
      <c r="G1863">
        <f t="shared" si="350"/>
        <v>15</v>
      </c>
      <c r="H1863" s="7">
        <f t="shared" si="352"/>
        <v>-0.64512601083928645</v>
      </c>
      <c r="I1863" s="9">
        <f t="shared" si="353"/>
        <v>-6.4721594199719686E-3</v>
      </c>
      <c r="J1863" s="9">
        <f t="shared" si="342"/>
        <v>51666.070000000007</v>
      </c>
      <c r="K1863" s="9">
        <f t="shared" si="345"/>
        <v>52934.914000000012</v>
      </c>
      <c r="L1863" s="9">
        <f t="shared" si="344"/>
        <v>55243.048555555564</v>
      </c>
      <c r="M1863" s="9">
        <f t="shared" si="343"/>
        <v>9.4215042449891165E-3</v>
      </c>
      <c r="N1863" s="9">
        <f t="shared" si="346"/>
        <v>9.2538146956330086E-3</v>
      </c>
    </row>
    <row r="1864" spans="1:14" x14ac:dyDescent="0.35">
      <c r="A1864" s="1">
        <v>45096</v>
      </c>
      <c r="B1864" s="2" t="s">
        <v>1863</v>
      </c>
      <c r="C1864">
        <f t="shared" si="347"/>
        <v>51560.47</v>
      </c>
      <c r="D1864">
        <f t="shared" si="348"/>
        <v>2023</v>
      </c>
      <c r="E1864">
        <f t="shared" si="349"/>
        <v>6</v>
      </c>
      <c r="F1864" t="str">
        <f t="shared" si="351"/>
        <v>June</v>
      </c>
      <c r="G1864">
        <f t="shared" si="350"/>
        <v>19</v>
      </c>
      <c r="H1864" s="7">
        <f t="shared" si="352"/>
        <v>0.63116399295197811</v>
      </c>
      <c r="I1864" s="9">
        <f t="shared" si="353"/>
        <v>6.2918049473128894E-3</v>
      </c>
      <c r="J1864" s="9">
        <f t="shared" si="342"/>
        <v>51539.724285714277</v>
      </c>
      <c r="K1864" s="9">
        <f t="shared" si="345"/>
        <v>52848.371333333344</v>
      </c>
      <c r="L1864" s="9">
        <f t="shared" si="344"/>
        <v>55165.627111111127</v>
      </c>
      <c r="M1864" s="9">
        <f t="shared" si="343"/>
        <v>1.0156635781948444E-2</v>
      </c>
      <c r="N1864" s="9">
        <f t="shared" si="346"/>
        <v>9.3077358711945168E-3</v>
      </c>
    </row>
    <row r="1865" spans="1:14" x14ac:dyDescent="0.35">
      <c r="A1865" s="1">
        <v>45097</v>
      </c>
      <c r="B1865" s="2" t="s">
        <v>1864</v>
      </c>
      <c r="C1865">
        <f t="shared" si="347"/>
        <v>51744.160000000003</v>
      </c>
      <c r="D1865">
        <f t="shared" si="348"/>
        <v>2023</v>
      </c>
      <c r="E1865">
        <f t="shared" si="349"/>
        <v>6</v>
      </c>
      <c r="F1865" t="str">
        <f t="shared" si="351"/>
        <v>June</v>
      </c>
      <c r="G1865">
        <f t="shared" si="350"/>
        <v>20</v>
      </c>
      <c r="H1865" s="7">
        <f t="shared" si="352"/>
        <v>0.35626129862664618</v>
      </c>
      <c r="I1865" s="9">
        <f t="shared" si="353"/>
        <v>3.5562819129418277E-3</v>
      </c>
      <c r="J1865" s="9">
        <f t="shared" ref="J1865:J1928" si="354">AVERAGE(C1859:C1865)</f>
        <v>51567.217142857146</v>
      </c>
      <c r="K1865" s="9">
        <f t="shared" si="345"/>
        <v>52768.787666666678</v>
      </c>
      <c r="L1865" s="9">
        <f t="shared" si="344"/>
        <v>55088.754666666689</v>
      </c>
      <c r="M1865" s="9">
        <f t="shared" si="343"/>
        <v>7.9147810275076967E-3</v>
      </c>
      <c r="N1865" s="9">
        <f t="shared" si="346"/>
        <v>9.3540383165434324E-3</v>
      </c>
    </row>
    <row r="1866" spans="1:14" x14ac:dyDescent="0.35">
      <c r="A1866" s="1">
        <v>45098</v>
      </c>
      <c r="B1866" s="2" t="s">
        <v>1865</v>
      </c>
      <c r="C1866">
        <f t="shared" si="347"/>
        <v>51598.1</v>
      </c>
      <c r="D1866">
        <f t="shared" si="348"/>
        <v>2023</v>
      </c>
      <c r="E1866">
        <f t="shared" si="349"/>
        <v>6</v>
      </c>
      <c r="F1866" t="str">
        <f t="shared" si="351"/>
        <v>June</v>
      </c>
      <c r="G1866">
        <f t="shared" si="350"/>
        <v>21</v>
      </c>
      <c r="H1866" s="7">
        <f t="shared" si="352"/>
        <v>-0.28227340051515948</v>
      </c>
      <c r="I1866" s="9">
        <f t="shared" si="353"/>
        <v>-2.8267254317099403E-3</v>
      </c>
      <c r="J1866" s="9">
        <f t="shared" si="354"/>
        <v>51498.21571428571</v>
      </c>
      <c r="K1866" s="9">
        <f t="shared" si="345"/>
        <v>52675.801000000007</v>
      </c>
      <c r="L1866" s="9">
        <f t="shared" si="344"/>
        <v>55007.68700000002</v>
      </c>
      <c r="M1866" s="9">
        <f t="shared" ref="M1866:M1929" si="355">STDEV(I1860:I1866)</f>
        <v>6.6963750223994582E-3</v>
      </c>
      <c r="N1866" s="9">
        <f t="shared" si="346"/>
        <v>9.2821296940137719E-3</v>
      </c>
    </row>
    <row r="1867" spans="1:14" x14ac:dyDescent="0.35">
      <c r="A1867" s="1">
        <v>45099</v>
      </c>
      <c r="B1867" s="2" t="s">
        <v>1866</v>
      </c>
      <c r="C1867">
        <f t="shared" si="347"/>
        <v>51187.99</v>
      </c>
      <c r="D1867">
        <f t="shared" si="348"/>
        <v>2023</v>
      </c>
      <c r="E1867">
        <f t="shared" si="349"/>
        <v>6</v>
      </c>
      <c r="F1867" t="str">
        <f t="shared" si="351"/>
        <v>June</v>
      </c>
      <c r="G1867">
        <f t="shared" si="350"/>
        <v>22</v>
      </c>
      <c r="H1867" s="7">
        <f t="shared" si="352"/>
        <v>-0.79481608818929506</v>
      </c>
      <c r="I1867" s="9">
        <f t="shared" si="353"/>
        <v>-7.9799158871117857E-3</v>
      </c>
      <c r="J1867" s="9">
        <f t="shared" si="354"/>
        <v>51463.591428571424</v>
      </c>
      <c r="K1867" s="9">
        <f t="shared" si="345"/>
        <v>52589.818333333344</v>
      </c>
      <c r="L1867" s="9">
        <f t="shared" si="344"/>
        <v>54923.030555555575</v>
      </c>
      <c r="M1867" s="9">
        <f t="shared" si="355"/>
        <v>5.5354234483421345E-3</v>
      </c>
      <c r="N1867" s="9">
        <f t="shared" si="346"/>
        <v>9.1774745262549213E-3</v>
      </c>
    </row>
    <row r="1868" spans="1:14" x14ac:dyDescent="0.35">
      <c r="A1868" s="1">
        <v>45100</v>
      </c>
      <c r="B1868" s="2" t="s">
        <v>1867</v>
      </c>
      <c r="C1868">
        <f t="shared" si="347"/>
        <v>50434.39</v>
      </c>
      <c r="D1868">
        <f t="shared" si="348"/>
        <v>2023</v>
      </c>
      <c r="E1868">
        <f t="shared" si="349"/>
        <v>6</v>
      </c>
      <c r="F1868" t="str">
        <f t="shared" si="351"/>
        <v>June</v>
      </c>
      <c r="G1868">
        <f t="shared" si="350"/>
        <v>23</v>
      </c>
      <c r="H1868" s="7">
        <f t="shared" si="352"/>
        <v>-1.4722203391850286</v>
      </c>
      <c r="I1868" s="9">
        <f t="shared" si="353"/>
        <v>-1.4831650558840491E-2</v>
      </c>
      <c r="J1868" s="9">
        <f t="shared" si="354"/>
        <v>51333.137142857144</v>
      </c>
      <c r="K1868" s="9">
        <f t="shared" si="345"/>
        <v>52469.290333333338</v>
      </c>
      <c r="L1868" s="9">
        <f t="shared" si="344"/>
        <v>54826.716222222232</v>
      </c>
      <c r="M1868" s="9">
        <f t="shared" si="355"/>
        <v>7.7289031942736489E-3</v>
      </c>
      <c r="N1868" s="9">
        <f t="shared" si="346"/>
        <v>9.3877799258049021E-3</v>
      </c>
    </row>
    <row r="1869" spans="1:14" x14ac:dyDescent="0.35">
      <c r="A1869" s="1">
        <v>45103</v>
      </c>
      <c r="B1869" s="2" t="s">
        <v>1868</v>
      </c>
      <c r="C1869">
        <f t="shared" si="347"/>
        <v>51037.69</v>
      </c>
      <c r="D1869">
        <f t="shared" si="348"/>
        <v>2023</v>
      </c>
      <c r="E1869">
        <f t="shared" si="349"/>
        <v>6</v>
      </c>
      <c r="F1869" t="str">
        <f t="shared" si="351"/>
        <v>June</v>
      </c>
      <c r="G1869">
        <f t="shared" si="350"/>
        <v>26</v>
      </c>
      <c r="H1869" s="7">
        <f t="shared" si="352"/>
        <v>1.1962075877194172</v>
      </c>
      <c r="I1869" s="9">
        <f t="shared" si="353"/>
        <v>1.1891095733439733E-2</v>
      </c>
      <c r="J1869" s="9">
        <f t="shared" si="354"/>
        <v>51257.125714285714</v>
      </c>
      <c r="K1869" s="9">
        <f t="shared" si="345"/>
        <v>52382.577000000012</v>
      </c>
      <c r="L1869" s="9">
        <f t="shared" si="344"/>
        <v>54732.192777777796</v>
      </c>
      <c r="M1869" s="9">
        <f t="shared" si="355"/>
        <v>9.2358186324199079E-3</v>
      </c>
      <c r="N1869" s="9">
        <f t="shared" si="346"/>
        <v>9.6780993766906378E-3</v>
      </c>
    </row>
    <row r="1870" spans="1:14" x14ac:dyDescent="0.35">
      <c r="A1870" s="1">
        <v>45104</v>
      </c>
      <c r="B1870" s="2" t="s">
        <v>1869</v>
      </c>
      <c r="C1870">
        <f t="shared" si="347"/>
        <v>50806.06</v>
      </c>
      <c r="D1870">
        <f t="shared" si="348"/>
        <v>2023</v>
      </c>
      <c r="E1870">
        <f t="shared" si="349"/>
        <v>6</v>
      </c>
      <c r="F1870" t="str">
        <f t="shared" si="351"/>
        <v>June</v>
      </c>
      <c r="G1870">
        <f t="shared" si="350"/>
        <v>27</v>
      </c>
      <c r="H1870" s="7">
        <f t="shared" si="352"/>
        <v>-0.45384107313635208</v>
      </c>
      <c r="I1870" s="9">
        <f t="shared" si="353"/>
        <v>-4.5487405832696391E-3</v>
      </c>
      <c r="J1870" s="9">
        <f t="shared" si="354"/>
        <v>51195.551428571423</v>
      </c>
      <c r="K1870" s="9">
        <f t="shared" si="345"/>
        <v>52278.940666666669</v>
      </c>
      <c r="L1870" s="9">
        <f t="shared" si="344"/>
        <v>54638.677111111123</v>
      </c>
      <c r="M1870" s="9">
        <f t="shared" si="355"/>
        <v>9.0900611928430384E-3</v>
      </c>
      <c r="N1870" s="9">
        <f t="shared" si="346"/>
        <v>9.6050054424899993E-3</v>
      </c>
    </row>
    <row r="1871" spans="1:14" x14ac:dyDescent="0.35">
      <c r="A1871" s="1">
        <v>45105</v>
      </c>
      <c r="B1871" s="2" t="s">
        <v>1870</v>
      </c>
      <c r="C1871">
        <f t="shared" si="347"/>
        <v>51709.16</v>
      </c>
      <c r="D1871">
        <f t="shared" si="348"/>
        <v>2023</v>
      </c>
      <c r="E1871">
        <f t="shared" si="349"/>
        <v>6</v>
      </c>
      <c r="F1871" t="str">
        <f t="shared" si="351"/>
        <v>June</v>
      </c>
      <c r="G1871">
        <f t="shared" si="350"/>
        <v>28</v>
      </c>
      <c r="H1871" s="7">
        <f t="shared" si="352"/>
        <v>1.7775438599253828</v>
      </c>
      <c r="I1871" s="9">
        <f t="shared" si="353"/>
        <v>1.7619303027668017E-2</v>
      </c>
      <c r="J1871" s="9">
        <f t="shared" si="354"/>
        <v>51216.792857142864</v>
      </c>
      <c r="K1871" s="9">
        <f t="shared" si="345"/>
        <v>52199.966999999997</v>
      </c>
      <c r="L1871" s="9">
        <f t="shared" si="344"/>
        <v>54558.686555555563</v>
      </c>
      <c r="M1871" s="9">
        <f t="shared" si="355"/>
        <v>1.1369834699465255E-2</v>
      </c>
      <c r="N1871" s="9">
        <f t="shared" si="346"/>
        <v>1.0217339385282787E-2</v>
      </c>
    </row>
    <row r="1872" spans="1:14" x14ac:dyDescent="0.35">
      <c r="A1872" s="1">
        <v>45106</v>
      </c>
      <c r="B1872" s="2" t="s">
        <v>1871</v>
      </c>
      <c r="C1872">
        <f t="shared" si="347"/>
        <v>52234.55</v>
      </c>
      <c r="D1872">
        <f t="shared" si="348"/>
        <v>2023</v>
      </c>
      <c r="E1872">
        <f t="shared" si="349"/>
        <v>6</v>
      </c>
      <c r="F1872" t="str">
        <f t="shared" si="351"/>
        <v>June</v>
      </c>
      <c r="G1872">
        <f t="shared" si="350"/>
        <v>29</v>
      </c>
      <c r="H1872" s="7">
        <f t="shared" si="352"/>
        <v>1.0160482204700279</v>
      </c>
      <c r="I1872" s="9">
        <f t="shared" si="353"/>
        <v>1.0109211502949713E-2</v>
      </c>
      <c r="J1872" s="9">
        <f t="shared" si="354"/>
        <v>51286.848571428571</v>
      </c>
      <c r="K1872" s="9">
        <f t="shared" si="345"/>
        <v>52136.48366666666</v>
      </c>
      <c r="L1872" s="9">
        <f t="shared" si="344"/>
        <v>54484.596666666679</v>
      </c>
      <c r="M1872" s="9">
        <f t="shared" si="355"/>
        <v>1.1927992176171109E-2</v>
      </c>
      <c r="N1872" s="9">
        <f t="shared" si="346"/>
        <v>1.0426285779895782E-2</v>
      </c>
    </row>
    <row r="1873" spans="1:14" x14ac:dyDescent="0.35">
      <c r="A1873" s="1">
        <v>45107</v>
      </c>
      <c r="B1873" s="2" t="s">
        <v>1872</v>
      </c>
      <c r="C1873">
        <f t="shared" si="347"/>
        <v>52079.22</v>
      </c>
      <c r="D1873">
        <f t="shared" si="348"/>
        <v>2023</v>
      </c>
      <c r="E1873">
        <f t="shared" si="349"/>
        <v>6</v>
      </c>
      <c r="F1873" t="str">
        <f t="shared" si="351"/>
        <v>June</v>
      </c>
      <c r="G1873">
        <f t="shared" si="350"/>
        <v>30</v>
      </c>
      <c r="H1873" s="7">
        <f t="shared" si="352"/>
        <v>-0.29737022717722605</v>
      </c>
      <c r="I1873" s="9">
        <f t="shared" si="353"/>
        <v>-2.9781325093578264E-3</v>
      </c>
      <c r="J1873" s="9">
        <f t="shared" si="354"/>
        <v>51355.580000000009</v>
      </c>
      <c r="K1873" s="9">
        <f t="shared" si="345"/>
        <v>52081.407666666659</v>
      </c>
      <c r="L1873" s="9">
        <f t="shared" si="344"/>
        <v>54416.039666666671</v>
      </c>
      <c r="M1873" s="9">
        <f t="shared" si="355"/>
        <v>1.1936956977344856E-2</v>
      </c>
      <c r="N1873" s="9">
        <f t="shared" si="346"/>
        <v>1.0363261479532983E-2</v>
      </c>
    </row>
    <row r="1874" spans="1:14" x14ac:dyDescent="0.35">
      <c r="A1874" s="1">
        <v>45110</v>
      </c>
      <c r="B1874" s="2" t="s">
        <v>1873</v>
      </c>
      <c r="C1874">
        <f t="shared" si="347"/>
        <v>50663.94</v>
      </c>
      <c r="D1874">
        <f t="shared" si="348"/>
        <v>2023</v>
      </c>
      <c r="E1874">
        <f t="shared" si="349"/>
        <v>7</v>
      </c>
      <c r="F1874" t="str">
        <f t="shared" si="351"/>
        <v>July</v>
      </c>
      <c r="G1874">
        <f t="shared" si="350"/>
        <v>3</v>
      </c>
      <c r="H1874" s="7">
        <f t="shared" si="352"/>
        <v>-2.7175522214042354</v>
      </c>
      <c r="I1874" s="9">
        <f t="shared" si="353"/>
        <v>-2.7551605889061262E-2</v>
      </c>
      <c r="J1874" s="9">
        <f t="shared" si="354"/>
        <v>51280.715714285725</v>
      </c>
      <c r="K1874" s="9">
        <f t="shared" si="345"/>
        <v>51988.998666666659</v>
      </c>
      <c r="L1874" s="9">
        <f t="shared" si="344"/>
        <v>54330.024555555552</v>
      </c>
      <c r="M1874" s="9">
        <f t="shared" si="355"/>
        <v>1.6059968279989064E-2</v>
      </c>
      <c r="N1874" s="9">
        <f t="shared" si="346"/>
        <v>1.1418607359960527E-2</v>
      </c>
    </row>
    <row r="1875" spans="1:14" x14ac:dyDescent="0.35">
      <c r="A1875" s="1">
        <v>45111</v>
      </c>
      <c r="B1875" s="2" t="s">
        <v>1874</v>
      </c>
      <c r="C1875">
        <f t="shared" si="347"/>
        <v>51737.56</v>
      </c>
      <c r="D1875">
        <f t="shared" si="348"/>
        <v>2023</v>
      </c>
      <c r="E1875">
        <f t="shared" si="349"/>
        <v>7</v>
      </c>
      <c r="F1875" t="str">
        <f t="shared" si="351"/>
        <v>July</v>
      </c>
      <c r="G1875">
        <f t="shared" si="350"/>
        <v>4</v>
      </c>
      <c r="H1875" s="7">
        <f t="shared" si="352"/>
        <v>2.1191008831922575</v>
      </c>
      <c r="I1875" s="9">
        <f t="shared" si="353"/>
        <v>2.0969601834017432E-2</v>
      </c>
      <c r="J1875" s="9">
        <f t="shared" si="354"/>
        <v>51466.882857142853</v>
      </c>
      <c r="K1875" s="9">
        <f t="shared" si="345"/>
        <v>51920.692666666662</v>
      </c>
      <c r="L1875" s="9">
        <f t="shared" si="344"/>
        <v>54258.373111111105</v>
      </c>
      <c r="M1875" s="9">
        <f t="shared" si="355"/>
        <v>1.6780139969594994E-2</v>
      </c>
      <c r="N1875" s="9">
        <f t="shared" si="346"/>
        <v>1.2066538797352023E-2</v>
      </c>
    </row>
    <row r="1876" spans="1:14" x14ac:dyDescent="0.35">
      <c r="A1876" s="1">
        <v>45112</v>
      </c>
      <c r="B1876" s="2" t="s">
        <v>1875</v>
      </c>
      <c r="C1876">
        <f t="shared" si="347"/>
        <v>51895.12</v>
      </c>
      <c r="D1876">
        <f t="shared" si="348"/>
        <v>2023</v>
      </c>
      <c r="E1876">
        <f t="shared" si="349"/>
        <v>7</v>
      </c>
      <c r="F1876" t="str">
        <f t="shared" si="351"/>
        <v>July</v>
      </c>
      <c r="G1876">
        <f t="shared" si="350"/>
        <v>5</v>
      </c>
      <c r="H1876" s="7">
        <f t="shared" si="352"/>
        <v>0.30453697468532526</v>
      </c>
      <c r="I1876" s="9">
        <f t="shared" si="353"/>
        <v>3.0407420014890922E-3</v>
      </c>
      <c r="J1876" s="9">
        <f t="shared" si="354"/>
        <v>51589.372857142858</v>
      </c>
      <c r="K1876" s="9">
        <f t="shared" si="345"/>
        <v>51866.078666666661</v>
      </c>
      <c r="L1876" s="9">
        <f t="shared" si="344"/>
        <v>54185.967222222222</v>
      </c>
      <c r="M1876" s="9">
        <f t="shared" si="355"/>
        <v>1.6383960676537017E-2</v>
      </c>
      <c r="N1876" s="9">
        <f t="shared" si="346"/>
        <v>1.2073776795695924E-2</v>
      </c>
    </row>
    <row r="1877" spans="1:14" x14ac:dyDescent="0.35">
      <c r="A1877" s="1">
        <v>45113</v>
      </c>
      <c r="B1877" s="2" t="s">
        <v>1876</v>
      </c>
      <c r="C1877">
        <f t="shared" si="347"/>
        <v>51353.98</v>
      </c>
      <c r="D1877">
        <f t="shared" si="348"/>
        <v>2023</v>
      </c>
      <c r="E1877">
        <f t="shared" si="349"/>
        <v>7</v>
      </c>
      <c r="F1877" t="str">
        <f t="shared" si="351"/>
        <v>July</v>
      </c>
      <c r="G1877">
        <f t="shared" si="350"/>
        <v>6</v>
      </c>
      <c r="H1877" s="7">
        <f t="shared" si="352"/>
        <v>-1.0427570068245327</v>
      </c>
      <c r="I1877" s="9">
        <f t="shared" si="353"/>
        <v>-1.0482318102222813E-2</v>
      </c>
      <c r="J1877" s="9">
        <f t="shared" si="354"/>
        <v>51667.647142857139</v>
      </c>
      <c r="K1877" s="9">
        <f t="shared" si="345"/>
        <v>51795.024999999994</v>
      </c>
      <c r="L1877" s="9">
        <f t="shared" si="344"/>
        <v>54113.918444444447</v>
      </c>
      <c r="M1877" s="9">
        <f t="shared" si="355"/>
        <v>1.6946031041993853E-2</v>
      </c>
      <c r="N1877" s="9">
        <f t="shared" si="346"/>
        <v>1.2196175709840553E-2</v>
      </c>
    </row>
    <row r="1878" spans="1:14" x14ac:dyDescent="0.35">
      <c r="A1878" s="1">
        <v>45114</v>
      </c>
      <c r="B1878" s="2" t="s">
        <v>1877</v>
      </c>
      <c r="C1878">
        <f t="shared" si="347"/>
        <v>51690.12</v>
      </c>
      <c r="D1878">
        <f t="shared" si="348"/>
        <v>2023</v>
      </c>
      <c r="E1878">
        <f t="shared" si="349"/>
        <v>7</v>
      </c>
      <c r="F1878" t="str">
        <f t="shared" si="351"/>
        <v>July</v>
      </c>
      <c r="G1878">
        <f t="shared" si="350"/>
        <v>7</v>
      </c>
      <c r="H1878" s="7">
        <f t="shared" si="352"/>
        <v>0.65455491473104788</v>
      </c>
      <c r="I1878" s="9">
        <f t="shared" si="353"/>
        <v>6.5242200636093017E-3</v>
      </c>
      <c r="J1878" s="9">
        <f t="shared" si="354"/>
        <v>51664.927142857145</v>
      </c>
      <c r="K1878" s="9">
        <f t="shared" si="345"/>
        <v>51729.583000000006</v>
      </c>
      <c r="L1878" s="9">
        <f t="shared" si="344"/>
        <v>54043.966666666674</v>
      </c>
      <c r="M1878" s="9">
        <f t="shared" si="355"/>
        <v>1.5660735374920656E-2</v>
      </c>
      <c r="N1878" s="9">
        <f t="shared" si="346"/>
        <v>1.2254798486648778E-2</v>
      </c>
    </row>
    <row r="1879" spans="1:14" x14ac:dyDescent="0.35">
      <c r="A1879" s="1">
        <v>45117</v>
      </c>
      <c r="B1879" s="2" t="s">
        <v>1878</v>
      </c>
      <c r="C1879">
        <f t="shared" si="347"/>
        <v>50697.7</v>
      </c>
      <c r="D1879">
        <f t="shared" si="348"/>
        <v>2023</v>
      </c>
      <c r="E1879">
        <f t="shared" si="349"/>
        <v>7</v>
      </c>
      <c r="F1879" t="str">
        <f t="shared" si="351"/>
        <v>July</v>
      </c>
      <c r="G1879">
        <f t="shared" si="350"/>
        <v>10</v>
      </c>
      <c r="H1879" s="7">
        <f t="shared" si="352"/>
        <v>-1.9199413737093385</v>
      </c>
      <c r="I1879" s="9">
        <f t="shared" si="353"/>
        <v>-1.9386116060863576E-2</v>
      </c>
      <c r="J1879" s="9">
        <f t="shared" si="354"/>
        <v>51445.377142857142</v>
      </c>
      <c r="K1879" s="9">
        <f t="shared" si="345"/>
        <v>51643.805666666674</v>
      </c>
      <c r="L1879" s="9">
        <f t="shared" si="344"/>
        <v>53965.314888888897</v>
      </c>
      <c r="M1879" s="9">
        <f t="shared" si="355"/>
        <v>1.6420472445441217E-2</v>
      </c>
      <c r="N1879" s="9">
        <f t="shared" si="346"/>
        <v>1.265524247586663E-2</v>
      </c>
    </row>
    <row r="1880" spans="1:14" x14ac:dyDescent="0.35">
      <c r="A1880" s="1">
        <v>45118</v>
      </c>
      <c r="B1880" s="2" t="s">
        <v>1879</v>
      </c>
      <c r="C1880">
        <f t="shared" si="347"/>
        <v>51187.35</v>
      </c>
      <c r="D1880">
        <f t="shared" si="348"/>
        <v>2023</v>
      </c>
      <c r="E1880">
        <f t="shared" si="349"/>
        <v>7</v>
      </c>
      <c r="F1880" t="str">
        <f t="shared" si="351"/>
        <v>July</v>
      </c>
      <c r="G1880">
        <f t="shared" si="350"/>
        <v>11</v>
      </c>
      <c r="H1880" s="7">
        <f t="shared" si="352"/>
        <v>0.96582290715358177</v>
      </c>
      <c r="I1880" s="9">
        <f t="shared" si="353"/>
        <v>9.6118865294633309E-3</v>
      </c>
      <c r="J1880" s="9">
        <f t="shared" si="354"/>
        <v>51317.967142857138</v>
      </c>
      <c r="K1880" s="9">
        <f t="shared" si="345"/>
        <v>51575.954333333335</v>
      </c>
      <c r="L1880" s="9">
        <f t="shared" si="344"/>
        <v>53892.829666666679</v>
      </c>
      <c r="M1880" s="9">
        <f t="shared" si="355"/>
        <v>1.7253455343139348E-2</v>
      </c>
      <c r="N1880" s="9">
        <f t="shared" si="346"/>
        <v>1.2821177828101915E-2</v>
      </c>
    </row>
    <row r="1881" spans="1:14" x14ac:dyDescent="0.35">
      <c r="A1881" s="1">
        <v>45119</v>
      </c>
      <c r="B1881" s="2" t="s">
        <v>1880</v>
      </c>
      <c r="C1881">
        <f t="shared" si="347"/>
        <v>51318.65</v>
      </c>
      <c r="D1881">
        <f t="shared" si="348"/>
        <v>2023</v>
      </c>
      <c r="E1881">
        <f t="shared" si="349"/>
        <v>7</v>
      </c>
      <c r="F1881" t="str">
        <f t="shared" si="351"/>
        <v>July</v>
      </c>
      <c r="G1881">
        <f t="shared" si="350"/>
        <v>12</v>
      </c>
      <c r="H1881" s="7">
        <f t="shared" si="352"/>
        <v>0.25650868818175371</v>
      </c>
      <c r="I1881" s="9">
        <f t="shared" si="353"/>
        <v>2.5618026614699653E-3</v>
      </c>
      <c r="J1881" s="9">
        <f t="shared" si="354"/>
        <v>51411.497142857137</v>
      </c>
      <c r="K1881" s="9">
        <f t="shared" si="345"/>
        <v>51547.726999999999</v>
      </c>
      <c r="L1881" s="9">
        <f t="shared" si="344"/>
        <v>53819.414555555573</v>
      </c>
      <c r="M1881" s="9">
        <f t="shared" si="355"/>
        <v>1.3245350633282369E-2</v>
      </c>
      <c r="N1881" s="9">
        <f t="shared" si="346"/>
        <v>1.2335403789171581E-2</v>
      </c>
    </row>
    <row r="1882" spans="1:14" x14ac:dyDescent="0.35">
      <c r="A1882" s="1">
        <v>45120</v>
      </c>
      <c r="B1882" s="2" t="s">
        <v>1881</v>
      </c>
      <c r="C1882">
        <f t="shared" si="347"/>
        <v>51067.78</v>
      </c>
      <c r="D1882">
        <f t="shared" si="348"/>
        <v>2023</v>
      </c>
      <c r="E1882">
        <f t="shared" si="349"/>
        <v>7</v>
      </c>
      <c r="F1882" t="str">
        <f t="shared" si="351"/>
        <v>July</v>
      </c>
      <c r="G1882">
        <f t="shared" si="350"/>
        <v>13</v>
      </c>
      <c r="H1882" s="7">
        <f t="shared" si="352"/>
        <v>-0.48884762167360718</v>
      </c>
      <c r="I1882" s="9">
        <f t="shared" si="353"/>
        <v>-4.900463900224002E-3</v>
      </c>
      <c r="J1882" s="9">
        <f t="shared" si="354"/>
        <v>51315.814285714281</v>
      </c>
      <c r="K1882" s="9">
        <f t="shared" si="345"/>
        <v>51518.009666666687</v>
      </c>
      <c r="L1882" s="9">
        <f t="shared" si="344"/>
        <v>53751.745444444467</v>
      </c>
      <c r="M1882" s="9">
        <f t="shared" si="355"/>
        <v>1.0297430560790541E-2</v>
      </c>
      <c r="N1882" s="9">
        <f t="shared" si="346"/>
        <v>1.2345570634377502E-2</v>
      </c>
    </row>
    <row r="1883" spans="1:14" x14ac:dyDescent="0.35">
      <c r="A1883" s="1">
        <v>45121</v>
      </c>
      <c r="B1883" s="2" t="s">
        <v>1882</v>
      </c>
      <c r="C1883">
        <f t="shared" si="347"/>
        <v>52423.53</v>
      </c>
      <c r="D1883">
        <f t="shared" si="348"/>
        <v>2023</v>
      </c>
      <c r="E1883">
        <f t="shared" si="349"/>
        <v>7</v>
      </c>
      <c r="F1883" t="str">
        <f t="shared" si="351"/>
        <v>July</v>
      </c>
      <c r="G1883">
        <f t="shared" si="350"/>
        <v>14</v>
      </c>
      <c r="H1883" s="7">
        <f t="shared" si="352"/>
        <v>2.6548050453730316</v>
      </c>
      <c r="I1883" s="9">
        <f t="shared" si="353"/>
        <v>2.620176637031912E-2</v>
      </c>
      <c r="J1883" s="9">
        <f t="shared" si="354"/>
        <v>51391.301428571423</v>
      </c>
      <c r="K1883" s="9">
        <f t="shared" si="345"/>
        <v>51525.362333333353</v>
      </c>
      <c r="L1883" s="9">
        <f t="shared" si="344"/>
        <v>53699.67755555558</v>
      </c>
      <c r="M1883" s="9">
        <f t="shared" si="355"/>
        <v>1.4849817234223918E-2</v>
      </c>
      <c r="N1883" s="9">
        <f t="shared" si="346"/>
        <v>1.3253520313189977E-2</v>
      </c>
    </row>
    <row r="1884" spans="1:14" x14ac:dyDescent="0.35">
      <c r="A1884" s="1">
        <v>45124</v>
      </c>
      <c r="B1884" s="2" t="s">
        <v>1883</v>
      </c>
      <c r="C1884">
        <f t="shared" si="347"/>
        <v>52096.04</v>
      </c>
      <c r="D1884">
        <f t="shared" si="348"/>
        <v>2023</v>
      </c>
      <c r="E1884">
        <f t="shared" si="349"/>
        <v>7</v>
      </c>
      <c r="F1884" t="str">
        <f t="shared" si="351"/>
        <v>July</v>
      </c>
      <c r="G1884">
        <f t="shared" si="350"/>
        <v>17</v>
      </c>
      <c r="H1884" s="7">
        <f t="shared" si="352"/>
        <v>-0.62470039694007251</v>
      </c>
      <c r="I1884" s="9">
        <f t="shared" si="353"/>
        <v>-6.2665981445810736E-3</v>
      </c>
      <c r="J1884" s="9">
        <f t="shared" si="354"/>
        <v>51497.31</v>
      </c>
      <c r="K1884" s="9">
        <f t="shared" si="345"/>
        <v>51539.565666666684</v>
      </c>
      <c r="L1884" s="9">
        <f t="shared" ref="L1884:L1947" si="356">AVERAGE(C1795:C1884)</f>
        <v>53651.160777777804</v>
      </c>
      <c r="M1884" s="9">
        <f t="shared" si="355"/>
        <v>1.4362870865429065E-2</v>
      </c>
      <c r="N1884" s="9">
        <f t="shared" si="346"/>
        <v>1.3165141024243317E-2</v>
      </c>
    </row>
    <row r="1885" spans="1:14" x14ac:dyDescent="0.35">
      <c r="A1885" s="1">
        <v>45125</v>
      </c>
      <c r="B1885" s="2" t="s">
        <v>1884</v>
      </c>
      <c r="C1885">
        <f t="shared" si="347"/>
        <v>52146.04</v>
      </c>
      <c r="D1885">
        <f t="shared" si="348"/>
        <v>2023</v>
      </c>
      <c r="E1885">
        <f t="shared" si="349"/>
        <v>7</v>
      </c>
      <c r="F1885" t="str">
        <f t="shared" si="351"/>
        <v>July</v>
      </c>
      <c r="G1885">
        <f t="shared" si="350"/>
        <v>18</v>
      </c>
      <c r="H1885" s="7">
        <f t="shared" si="352"/>
        <v>9.5976584784563279E-2</v>
      </c>
      <c r="I1885" s="9">
        <f t="shared" si="353"/>
        <v>9.5930556708868507E-4</v>
      </c>
      <c r="J1885" s="9">
        <f t="shared" si="354"/>
        <v>51562.441428571423</v>
      </c>
      <c r="K1885" s="9">
        <f t="shared" si="345"/>
        <v>51568.965000000018</v>
      </c>
      <c r="L1885" s="9">
        <f t="shared" si="356"/>
        <v>53607.677888888917</v>
      </c>
      <c r="M1885" s="9">
        <f t="shared" si="355"/>
        <v>1.4227284340548475E-2</v>
      </c>
      <c r="N1885" s="9">
        <f t="shared" si="346"/>
        <v>1.3074828617358897E-2</v>
      </c>
    </row>
    <row r="1886" spans="1:14" x14ac:dyDescent="0.35">
      <c r="A1886" s="1">
        <v>45126</v>
      </c>
      <c r="B1886" s="2" t="s">
        <v>1885</v>
      </c>
      <c r="C1886">
        <f t="shared" si="347"/>
        <v>51999.45</v>
      </c>
      <c r="D1886">
        <f t="shared" si="348"/>
        <v>2023</v>
      </c>
      <c r="E1886">
        <f t="shared" si="349"/>
        <v>7</v>
      </c>
      <c r="F1886" t="str">
        <f t="shared" si="351"/>
        <v>July</v>
      </c>
      <c r="G1886">
        <f t="shared" si="350"/>
        <v>19</v>
      </c>
      <c r="H1886" s="7">
        <f t="shared" si="352"/>
        <v>-0.28111434732149126</v>
      </c>
      <c r="I1886" s="9">
        <f t="shared" si="353"/>
        <v>-2.8151021577223711E-3</v>
      </c>
      <c r="J1886" s="9">
        <f t="shared" si="354"/>
        <v>51748.40571428572</v>
      </c>
      <c r="K1886" s="9">
        <f t="shared" si="345"/>
        <v>51544.384666666687</v>
      </c>
      <c r="L1886" s="9">
        <f t="shared" si="356"/>
        <v>53561.568444444478</v>
      </c>
      <c r="M1886" s="9">
        <f t="shared" si="355"/>
        <v>1.1297430372412718E-2</v>
      </c>
      <c r="N1886" s="9">
        <f t="shared" si="346"/>
        <v>1.1986066798208878E-2</v>
      </c>
    </row>
    <row r="1887" spans="1:14" x14ac:dyDescent="0.35">
      <c r="A1887" s="1">
        <v>45127</v>
      </c>
      <c r="B1887" s="2" t="s">
        <v>1886</v>
      </c>
      <c r="C1887">
        <f t="shared" si="347"/>
        <v>52109.8</v>
      </c>
      <c r="D1887">
        <f t="shared" si="348"/>
        <v>2023</v>
      </c>
      <c r="E1887">
        <f t="shared" si="349"/>
        <v>7</v>
      </c>
      <c r="F1887" t="str">
        <f t="shared" si="351"/>
        <v>July</v>
      </c>
      <c r="G1887">
        <f t="shared" si="350"/>
        <v>20</v>
      </c>
      <c r="H1887" s="7">
        <f t="shared" si="352"/>
        <v>0.21221378303040864</v>
      </c>
      <c r="I1887" s="9">
        <f t="shared" si="353"/>
        <v>2.1198892764175206E-3</v>
      </c>
      <c r="J1887" s="9">
        <f t="shared" si="354"/>
        <v>51880.184285714284</v>
      </c>
      <c r="K1887" s="9">
        <f t="shared" si="345"/>
        <v>51533.215000000004</v>
      </c>
      <c r="L1887" s="9">
        <f t="shared" si="356"/>
        <v>53522.361444444468</v>
      </c>
      <c r="M1887" s="9">
        <f t="shared" si="355"/>
        <v>1.0985957825305471E-2</v>
      </c>
      <c r="N1887" s="9">
        <f t="shared" si="346"/>
        <v>1.1955694547979697E-2</v>
      </c>
    </row>
    <row r="1888" spans="1:14" x14ac:dyDescent="0.35">
      <c r="A1888" s="1">
        <v>45128</v>
      </c>
      <c r="B1888" s="2" t="s">
        <v>1887</v>
      </c>
      <c r="C1888">
        <f t="shared" si="347"/>
        <v>52259.47</v>
      </c>
      <c r="D1888">
        <f t="shared" si="348"/>
        <v>2023</v>
      </c>
      <c r="E1888">
        <f t="shared" si="349"/>
        <v>7</v>
      </c>
      <c r="F1888" t="str">
        <f t="shared" si="351"/>
        <v>July</v>
      </c>
      <c r="G1888">
        <f t="shared" si="350"/>
        <v>21</v>
      </c>
      <c r="H1888" s="7">
        <f t="shared" si="352"/>
        <v>0.28722044605812774</v>
      </c>
      <c r="I1888" s="9">
        <f t="shared" si="353"/>
        <v>2.8680875625143841E-3</v>
      </c>
      <c r="J1888" s="9">
        <f t="shared" si="354"/>
        <v>52014.587142857141</v>
      </c>
      <c r="K1888" s="9">
        <f t="shared" ref="K1888:K1951" si="357">AVERAGE(C1859:C1888)</f>
        <v>51556.807000000008</v>
      </c>
      <c r="L1888" s="9">
        <f t="shared" si="356"/>
        <v>53487.832111111129</v>
      </c>
      <c r="M1888" s="9">
        <f t="shared" si="355"/>
        <v>1.0986615549251826E-2</v>
      </c>
      <c r="N1888" s="9">
        <f t="shared" si="346"/>
        <v>1.1527404759775241E-2</v>
      </c>
    </row>
    <row r="1889" spans="1:14" x14ac:dyDescent="0.35">
      <c r="A1889" s="1">
        <v>45131</v>
      </c>
      <c r="B1889" s="2" t="s">
        <v>1888</v>
      </c>
      <c r="C1889">
        <f t="shared" si="347"/>
        <v>53295.35</v>
      </c>
      <c r="D1889">
        <f t="shared" si="348"/>
        <v>2023</v>
      </c>
      <c r="E1889">
        <f t="shared" si="349"/>
        <v>7</v>
      </c>
      <c r="F1889" t="str">
        <f t="shared" si="351"/>
        <v>July</v>
      </c>
      <c r="G1889">
        <f t="shared" si="350"/>
        <v>24</v>
      </c>
      <c r="H1889" s="7">
        <f t="shared" si="352"/>
        <v>1.9821861951527586</v>
      </c>
      <c r="I1889" s="9">
        <f t="shared" si="353"/>
        <v>1.9627966898379232E-2</v>
      </c>
      <c r="J1889" s="9">
        <f t="shared" si="354"/>
        <v>52332.811428571418</v>
      </c>
      <c r="K1889" s="9">
        <f t="shared" si="357"/>
        <v>51597.281666666669</v>
      </c>
      <c r="L1889" s="9">
        <f t="shared" si="356"/>
        <v>53456.586222222228</v>
      </c>
      <c r="M1889" s="9">
        <f t="shared" si="355"/>
        <v>1.2056892712301748E-2</v>
      </c>
      <c r="N1889" s="9">
        <f t="shared" ref="N1889:N1952" si="358">STDEV(I1860:I1889)</f>
        <v>1.1923484277390052E-2</v>
      </c>
    </row>
    <row r="1890" spans="1:14" x14ac:dyDescent="0.35">
      <c r="A1890" s="1">
        <v>45132</v>
      </c>
      <c r="B1890" s="2" t="s">
        <v>1889</v>
      </c>
      <c r="C1890">
        <f t="shared" si="347"/>
        <v>54064.82</v>
      </c>
      <c r="D1890">
        <f t="shared" si="348"/>
        <v>2023</v>
      </c>
      <c r="E1890">
        <f t="shared" si="349"/>
        <v>7</v>
      </c>
      <c r="F1890" t="str">
        <f t="shared" si="351"/>
        <v>July</v>
      </c>
      <c r="G1890">
        <f t="shared" si="350"/>
        <v>25</v>
      </c>
      <c r="H1890" s="7">
        <f t="shared" si="352"/>
        <v>1.4437844952702275</v>
      </c>
      <c r="I1890" s="9">
        <f t="shared" si="353"/>
        <v>1.4334611726421195E-2</v>
      </c>
      <c r="J1890" s="9">
        <f t="shared" si="354"/>
        <v>52567.281428571434</v>
      </c>
      <c r="K1890" s="9">
        <f t="shared" si="357"/>
        <v>51685.097000000002</v>
      </c>
      <c r="L1890" s="9">
        <f t="shared" si="356"/>
        <v>53433.465666666678</v>
      </c>
      <c r="M1890" s="9">
        <f t="shared" si="355"/>
        <v>9.2718698820347337E-3</v>
      </c>
      <c r="N1890" s="9">
        <f t="shared" si="358"/>
        <v>1.1897291527905998E-2</v>
      </c>
    </row>
    <row r="1891" spans="1:14" x14ac:dyDescent="0.35">
      <c r="A1891" s="1">
        <v>45133</v>
      </c>
      <c r="B1891" s="2" t="s">
        <v>1890</v>
      </c>
      <c r="C1891">
        <f t="shared" si="347"/>
        <v>54700.639999999999</v>
      </c>
      <c r="D1891">
        <f t="shared" si="348"/>
        <v>2023</v>
      </c>
      <c r="E1891">
        <f t="shared" si="349"/>
        <v>7</v>
      </c>
      <c r="F1891" t="str">
        <f t="shared" si="351"/>
        <v>July</v>
      </c>
      <c r="G1891">
        <f t="shared" si="350"/>
        <v>26</v>
      </c>
      <c r="H1891" s="7">
        <f t="shared" si="352"/>
        <v>1.1760327695532875</v>
      </c>
      <c r="I1891" s="9">
        <f t="shared" si="353"/>
        <v>1.1691712476157638E-2</v>
      </c>
      <c r="J1891" s="9">
        <f t="shared" si="354"/>
        <v>52939.367142857147</v>
      </c>
      <c r="K1891" s="9">
        <f t="shared" si="357"/>
        <v>51796.866000000009</v>
      </c>
      <c r="L1891" s="9">
        <f t="shared" si="356"/>
        <v>53409.587555555561</v>
      </c>
      <c r="M1891" s="9">
        <f t="shared" si="355"/>
        <v>8.2561303515311449E-3</v>
      </c>
      <c r="N1891" s="9">
        <f t="shared" si="358"/>
        <v>1.2018262051612239E-2</v>
      </c>
    </row>
    <row r="1892" spans="1:14" x14ac:dyDescent="0.35">
      <c r="A1892" s="1">
        <v>45134</v>
      </c>
      <c r="B1892" s="2" t="s">
        <v>1891</v>
      </c>
      <c r="C1892">
        <f t="shared" si="347"/>
        <v>54450.55</v>
      </c>
      <c r="D1892">
        <f t="shared" si="348"/>
        <v>2023</v>
      </c>
      <c r="E1892">
        <f t="shared" si="349"/>
        <v>7</v>
      </c>
      <c r="F1892" t="str">
        <f t="shared" si="351"/>
        <v>July</v>
      </c>
      <c r="G1892">
        <f t="shared" si="350"/>
        <v>27</v>
      </c>
      <c r="H1892" s="7">
        <f t="shared" si="352"/>
        <v>-0.45719757575047842</v>
      </c>
      <c r="I1892" s="9">
        <f t="shared" si="353"/>
        <v>-4.582459204248583E-3</v>
      </c>
      <c r="J1892" s="9">
        <f t="shared" si="354"/>
        <v>53268.582857142857</v>
      </c>
      <c r="K1892" s="9">
        <f t="shared" si="357"/>
        <v>51892.892000000007</v>
      </c>
      <c r="L1892" s="9">
        <f t="shared" si="356"/>
        <v>53383.817444444445</v>
      </c>
      <c r="M1892" s="9">
        <f t="shared" si="355"/>
        <v>9.1462205413678898E-3</v>
      </c>
      <c r="N1892" s="9">
        <f t="shared" si="358"/>
        <v>1.207157959236186E-2</v>
      </c>
    </row>
    <row r="1893" spans="1:14" x14ac:dyDescent="0.35">
      <c r="A1893" s="1">
        <v>45135</v>
      </c>
      <c r="B1893" s="2" t="s">
        <v>1892</v>
      </c>
      <c r="C1893">
        <f t="shared" si="347"/>
        <v>54915.66</v>
      </c>
      <c r="D1893">
        <f t="shared" si="348"/>
        <v>2023</v>
      </c>
      <c r="E1893">
        <f t="shared" si="349"/>
        <v>7</v>
      </c>
      <c r="F1893" t="str">
        <f t="shared" si="351"/>
        <v>July</v>
      </c>
      <c r="G1893">
        <f t="shared" si="350"/>
        <v>28</v>
      </c>
      <c r="H1893" s="7">
        <f t="shared" si="352"/>
        <v>0.85418788239971966</v>
      </c>
      <c r="I1893" s="9">
        <f t="shared" si="353"/>
        <v>8.5056034041912486E-3</v>
      </c>
      <c r="J1893" s="9">
        <f t="shared" si="354"/>
        <v>53685.184285714291</v>
      </c>
      <c r="K1893" s="9">
        <f t="shared" si="357"/>
        <v>52015.511333333336</v>
      </c>
      <c r="L1893" s="9">
        <f t="shared" si="356"/>
        <v>53371.32244444445</v>
      </c>
      <c r="M1893" s="9">
        <f t="shared" si="355"/>
        <v>8.2478057353710613E-3</v>
      </c>
      <c r="N1893" s="9">
        <f t="shared" si="358"/>
        <v>1.2026794690757157E-2</v>
      </c>
    </row>
    <row r="1894" spans="1:14" x14ac:dyDescent="0.35">
      <c r="A1894" s="1">
        <v>45138</v>
      </c>
      <c r="B1894" s="2" t="s">
        <v>1893</v>
      </c>
      <c r="C1894">
        <f t="shared" si="347"/>
        <v>54271.19</v>
      </c>
      <c r="D1894">
        <f t="shared" si="348"/>
        <v>2023</v>
      </c>
      <c r="E1894">
        <f t="shared" si="349"/>
        <v>7</v>
      </c>
      <c r="F1894" t="str">
        <f t="shared" si="351"/>
        <v>July</v>
      </c>
      <c r="G1894">
        <f t="shared" si="350"/>
        <v>31</v>
      </c>
      <c r="H1894" s="7">
        <f t="shared" si="352"/>
        <v>-1.173563242251848</v>
      </c>
      <c r="I1894" s="9">
        <f t="shared" si="353"/>
        <v>-1.1805038507298473E-2</v>
      </c>
      <c r="J1894" s="9">
        <f t="shared" si="354"/>
        <v>53993.954285714288</v>
      </c>
      <c r="K1894" s="9">
        <f t="shared" si="357"/>
        <v>52105.868666666669</v>
      </c>
      <c r="L1894" s="9">
        <f t="shared" si="356"/>
        <v>53354.452888888896</v>
      </c>
      <c r="M1894" s="9">
        <f t="shared" si="355"/>
        <v>1.1048480649075014E-2</v>
      </c>
      <c r="N1894" s="9">
        <f t="shared" si="358"/>
        <v>1.2271603394942182E-2</v>
      </c>
    </row>
    <row r="1895" spans="1:14" x14ac:dyDescent="0.35">
      <c r="A1895" s="1">
        <v>45139</v>
      </c>
      <c r="B1895" s="2" t="s">
        <v>1894</v>
      </c>
      <c r="C1895">
        <f t="shared" si="347"/>
        <v>53578.76</v>
      </c>
      <c r="D1895">
        <f t="shared" si="348"/>
        <v>2023</v>
      </c>
      <c r="E1895">
        <f t="shared" si="349"/>
        <v>8</v>
      </c>
      <c r="F1895" t="str">
        <f t="shared" si="351"/>
        <v>August</v>
      </c>
      <c r="G1895">
        <f t="shared" si="350"/>
        <v>1</v>
      </c>
      <c r="H1895" s="7">
        <f t="shared" si="352"/>
        <v>-1.2758703098273694</v>
      </c>
      <c r="I1895" s="9">
        <f t="shared" si="353"/>
        <v>-1.2840794350080648E-2</v>
      </c>
      <c r="J1895" s="9">
        <f t="shared" si="354"/>
        <v>54182.424285714289</v>
      </c>
      <c r="K1895" s="9">
        <f t="shared" si="357"/>
        <v>52167.022000000004</v>
      </c>
      <c r="L1895" s="9">
        <f t="shared" si="356"/>
        <v>53329.449111111113</v>
      </c>
      <c r="M1895" s="9">
        <f t="shared" si="355"/>
        <v>1.3141699821784139E-2</v>
      </c>
      <c r="N1895" s="9">
        <f t="shared" si="358"/>
        <v>1.2548474885471244E-2</v>
      </c>
    </row>
    <row r="1896" spans="1:14" x14ac:dyDescent="0.35">
      <c r="A1896" s="1">
        <v>45140</v>
      </c>
      <c r="B1896" s="2" t="s">
        <v>1895</v>
      </c>
      <c r="C1896">
        <f t="shared" si="347"/>
        <v>52388.87</v>
      </c>
      <c r="D1896">
        <f t="shared" si="348"/>
        <v>2023</v>
      </c>
      <c r="E1896">
        <f t="shared" si="349"/>
        <v>8</v>
      </c>
      <c r="F1896" t="str">
        <f t="shared" si="351"/>
        <v>August</v>
      </c>
      <c r="G1896">
        <f t="shared" si="350"/>
        <v>2</v>
      </c>
      <c r="H1896" s="7">
        <f t="shared" si="352"/>
        <v>-2.2208240728228859</v>
      </c>
      <c r="I1896" s="9">
        <f t="shared" si="353"/>
        <v>-2.2458556699071538E-2</v>
      </c>
      <c r="J1896" s="9">
        <f t="shared" si="354"/>
        <v>54052.927142857145</v>
      </c>
      <c r="K1896" s="9">
        <f t="shared" si="357"/>
        <v>52193.381000000008</v>
      </c>
      <c r="L1896" s="9">
        <f t="shared" si="356"/>
        <v>53292.661</v>
      </c>
      <c r="M1896" s="9">
        <f t="shared" si="355"/>
        <v>1.4154572530880411E-2</v>
      </c>
      <c r="N1896" s="9">
        <f t="shared" si="358"/>
        <v>1.3255592922486372E-2</v>
      </c>
    </row>
    <row r="1897" spans="1:14" x14ac:dyDescent="0.35">
      <c r="A1897" s="1">
        <v>45141</v>
      </c>
      <c r="B1897" s="2" t="s">
        <v>1896</v>
      </c>
      <c r="C1897">
        <f t="shared" si="347"/>
        <v>50756.59</v>
      </c>
      <c r="D1897">
        <f t="shared" si="348"/>
        <v>2023</v>
      </c>
      <c r="E1897">
        <f t="shared" si="349"/>
        <v>8</v>
      </c>
      <c r="F1897" t="str">
        <f t="shared" si="351"/>
        <v>August</v>
      </c>
      <c r="G1897">
        <f t="shared" si="350"/>
        <v>3</v>
      </c>
      <c r="H1897" s="7">
        <f t="shared" si="352"/>
        <v>-3.1156999568801655</v>
      </c>
      <c r="I1897" s="9">
        <f t="shared" si="353"/>
        <v>-3.1652702477220206E-2</v>
      </c>
      <c r="J1897" s="9">
        <f t="shared" si="354"/>
        <v>53580.322857142855</v>
      </c>
      <c r="K1897" s="9">
        <f t="shared" si="357"/>
        <v>52179.001000000011</v>
      </c>
      <c r="L1897" s="9">
        <f t="shared" si="356"/>
        <v>53239.060333333327</v>
      </c>
      <c r="M1897" s="9">
        <f t="shared" si="355"/>
        <v>1.5657812280697792E-2</v>
      </c>
      <c r="N1897" s="9">
        <f t="shared" si="358"/>
        <v>1.4430749234040727E-2</v>
      </c>
    </row>
    <row r="1898" spans="1:14" x14ac:dyDescent="0.35">
      <c r="A1898" s="1">
        <v>45142</v>
      </c>
      <c r="B1898" s="2" t="s">
        <v>1897</v>
      </c>
      <c r="C1898">
        <f t="shared" si="347"/>
        <v>51320.52</v>
      </c>
      <c r="D1898">
        <f t="shared" si="348"/>
        <v>2023</v>
      </c>
      <c r="E1898">
        <f t="shared" si="349"/>
        <v>8</v>
      </c>
      <c r="F1898" t="str">
        <f t="shared" si="351"/>
        <v>August</v>
      </c>
      <c r="G1898">
        <f t="shared" si="350"/>
        <v>4</v>
      </c>
      <c r="H1898" s="7">
        <f t="shared" si="352"/>
        <v>1.1110478462008586</v>
      </c>
      <c r="I1898" s="9">
        <f t="shared" si="353"/>
        <v>1.1049210489474687E-2</v>
      </c>
      <c r="J1898" s="9">
        <f t="shared" si="354"/>
        <v>53097.448571428577</v>
      </c>
      <c r="K1898" s="9">
        <f t="shared" si="357"/>
        <v>52208.538666666675</v>
      </c>
      <c r="L1898" s="9">
        <f t="shared" si="356"/>
        <v>53192.746222222224</v>
      </c>
      <c r="M1898" s="9">
        <f t="shared" si="355"/>
        <v>1.5517416588283746E-2</v>
      </c>
      <c r="N1898" s="9">
        <f t="shared" si="358"/>
        <v>1.4304004590552899E-2</v>
      </c>
    </row>
    <row r="1899" spans="1:14" x14ac:dyDescent="0.35">
      <c r="A1899" s="1">
        <v>45145</v>
      </c>
      <c r="B1899" s="2" t="s">
        <v>1898</v>
      </c>
      <c r="C1899">
        <f t="shared" si="347"/>
        <v>50837.57</v>
      </c>
      <c r="D1899">
        <f t="shared" si="348"/>
        <v>2023</v>
      </c>
      <c r="E1899">
        <f t="shared" si="349"/>
        <v>8</v>
      </c>
      <c r="F1899" t="str">
        <f t="shared" si="351"/>
        <v>August</v>
      </c>
      <c r="G1899">
        <f t="shared" si="350"/>
        <v>7</v>
      </c>
      <c r="H1899" s="7">
        <f t="shared" si="352"/>
        <v>-0.94104658331598567</v>
      </c>
      <c r="I1899" s="9">
        <f t="shared" si="353"/>
        <v>-9.4550240293390844E-3</v>
      </c>
      <c r="J1899" s="9">
        <f t="shared" si="354"/>
        <v>52581.308571428577</v>
      </c>
      <c r="K1899" s="9">
        <f t="shared" si="357"/>
        <v>52201.868000000009</v>
      </c>
      <c r="L1899" s="9">
        <f t="shared" si="356"/>
        <v>53136.964888888899</v>
      </c>
      <c r="M1899" s="9">
        <f t="shared" si="355"/>
        <v>1.5389116859684183E-2</v>
      </c>
      <c r="N1899" s="9">
        <f t="shared" si="358"/>
        <v>1.4252802358779654E-2</v>
      </c>
    </row>
    <row r="1900" spans="1:14" x14ac:dyDescent="0.35">
      <c r="A1900" s="1">
        <v>45146</v>
      </c>
      <c r="B1900" s="2" t="s">
        <v>1899</v>
      </c>
      <c r="C1900">
        <f t="shared" si="347"/>
        <v>51624.86</v>
      </c>
      <c r="D1900">
        <f t="shared" si="348"/>
        <v>2023</v>
      </c>
      <c r="E1900">
        <f t="shared" si="349"/>
        <v>8</v>
      </c>
      <c r="F1900" t="str">
        <f t="shared" si="351"/>
        <v>August</v>
      </c>
      <c r="G1900">
        <f t="shared" si="350"/>
        <v>8</v>
      </c>
      <c r="H1900" s="7">
        <f t="shared" si="352"/>
        <v>1.5486381430111644</v>
      </c>
      <c r="I1900" s="9">
        <f t="shared" si="353"/>
        <v>1.5367691244401275E-2</v>
      </c>
      <c r="J1900" s="9">
        <f t="shared" si="354"/>
        <v>52111.194285714286</v>
      </c>
      <c r="K1900" s="9">
        <f t="shared" si="357"/>
        <v>52229.161333333344</v>
      </c>
      <c r="L1900" s="9">
        <f t="shared" si="356"/>
        <v>53087.531555555564</v>
      </c>
      <c r="M1900" s="9">
        <f t="shared" si="355"/>
        <v>1.6895031451843408E-2</v>
      </c>
      <c r="N1900" s="9">
        <f t="shared" si="358"/>
        <v>1.4501602823632442E-2</v>
      </c>
    </row>
    <row r="1901" spans="1:14" x14ac:dyDescent="0.35">
      <c r="A1901" s="1">
        <v>45148</v>
      </c>
      <c r="B1901" s="2" t="s">
        <v>1900</v>
      </c>
      <c r="C1901">
        <f t="shared" si="347"/>
        <v>50877.34</v>
      </c>
      <c r="D1901">
        <f t="shared" si="348"/>
        <v>2023</v>
      </c>
      <c r="E1901">
        <f t="shared" si="349"/>
        <v>8</v>
      </c>
      <c r="F1901" t="str">
        <f t="shared" si="351"/>
        <v>August</v>
      </c>
      <c r="G1901">
        <f t="shared" si="350"/>
        <v>10</v>
      </c>
      <c r="H1901" s="7">
        <f t="shared" si="352"/>
        <v>-1.4479845562777391</v>
      </c>
      <c r="I1901" s="9">
        <f t="shared" si="353"/>
        <v>-1.4585701622100385E-2</v>
      </c>
      <c r="J1901" s="9">
        <f t="shared" si="354"/>
        <v>51626.358571428573</v>
      </c>
      <c r="K1901" s="9">
        <f t="shared" si="357"/>
        <v>52201.434000000008</v>
      </c>
      <c r="L1901" s="9">
        <f t="shared" si="356"/>
        <v>53032.663888888899</v>
      </c>
      <c r="M1901" s="9">
        <f t="shared" si="355"/>
        <v>1.7009002207339002E-2</v>
      </c>
      <c r="N1901" s="9">
        <f t="shared" si="358"/>
        <v>1.4384683452076143E-2</v>
      </c>
    </row>
    <row r="1902" spans="1:14" x14ac:dyDescent="0.35">
      <c r="A1902" s="1">
        <v>45149</v>
      </c>
      <c r="B1902" s="2" t="s">
        <v>1901</v>
      </c>
      <c r="C1902">
        <f t="shared" si="347"/>
        <v>51168.5</v>
      </c>
      <c r="D1902">
        <f t="shared" si="348"/>
        <v>2023</v>
      </c>
      <c r="E1902">
        <f t="shared" si="349"/>
        <v>8</v>
      </c>
      <c r="F1902" t="str">
        <f t="shared" si="351"/>
        <v>August</v>
      </c>
      <c r="G1902">
        <f t="shared" si="350"/>
        <v>11</v>
      </c>
      <c r="H1902" s="7">
        <f t="shared" si="352"/>
        <v>0.5722783463129234</v>
      </c>
      <c r="I1902" s="9">
        <f t="shared" si="353"/>
        <v>5.7064705451208573E-3</v>
      </c>
      <c r="J1902" s="9">
        <f t="shared" si="354"/>
        <v>51282.035714285717</v>
      </c>
      <c r="K1902" s="9">
        <f t="shared" si="357"/>
        <v>52165.899000000012</v>
      </c>
      <c r="L1902" s="9">
        <f t="shared" si="356"/>
        <v>52976.568000000014</v>
      </c>
      <c r="M1902" s="9">
        <f t="shared" si="355"/>
        <v>1.777907677180884E-2</v>
      </c>
      <c r="N1902" s="9">
        <f t="shared" si="358"/>
        <v>1.4294459855795864E-2</v>
      </c>
    </row>
    <row r="1903" spans="1:14" x14ac:dyDescent="0.35">
      <c r="A1903" s="1">
        <v>45152</v>
      </c>
      <c r="B1903" s="2" t="s">
        <v>1902</v>
      </c>
      <c r="C1903">
        <f t="shared" si="347"/>
        <v>52204.160000000003</v>
      </c>
      <c r="D1903">
        <f t="shared" si="348"/>
        <v>2023</v>
      </c>
      <c r="E1903">
        <f t="shared" si="349"/>
        <v>8</v>
      </c>
      <c r="F1903" t="str">
        <f t="shared" si="351"/>
        <v>August</v>
      </c>
      <c r="G1903">
        <f t="shared" si="350"/>
        <v>14</v>
      </c>
      <c r="H1903" s="7">
        <f t="shared" si="352"/>
        <v>2.0240186833696581</v>
      </c>
      <c r="I1903" s="9">
        <f t="shared" si="353"/>
        <v>2.003807686369254E-2</v>
      </c>
      <c r="J1903" s="9">
        <f t="shared" si="354"/>
        <v>51255.648571428574</v>
      </c>
      <c r="K1903" s="9">
        <f t="shared" si="357"/>
        <v>52170.063666666676</v>
      </c>
      <c r="L1903" s="9">
        <f t="shared" si="356"/>
        <v>52932.135222222234</v>
      </c>
      <c r="M1903" s="9">
        <f t="shared" si="355"/>
        <v>1.8684177518860139E-2</v>
      </c>
      <c r="N1903" s="9">
        <f t="shared" si="358"/>
        <v>1.4776790554971648E-2</v>
      </c>
    </row>
    <row r="1904" spans="1:14" x14ac:dyDescent="0.35">
      <c r="A1904" s="1">
        <v>45153</v>
      </c>
      <c r="B1904" s="2" t="s">
        <v>1903</v>
      </c>
      <c r="C1904">
        <f t="shared" si="347"/>
        <v>52092.98</v>
      </c>
      <c r="D1904">
        <f t="shared" si="348"/>
        <v>2023</v>
      </c>
      <c r="E1904">
        <f t="shared" si="349"/>
        <v>8</v>
      </c>
      <c r="F1904" t="str">
        <f t="shared" si="351"/>
        <v>August</v>
      </c>
      <c r="G1904">
        <f t="shared" si="350"/>
        <v>15</v>
      </c>
      <c r="H1904" s="7">
        <f t="shared" si="352"/>
        <v>-0.21297153330309365</v>
      </c>
      <c r="I1904" s="9">
        <f t="shared" si="353"/>
        <v>-2.1319864017904019E-3</v>
      </c>
      <c r="J1904" s="9">
        <f t="shared" si="354"/>
        <v>51446.561428571425</v>
      </c>
      <c r="K1904" s="9">
        <f t="shared" si="357"/>
        <v>52217.698333333348</v>
      </c>
      <c r="L1904" s="9">
        <f t="shared" si="356"/>
        <v>52888.700777777791</v>
      </c>
      <c r="M1904" s="9">
        <f t="shared" si="355"/>
        <v>1.2926310861736123E-2</v>
      </c>
      <c r="N1904" s="9">
        <f t="shared" si="358"/>
        <v>1.3836617841442394E-2</v>
      </c>
    </row>
    <row r="1905" spans="1:14" x14ac:dyDescent="0.35">
      <c r="A1905" s="1">
        <v>45154</v>
      </c>
      <c r="B1905" s="2" t="s">
        <v>1904</v>
      </c>
      <c r="C1905">
        <f t="shared" si="347"/>
        <v>52132.6</v>
      </c>
      <c r="D1905">
        <f t="shared" si="348"/>
        <v>2023</v>
      </c>
      <c r="E1905">
        <f t="shared" si="349"/>
        <v>8</v>
      </c>
      <c r="F1905" t="str">
        <f t="shared" si="351"/>
        <v>August</v>
      </c>
      <c r="G1905">
        <f t="shared" si="350"/>
        <v>16</v>
      </c>
      <c r="H1905" s="7">
        <f t="shared" si="352"/>
        <v>7.6056313153893954E-2</v>
      </c>
      <c r="I1905" s="9">
        <f t="shared" si="353"/>
        <v>7.6027404996775825E-4</v>
      </c>
      <c r="J1905" s="9">
        <f t="shared" si="354"/>
        <v>51562.572857142848</v>
      </c>
      <c r="K1905" s="9">
        <f t="shared" si="357"/>
        <v>52230.866333333346</v>
      </c>
      <c r="L1905" s="9">
        <f t="shared" si="356"/>
        <v>52842.419111111121</v>
      </c>
      <c r="M1905" s="9">
        <f t="shared" si="355"/>
        <v>1.2531998082192413E-2</v>
      </c>
      <c r="N1905" s="9">
        <f t="shared" si="358"/>
        <v>1.330908894723155E-2</v>
      </c>
    </row>
    <row r="1906" spans="1:14" x14ac:dyDescent="0.35">
      <c r="A1906" s="1">
        <v>45155</v>
      </c>
      <c r="B1906" s="2" t="s">
        <v>1905</v>
      </c>
      <c r="C1906">
        <f t="shared" si="347"/>
        <v>52391.02</v>
      </c>
      <c r="D1906">
        <f t="shared" si="348"/>
        <v>2023</v>
      </c>
      <c r="E1906">
        <f t="shared" si="349"/>
        <v>8</v>
      </c>
      <c r="F1906" t="str">
        <f t="shared" si="351"/>
        <v>August</v>
      </c>
      <c r="G1906">
        <f t="shared" si="350"/>
        <v>17</v>
      </c>
      <c r="H1906" s="7">
        <f t="shared" si="352"/>
        <v>0.49569750981151572</v>
      </c>
      <c r="I1906" s="9">
        <f t="shared" si="353"/>
        <v>4.9447297469819157E-3</v>
      </c>
      <c r="J1906" s="9">
        <f t="shared" si="354"/>
        <v>51784.494285714289</v>
      </c>
      <c r="K1906" s="9">
        <f t="shared" si="357"/>
        <v>52247.396333333345</v>
      </c>
      <c r="L1906" s="9">
        <f t="shared" si="356"/>
        <v>52799.621555555561</v>
      </c>
      <c r="M1906" s="9">
        <f t="shared" si="355"/>
        <v>1.1424713878945489E-2</v>
      </c>
      <c r="N1906" s="9">
        <f t="shared" si="358"/>
        <v>1.3327365552226481E-2</v>
      </c>
    </row>
    <row r="1907" spans="1:14" x14ac:dyDescent="0.35">
      <c r="A1907" s="1">
        <v>45156</v>
      </c>
      <c r="B1907" s="2" t="s">
        <v>1906</v>
      </c>
      <c r="C1907">
        <f t="shared" si="347"/>
        <v>53241.35</v>
      </c>
      <c r="D1907">
        <f t="shared" si="348"/>
        <v>2023</v>
      </c>
      <c r="E1907">
        <f t="shared" si="349"/>
        <v>8</v>
      </c>
      <c r="F1907" t="str">
        <f t="shared" si="351"/>
        <v>August</v>
      </c>
      <c r="G1907">
        <f t="shared" si="350"/>
        <v>18</v>
      </c>
      <c r="H1907" s="7">
        <f t="shared" si="352"/>
        <v>1.6230453234161155</v>
      </c>
      <c r="I1907" s="9">
        <f t="shared" si="353"/>
        <v>1.6100147484975888E-2</v>
      </c>
      <c r="J1907" s="9">
        <f t="shared" si="354"/>
        <v>52015.421428571433</v>
      </c>
      <c r="K1907" s="9">
        <f t="shared" si="357"/>
        <v>52310.308666666671</v>
      </c>
      <c r="L1907" s="9">
        <f t="shared" si="356"/>
        <v>52770.323222222229</v>
      </c>
      <c r="M1907" s="9">
        <f t="shared" si="355"/>
        <v>1.1545689426449315E-2</v>
      </c>
      <c r="N1907" s="9">
        <f t="shared" si="358"/>
        <v>1.3467545845135301E-2</v>
      </c>
    </row>
    <row r="1908" spans="1:14" x14ac:dyDescent="0.35">
      <c r="A1908" s="1">
        <v>45159</v>
      </c>
      <c r="B1908" s="2" t="s">
        <v>1907</v>
      </c>
      <c r="C1908">
        <f t="shared" si="347"/>
        <v>52466.98</v>
      </c>
      <c r="D1908">
        <f t="shared" si="348"/>
        <v>2023</v>
      </c>
      <c r="E1908">
        <f t="shared" si="349"/>
        <v>8</v>
      </c>
      <c r="F1908" t="str">
        <f t="shared" si="351"/>
        <v>August</v>
      </c>
      <c r="G1908">
        <f t="shared" si="350"/>
        <v>21</v>
      </c>
      <c r="H1908" s="7">
        <f t="shared" si="352"/>
        <v>-1.4544522255727839</v>
      </c>
      <c r="I1908" s="9">
        <f t="shared" si="353"/>
        <v>-1.4651330736857269E-2</v>
      </c>
      <c r="J1908" s="9">
        <f t="shared" si="354"/>
        <v>52242.51285714285</v>
      </c>
      <c r="K1908" s="9">
        <f t="shared" si="357"/>
        <v>52336.204000000012</v>
      </c>
      <c r="L1908" s="9">
        <f t="shared" si="356"/>
        <v>52731.145555555559</v>
      </c>
      <c r="M1908" s="9">
        <f t="shared" si="355"/>
        <v>1.156369309289457E-2</v>
      </c>
      <c r="N1908" s="9">
        <f t="shared" si="358"/>
        <v>1.3731376944053025E-2</v>
      </c>
    </row>
    <row r="1909" spans="1:14" x14ac:dyDescent="0.35">
      <c r="A1909" s="1">
        <v>45160</v>
      </c>
      <c r="B1909" s="2" t="s">
        <v>1908</v>
      </c>
      <c r="C1909">
        <f t="shared" si="347"/>
        <v>53473.11</v>
      </c>
      <c r="D1909">
        <f t="shared" si="348"/>
        <v>2023</v>
      </c>
      <c r="E1909">
        <f t="shared" si="349"/>
        <v>8</v>
      </c>
      <c r="F1909" t="str">
        <f t="shared" si="351"/>
        <v>August</v>
      </c>
      <c r="G1909">
        <f t="shared" si="350"/>
        <v>22</v>
      </c>
      <c r="H1909" s="7">
        <f t="shared" si="352"/>
        <v>1.9176442021248359</v>
      </c>
      <c r="I1909" s="9">
        <f t="shared" si="353"/>
        <v>1.8994891382251643E-2</v>
      </c>
      <c r="J1909" s="9">
        <f t="shared" si="354"/>
        <v>52571.742857142861</v>
      </c>
      <c r="K1909" s="9">
        <f t="shared" si="357"/>
        <v>52428.717666666686</v>
      </c>
      <c r="L1909" s="9">
        <f t="shared" si="356"/>
        <v>52708.804666666678</v>
      </c>
      <c r="M1909" s="9">
        <f t="shared" si="355"/>
        <v>1.2835624886752378E-2</v>
      </c>
      <c r="N1909" s="9">
        <f t="shared" si="358"/>
        <v>1.3602335159714303E-2</v>
      </c>
    </row>
    <row r="1910" spans="1:14" x14ac:dyDescent="0.35">
      <c r="A1910" s="1">
        <v>45161</v>
      </c>
      <c r="B1910" s="2" t="s">
        <v>1909</v>
      </c>
      <c r="C1910">
        <f t="shared" si="347"/>
        <v>52229.33</v>
      </c>
      <c r="D1910">
        <f t="shared" si="348"/>
        <v>2023</v>
      </c>
      <c r="E1910">
        <f t="shared" si="349"/>
        <v>8</v>
      </c>
      <c r="F1910" t="str">
        <f t="shared" si="351"/>
        <v>August</v>
      </c>
      <c r="G1910">
        <f t="shared" si="350"/>
        <v>23</v>
      </c>
      <c r="H1910" s="7">
        <f t="shared" si="352"/>
        <v>-2.3259915123694861</v>
      </c>
      <c r="I1910" s="9">
        <f t="shared" si="353"/>
        <v>-2.3534696236125332E-2</v>
      </c>
      <c r="J1910" s="9">
        <f t="shared" si="354"/>
        <v>52575.338571428569</v>
      </c>
      <c r="K1910" s="9">
        <f t="shared" si="357"/>
        <v>52463.450333333341</v>
      </c>
      <c r="L1910" s="9">
        <f t="shared" si="356"/>
        <v>52670.335222222231</v>
      </c>
      <c r="M1910" s="9">
        <f t="shared" si="355"/>
        <v>1.5373703786507206E-2</v>
      </c>
      <c r="N1910" s="9">
        <f t="shared" si="358"/>
        <v>1.4273594797503265E-2</v>
      </c>
    </row>
    <row r="1911" spans="1:14" x14ac:dyDescent="0.35">
      <c r="A1911" s="1">
        <v>45162</v>
      </c>
      <c r="B1911" s="2" t="s">
        <v>1910</v>
      </c>
      <c r="C1911">
        <f t="shared" si="347"/>
        <v>52813.37</v>
      </c>
      <c r="D1911">
        <f t="shared" si="348"/>
        <v>2023</v>
      </c>
      <c r="E1911">
        <f t="shared" si="349"/>
        <v>8</v>
      </c>
      <c r="F1911" t="str">
        <f t="shared" si="351"/>
        <v>August</v>
      </c>
      <c r="G1911">
        <f t="shared" si="350"/>
        <v>24</v>
      </c>
      <c r="H1911" s="7">
        <f t="shared" si="352"/>
        <v>1.11822227089645</v>
      </c>
      <c r="I1911" s="9">
        <f t="shared" si="353"/>
        <v>1.1120163865258846E-2</v>
      </c>
      <c r="J1911" s="9">
        <f t="shared" si="354"/>
        <v>52678.251428571428</v>
      </c>
      <c r="K1911" s="9">
        <f t="shared" si="357"/>
        <v>52513.274333333349</v>
      </c>
      <c r="L1911" s="9">
        <f t="shared" si="356"/>
        <v>52643.876888888895</v>
      </c>
      <c r="M1911" s="9">
        <f t="shared" si="355"/>
        <v>1.5865600459572932E-2</v>
      </c>
      <c r="N1911" s="9">
        <f t="shared" si="358"/>
        <v>1.4397659877867938E-2</v>
      </c>
    </row>
    <row r="1912" spans="1:14" x14ac:dyDescent="0.35">
      <c r="A1912" s="1">
        <v>45163</v>
      </c>
      <c r="B1912" s="2" t="s">
        <v>1911</v>
      </c>
      <c r="C1912">
        <f t="shared" si="347"/>
        <v>54187.82</v>
      </c>
      <c r="D1912">
        <f t="shared" si="348"/>
        <v>2023</v>
      </c>
      <c r="E1912">
        <f t="shared" si="349"/>
        <v>8</v>
      </c>
      <c r="F1912" t="str">
        <f t="shared" si="351"/>
        <v>August</v>
      </c>
      <c r="G1912">
        <f t="shared" si="350"/>
        <v>25</v>
      </c>
      <c r="H1912" s="7">
        <f t="shared" si="352"/>
        <v>2.6024660043469998</v>
      </c>
      <c r="I1912" s="9">
        <f t="shared" si="353"/>
        <v>2.569178158982633E-2</v>
      </c>
      <c r="J1912" s="9">
        <f t="shared" si="354"/>
        <v>52971.854285714289</v>
      </c>
      <c r="K1912" s="9">
        <f t="shared" si="357"/>
        <v>52617.275666666676</v>
      </c>
      <c r="L1912" s="9">
        <f t="shared" si="356"/>
        <v>52631.964000000022</v>
      </c>
      <c r="M1912" s="9">
        <f t="shared" si="355"/>
        <v>1.8180408984512911E-2</v>
      </c>
      <c r="N1912" s="9">
        <f t="shared" si="358"/>
        <v>1.5037640988275289E-2</v>
      </c>
    </row>
    <row r="1913" spans="1:14" x14ac:dyDescent="0.35">
      <c r="A1913" s="1">
        <v>45166</v>
      </c>
      <c r="B1913" s="2" t="s">
        <v>1912</v>
      </c>
      <c r="C1913">
        <f t="shared" si="347"/>
        <v>54219.199999999997</v>
      </c>
      <c r="D1913">
        <f t="shared" si="348"/>
        <v>2023</v>
      </c>
      <c r="E1913">
        <f t="shared" si="349"/>
        <v>8</v>
      </c>
      <c r="F1913" t="str">
        <f t="shared" si="351"/>
        <v>August</v>
      </c>
      <c r="G1913">
        <f t="shared" si="350"/>
        <v>28</v>
      </c>
      <c r="H1913" s="7">
        <f t="shared" si="352"/>
        <v>5.7909692620956854E-2</v>
      </c>
      <c r="I1913" s="9">
        <f t="shared" si="353"/>
        <v>5.7892931429054709E-4</v>
      </c>
      <c r="J1913" s="9">
        <f t="shared" si="354"/>
        <v>53233.02285714286</v>
      </c>
      <c r="K1913" s="9">
        <f t="shared" si="357"/>
        <v>52677.131333333346</v>
      </c>
      <c r="L1913" s="9">
        <f t="shared" si="356"/>
        <v>52627.417222222233</v>
      </c>
      <c r="M1913" s="9">
        <f t="shared" si="355"/>
        <v>1.8278202056202349E-2</v>
      </c>
      <c r="N1913" s="9">
        <f t="shared" si="358"/>
        <v>1.4325052468944702E-2</v>
      </c>
    </row>
    <row r="1914" spans="1:14" x14ac:dyDescent="0.35">
      <c r="A1914" s="1">
        <v>45167</v>
      </c>
      <c r="B1914" s="2" t="s">
        <v>1913</v>
      </c>
      <c r="C1914">
        <f t="shared" si="347"/>
        <v>54409.47</v>
      </c>
      <c r="D1914">
        <f t="shared" si="348"/>
        <v>2023</v>
      </c>
      <c r="E1914">
        <f t="shared" si="349"/>
        <v>8</v>
      </c>
      <c r="F1914" t="str">
        <f t="shared" si="351"/>
        <v>August</v>
      </c>
      <c r="G1914">
        <f t="shared" si="350"/>
        <v>29</v>
      </c>
      <c r="H1914" s="7">
        <f t="shared" si="352"/>
        <v>0.35092734677015541</v>
      </c>
      <c r="I1914" s="9">
        <f t="shared" si="353"/>
        <v>3.5031303353252486E-3</v>
      </c>
      <c r="J1914" s="9">
        <f t="shared" si="354"/>
        <v>53399.897142857146</v>
      </c>
      <c r="K1914" s="9">
        <f t="shared" si="357"/>
        <v>52754.245666666677</v>
      </c>
      <c r="L1914" s="9">
        <f t="shared" si="356"/>
        <v>52626.11011111112</v>
      </c>
      <c r="M1914" s="9">
        <f t="shared" si="355"/>
        <v>1.7599215383528048E-2</v>
      </c>
      <c r="N1914" s="9">
        <f t="shared" si="358"/>
        <v>1.4262188733263084E-2</v>
      </c>
    </row>
    <row r="1915" spans="1:14" x14ac:dyDescent="0.35">
      <c r="A1915" s="1">
        <v>45168</v>
      </c>
      <c r="B1915" s="2" t="s">
        <v>1914</v>
      </c>
      <c r="C1915">
        <f t="shared" si="347"/>
        <v>55030.6</v>
      </c>
      <c r="D1915">
        <f t="shared" si="348"/>
        <v>2023</v>
      </c>
      <c r="E1915">
        <f t="shared" si="349"/>
        <v>8</v>
      </c>
      <c r="F1915" t="str">
        <f t="shared" si="351"/>
        <v>August</v>
      </c>
      <c r="G1915">
        <f t="shared" si="350"/>
        <v>30</v>
      </c>
      <c r="H1915" s="7">
        <f t="shared" si="352"/>
        <v>1.1415843602225815</v>
      </c>
      <c r="I1915" s="9">
        <f t="shared" si="353"/>
        <v>1.1351174562037001E-2</v>
      </c>
      <c r="J1915" s="9">
        <f t="shared" si="354"/>
        <v>53766.128571428577</v>
      </c>
      <c r="K1915" s="9">
        <f t="shared" si="357"/>
        <v>52850.397666666679</v>
      </c>
      <c r="L1915" s="9">
        <f t="shared" si="356"/>
        <v>52631.525444444444</v>
      </c>
      <c r="M1915" s="9">
        <f t="shared" si="355"/>
        <v>1.5888964056410479E-2</v>
      </c>
      <c r="N1915" s="9">
        <f t="shared" si="358"/>
        <v>1.4375648366160084E-2</v>
      </c>
    </row>
    <row r="1916" spans="1:14" x14ac:dyDescent="0.35">
      <c r="A1916" s="1">
        <v>45169</v>
      </c>
      <c r="B1916" s="2" t="s">
        <v>1915</v>
      </c>
      <c r="C1916">
        <f t="shared" si="347"/>
        <v>55171.5</v>
      </c>
      <c r="D1916">
        <f t="shared" si="348"/>
        <v>2023</v>
      </c>
      <c r="E1916">
        <f t="shared" si="349"/>
        <v>8</v>
      </c>
      <c r="F1916" t="str">
        <f t="shared" si="351"/>
        <v>August</v>
      </c>
      <c r="G1916">
        <f t="shared" si="350"/>
        <v>31</v>
      </c>
      <c r="H1916" s="7">
        <f t="shared" si="352"/>
        <v>0.25603936718843967</v>
      </c>
      <c r="I1916" s="9">
        <f t="shared" si="353"/>
        <v>2.5571214482704415E-3</v>
      </c>
      <c r="J1916" s="9">
        <f t="shared" si="354"/>
        <v>54008.755714285719</v>
      </c>
      <c r="K1916" s="9">
        <f t="shared" si="357"/>
        <v>52956.132666666679</v>
      </c>
      <c r="L1916" s="9">
        <f t="shared" si="356"/>
        <v>52644.980888888895</v>
      </c>
      <c r="M1916" s="9">
        <f t="shared" si="355"/>
        <v>1.4977408368642574E-2</v>
      </c>
      <c r="N1916" s="9">
        <f t="shared" si="358"/>
        <v>1.4349681773389229E-2</v>
      </c>
    </row>
    <row r="1917" spans="1:14" x14ac:dyDescent="0.35">
      <c r="A1917" s="1">
        <v>45170</v>
      </c>
      <c r="B1917" s="2" t="s">
        <v>1916</v>
      </c>
      <c r="C1917">
        <f t="shared" si="347"/>
        <v>55472.57</v>
      </c>
      <c r="D1917">
        <f t="shared" si="348"/>
        <v>2023</v>
      </c>
      <c r="E1917">
        <f t="shared" si="349"/>
        <v>9</v>
      </c>
      <c r="F1917" t="str">
        <f t="shared" si="351"/>
        <v>September</v>
      </c>
      <c r="G1917">
        <f t="shared" si="350"/>
        <v>1</v>
      </c>
      <c r="H1917" s="7">
        <f t="shared" si="352"/>
        <v>0.54569841312996692</v>
      </c>
      <c r="I1917" s="9">
        <f t="shared" si="353"/>
        <v>5.442148739919897E-3</v>
      </c>
      <c r="J1917" s="9">
        <f t="shared" si="354"/>
        <v>54472.075714285718</v>
      </c>
      <c r="K1917" s="9">
        <f t="shared" si="357"/>
        <v>53068.225000000013</v>
      </c>
      <c r="L1917" s="9">
        <f t="shared" si="356"/>
        <v>52667.907888888898</v>
      </c>
      <c r="M1917" s="9">
        <f t="shared" si="355"/>
        <v>8.5912063969774393E-3</v>
      </c>
      <c r="N1917" s="9">
        <f t="shared" si="358"/>
        <v>1.4363661007825549E-2</v>
      </c>
    </row>
    <row r="1918" spans="1:14" x14ac:dyDescent="0.35">
      <c r="A1918" s="1">
        <v>45173</v>
      </c>
      <c r="B1918" s="2" t="s">
        <v>1917</v>
      </c>
      <c r="C1918">
        <f t="shared" si="347"/>
        <v>55789.75</v>
      </c>
      <c r="D1918">
        <f t="shared" si="348"/>
        <v>2023</v>
      </c>
      <c r="E1918">
        <f t="shared" si="349"/>
        <v>9</v>
      </c>
      <c r="F1918" t="str">
        <f t="shared" si="351"/>
        <v>September</v>
      </c>
      <c r="G1918">
        <f t="shared" si="350"/>
        <v>4</v>
      </c>
      <c r="H1918" s="7">
        <f t="shared" si="352"/>
        <v>0.57177808780087214</v>
      </c>
      <c r="I1918" s="9">
        <f t="shared" si="353"/>
        <v>5.7014964134370376E-3</v>
      </c>
      <c r="J1918" s="9">
        <f t="shared" si="354"/>
        <v>54897.272857142852</v>
      </c>
      <c r="K1918" s="9">
        <f t="shared" si="357"/>
        <v>53185.90100000002</v>
      </c>
      <c r="L1918" s="9">
        <f t="shared" si="356"/>
        <v>52696.19200000001</v>
      </c>
      <c r="M1918" s="9">
        <f t="shared" si="355"/>
        <v>8.5710492632595833E-3</v>
      </c>
      <c r="N1918" s="9">
        <f t="shared" si="358"/>
        <v>1.4378298896979813E-2</v>
      </c>
    </row>
    <row r="1919" spans="1:14" x14ac:dyDescent="0.35">
      <c r="A1919" s="1">
        <v>45174</v>
      </c>
      <c r="B1919" s="2" t="s">
        <v>1918</v>
      </c>
      <c r="C1919">
        <f t="shared" si="347"/>
        <v>55708.47</v>
      </c>
      <c r="D1919">
        <f t="shared" si="348"/>
        <v>2023</v>
      </c>
      <c r="E1919">
        <f t="shared" si="349"/>
        <v>9</v>
      </c>
      <c r="F1919" t="str">
        <f t="shared" si="351"/>
        <v>September</v>
      </c>
      <c r="G1919">
        <f t="shared" si="350"/>
        <v>5</v>
      </c>
      <c r="H1919" s="7">
        <f t="shared" si="352"/>
        <v>-0.14568984446067393</v>
      </c>
      <c r="I1919" s="9">
        <f t="shared" si="353"/>
        <v>-1.4579607530547216E-3</v>
      </c>
      <c r="J1919" s="9">
        <f t="shared" si="354"/>
        <v>55114.50857142856</v>
      </c>
      <c r="K1919" s="9">
        <f t="shared" si="357"/>
        <v>53266.33833333334</v>
      </c>
      <c r="L1919" s="9">
        <f t="shared" si="356"/>
        <v>52716.41</v>
      </c>
      <c r="M1919" s="9">
        <f t="shared" si="355"/>
        <v>4.1396758288648524E-3</v>
      </c>
      <c r="N1919" s="9">
        <f t="shared" si="358"/>
        <v>1.4006486234623578E-2</v>
      </c>
    </row>
    <row r="1920" spans="1:14" x14ac:dyDescent="0.35">
      <c r="A1920" s="1">
        <v>45175</v>
      </c>
      <c r="B1920" s="2" t="s">
        <v>1919</v>
      </c>
      <c r="C1920">
        <f t="shared" si="347"/>
        <v>55988.57</v>
      </c>
      <c r="D1920">
        <f t="shared" si="348"/>
        <v>2023</v>
      </c>
      <c r="E1920">
        <f t="shared" si="349"/>
        <v>9</v>
      </c>
      <c r="F1920" t="str">
        <f t="shared" si="351"/>
        <v>September</v>
      </c>
      <c r="G1920">
        <f t="shared" si="350"/>
        <v>6</v>
      </c>
      <c r="H1920" s="7">
        <f t="shared" si="352"/>
        <v>0.50279607391837999</v>
      </c>
      <c r="I1920" s="9">
        <f t="shared" si="353"/>
        <v>5.0153627550534102E-3</v>
      </c>
      <c r="J1920" s="9">
        <f t="shared" si="354"/>
        <v>55367.275714285715</v>
      </c>
      <c r="K1920" s="9">
        <f t="shared" si="357"/>
        <v>53330.463333333348</v>
      </c>
      <c r="L1920" s="9">
        <f t="shared" si="356"/>
        <v>52732.12433333334</v>
      </c>
      <c r="M1920" s="9">
        <f t="shared" si="355"/>
        <v>3.8675501062412549E-3</v>
      </c>
      <c r="N1920" s="9">
        <f t="shared" si="358"/>
        <v>1.3813484446600082E-2</v>
      </c>
    </row>
    <row r="1921" spans="1:14" x14ac:dyDescent="0.35">
      <c r="A1921" s="1">
        <v>45176</v>
      </c>
      <c r="B1921" s="2" t="s">
        <v>1920</v>
      </c>
      <c r="C1921">
        <f t="shared" si="347"/>
        <v>56570.15</v>
      </c>
      <c r="D1921">
        <f t="shared" si="348"/>
        <v>2023</v>
      </c>
      <c r="E1921">
        <f t="shared" si="349"/>
        <v>9</v>
      </c>
      <c r="F1921" t="str">
        <f t="shared" si="351"/>
        <v>September</v>
      </c>
      <c r="G1921">
        <f t="shared" si="350"/>
        <v>7</v>
      </c>
      <c r="H1921" s="7">
        <f t="shared" si="352"/>
        <v>1.0387477301170611</v>
      </c>
      <c r="I1921" s="9">
        <f t="shared" si="353"/>
        <v>1.0333898174065062E-2</v>
      </c>
      <c r="J1921" s="9">
        <f t="shared" si="354"/>
        <v>55675.944285714293</v>
      </c>
      <c r="K1921" s="9">
        <f t="shared" si="357"/>
        <v>53392.780333333336</v>
      </c>
      <c r="L1921" s="9">
        <f t="shared" si="356"/>
        <v>52758.354777777786</v>
      </c>
      <c r="M1921" s="9">
        <f t="shared" si="355"/>
        <v>4.3765915586901055E-3</v>
      </c>
      <c r="N1921" s="9">
        <f t="shared" si="358"/>
        <v>1.3779989292475259E-2</v>
      </c>
    </row>
    <row r="1922" spans="1:14" x14ac:dyDescent="0.35">
      <c r="A1922" s="1">
        <v>45177</v>
      </c>
      <c r="B1922" s="2" t="s">
        <v>1921</v>
      </c>
      <c r="C1922">
        <f t="shared" si="347"/>
        <v>56882.75</v>
      </c>
      <c r="D1922">
        <f t="shared" si="348"/>
        <v>2023</v>
      </c>
      <c r="E1922">
        <f t="shared" si="349"/>
        <v>9</v>
      </c>
      <c r="F1922" t="str">
        <f t="shared" si="351"/>
        <v>September</v>
      </c>
      <c r="G1922">
        <f t="shared" si="350"/>
        <v>8</v>
      </c>
      <c r="H1922" s="7">
        <f t="shared" si="352"/>
        <v>0.55258824662829875</v>
      </c>
      <c r="I1922" s="9">
        <f t="shared" si="353"/>
        <v>5.5106707906589728E-3</v>
      </c>
      <c r="J1922" s="9">
        <f t="shared" si="354"/>
        <v>55940.537142857145</v>
      </c>
      <c r="K1922" s="9">
        <f t="shared" si="357"/>
        <v>53473.853666666662</v>
      </c>
      <c r="L1922" s="9">
        <f t="shared" si="356"/>
        <v>52797.142777777786</v>
      </c>
      <c r="M1922" s="9">
        <f t="shared" si="355"/>
        <v>3.572062116550001E-3</v>
      </c>
      <c r="N1922" s="9">
        <f t="shared" si="358"/>
        <v>1.3759153956300193E-2</v>
      </c>
    </row>
    <row r="1923" spans="1:14" x14ac:dyDescent="0.35">
      <c r="A1923" s="1">
        <v>45180</v>
      </c>
      <c r="B1923" s="2" t="s">
        <v>1922</v>
      </c>
      <c r="C1923">
        <f t="shared" ref="C1923:C1986" si="359">_xlfn.NUMBERVALUE(B1923,".",",")</f>
        <v>57164.25</v>
      </c>
      <c r="D1923">
        <f t="shared" ref="D1923:D1986" si="360">YEAR(A1923)</f>
        <v>2023</v>
      </c>
      <c r="E1923">
        <f t="shared" ref="E1923:E1986" si="361">MONTH(A1923)</f>
        <v>9</v>
      </c>
      <c r="F1923" t="str">
        <f t="shared" si="351"/>
        <v>September</v>
      </c>
      <c r="G1923">
        <f t="shared" ref="G1923:G1986" si="362">DAY(A1923)</f>
        <v>11</v>
      </c>
      <c r="H1923" s="7">
        <f t="shared" si="352"/>
        <v>0.49487762107141442</v>
      </c>
      <c r="I1923" s="9">
        <f t="shared" si="353"/>
        <v>4.9365712675151973E-3</v>
      </c>
      <c r="J1923" s="9">
        <f t="shared" si="354"/>
        <v>56225.215714285718</v>
      </c>
      <c r="K1923" s="9">
        <f t="shared" si="357"/>
        <v>53548.806666666664</v>
      </c>
      <c r="L1923" s="9">
        <f t="shared" si="356"/>
        <v>52833.077333333335</v>
      </c>
      <c r="M1923" s="9">
        <f t="shared" si="355"/>
        <v>3.4417812361848578E-3</v>
      </c>
      <c r="N1923" s="9">
        <f t="shared" si="358"/>
        <v>1.3711450843334718E-2</v>
      </c>
    </row>
    <row r="1924" spans="1:14" x14ac:dyDescent="0.35">
      <c r="A1924" s="1">
        <v>45181</v>
      </c>
      <c r="B1924" s="2" t="s">
        <v>1923</v>
      </c>
      <c r="C1924">
        <f t="shared" si="359"/>
        <v>56546.8</v>
      </c>
      <c r="D1924">
        <f t="shared" si="360"/>
        <v>2023</v>
      </c>
      <c r="E1924">
        <f t="shared" si="361"/>
        <v>9</v>
      </c>
      <c r="F1924" t="str">
        <f t="shared" ref="F1924:F1987" si="363">TEXT(A1924,"mmmm")</f>
        <v>September</v>
      </c>
      <c r="G1924">
        <f t="shared" si="362"/>
        <v>12</v>
      </c>
      <c r="H1924" s="7">
        <f t="shared" ref="H1924:H1987" si="364">((C1924-C1923)/C1923)*100</f>
        <v>-1.0801331251612627</v>
      </c>
      <c r="I1924" s="9">
        <f t="shared" ref="I1924:I1987" si="365">LN(C1924/C1923)</f>
        <v>-1.0860089121884036E-2</v>
      </c>
      <c r="J1924" s="9">
        <f t="shared" si="354"/>
        <v>56378.677142857145</v>
      </c>
      <c r="K1924" s="9">
        <f t="shared" si="357"/>
        <v>53624.660333333326</v>
      </c>
      <c r="L1924" s="9">
        <f t="shared" si="356"/>
        <v>52859.633444444451</v>
      </c>
      <c r="M1924" s="9">
        <f t="shared" si="355"/>
        <v>6.9125714791054152E-3</v>
      </c>
      <c r="N1924" s="9">
        <f t="shared" si="358"/>
        <v>1.3681270126457824E-2</v>
      </c>
    </row>
    <row r="1925" spans="1:14" x14ac:dyDescent="0.35">
      <c r="A1925" s="1">
        <v>45182</v>
      </c>
      <c r="B1925" s="2" t="s">
        <v>1924</v>
      </c>
      <c r="C1925">
        <f t="shared" si="359"/>
        <v>56445.57</v>
      </c>
      <c r="D1925">
        <f t="shared" si="360"/>
        <v>2023</v>
      </c>
      <c r="E1925">
        <f t="shared" si="361"/>
        <v>9</v>
      </c>
      <c r="F1925" t="str">
        <f t="shared" si="363"/>
        <v>September</v>
      </c>
      <c r="G1925">
        <f t="shared" si="362"/>
        <v>13</v>
      </c>
      <c r="H1925" s="7">
        <f t="shared" si="364"/>
        <v>-0.17901985611918483</v>
      </c>
      <c r="I1925" s="9">
        <f t="shared" si="365"/>
        <v>-1.7918028816234714E-3</v>
      </c>
      <c r="J1925" s="9">
        <f t="shared" si="354"/>
        <v>56472.365714285712</v>
      </c>
      <c r="K1925" s="9">
        <f t="shared" si="357"/>
        <v>53720.220666666661</v>
      </c>
      <c r="L1925" s="9">
        <f t="shared" si="356"/>
        <v>52885.343444444457</v>
      </c>
      <c r="M1925" s="9">
        <f t="shared" si="355"/>
        <v>6.9575758825023938E-3</v>
      </c>
      <c r="N1925" s="9">
        <f t="shared" si="358"/>
        <v>1.3431995691243197E-2</v>
      </c>
    </row>
    <row r="1926" spans="1:14" x14ac:dyDescent="0.35">
      <c r="A1926" s="1">
        <v>45183</v>
      </c>
      <c r="B1926" s="2" t="s">
        <v>1925</v>
      </c>
      <c r="C1926">
        <f t="shared" si="359"/>
        <v>56381.3</v>
      </c>
      <c r="D1926">
        <f t="shared" si="360"/>
        <v>2023</v>
      </c>
      <c r="E1926">
        <f t="shared" si="361"/>
        <v>9</v>
      </c>
      <c r="F1926" t="str">
        <f t="shared" si="363"/>
        <v>September</v>
      </c>
      <c r="G1926">
        <f t="shared" si="362"/>
        <v>14</v>
      </c>
      <c r="H1926" s="7">
        <f t="shared" si="364"/>
        <v>-0.11386190271441461</v>
      </c>
      <c r="I1926" s="9">
        <f t="shared" si="365"/>
        <v>-1.1392677462647124E-3</v>
      </c>
      <c r="J1926" s="9">
        <f t="shared" si="354"/>
        <v>56568.484285714287</v>
      </c>
      <c r="K1926" s="9">
        <f t="shared" si="357"/>
        <v>53853.301666666659</v>
      </c>
      <c r="L1926" s="9">
        <f t="shared" si="356"/>
        <v>52907.494555555561</v>
      </c>
      <c r="M1926" s="9">
        <f t="shared" si="355"/>
        <v>6.9347051782683673E-3</v>
      </c>
      <c r="N1926" s="9">
        <f t="shared" si="358"/>
        <v>1.2648857468680727E-2</v>
      </c>
    </row>
    <row r="1927" spans="1:14" x14ac:dyDescent="0.35">
      <c r="A1927" s="1">
        <v>45184</v>
      </c>
      <c r="B1927" s="2" t="s">
        <v>1926</v>
      </c>
      <c r="C1927">
        <f t="shared" si="359"/>
        <v>56298.65</v>
      </c>
      <c r="D1927">
        <f t="shared" si="360"/>
        <v>2023</v>
      </c>
      <c r="E1927">
        <f t="shared" si="361"/>
        <v>9</v>
      </c>
      <c r="F1927" t="str">
        <f t="shared" si="363"/>
        <v>September</v>
      </c>
      <c r="G1927">
        <f t="shared" si="362"/>
        <v>15</v>
      </c>
      <c r="H1927" s="7">
        <f t="shared" si="364"/>
        <v>-0.14659115699709205</v>
      </c>
      <c r="I1927" s="9">
        <f t="shared" si="365"/>
        <v>-1.4669870695230324E-3</v>
      </c>
      <c r="J1927" s="9">
        <f t="shared" si="354"/>
        <v>56612.781428571434</v>
      </c>
      <c r="K1927" s="9">
        <f t="shared" si="357"/>
        <v>54038.036999999997</v>
      </c>
      <c r="L1927" s="9">
        <f t="shared" si="356"/>
        <v>52935.618777777796</v>
      </c>
      <c r="M1927" s="9">
        <f t="shared" si="355"/>
        <v>6.8528718878812286E-3</v>
      </c>
      <c r="N1927" s="9">
        <f t="shared" si="358"/>
        <v>1.0925932606771672E-2</v>
      </c>
    </row>
    <row r="1928" spans="1:14" x14ac:dyDescent="0.35">
      <c r="A1928" s="1">
        <v>45187</v>
      </c>
      <c r="B1928" s="2" t="s">
        <v>1927</v>
      </c>
      <c r="C1928">
        <f t="shared" si="359"/>
        <v>56581.88</v>
      </c>
      <c r="D1928">
        <f t="shared" si="360"/>
        <v>2023</v>
      </c>
      <c r="E1928">
        <f t="shared" si="361"/>
        <v>9</v>
      </c>
      <c r="F1928" t="str">
        <f t="shared" si="363"/>
        <v>September</v>
      </c>
      <c r="G1928">
        <f t="shared" si="362"/>
        <v>18</v>
      </c>
      <c r="H1928" s="7">
        <f t="shared" si="364"/>
        <v>0.5030848874706515</v>
      </c>
      <c r="I1928" s="9">
        <f t="shared" si="365"/>
        <v>5.0182364376630201E-3</v>
      </c>
      <c r="J1928" s="9">
        <f t="shared" si="354"/>
        <v>56614.457142857143</v>
      </c>
      <c r="K1928" s="9">
        <f t="shared" si="357"/>
        <v>54213.415666666653</v>
      </c>
      <c r="L1928" s="9">
        <f t="shared" si="356"/>
        <v>52963.748222222232</v>
      </c>
      <c r="M1928" s="9">
        <f t="shared" si="355"/>
        <v>5.8383196759359364E-3</v>
      </c>
      <c r="N1928" s="9">
        <f t="shared" si="358"/>
        <v>1.0836488400421921E-2</v>
      </c>
    </row>
    <row r="1929" spans="1:14" x14ac:dyDescent="0.35">
      <c r="A1929" s="1">
        <v>45188</v>
      </c>
      <c r="B1929" s="2" t="s">
        <v>1928</v>
      </c>
      <c r="C1929">
        <f t="shared" si="359"/>
        <v>56166.86</v>
      </c>
      <c r="D1929">
        <f t="shared" si="360"/>
        <v>2023</v>
      </c>
      <c r="E1929">
        <f t="shared" si="361"/>
        <v>9</v>
      </c>
      <c r="F1929" t="str">
        <f t="shared" si="363"/>
        <v>September</v>
      </c>
      <c r="G1929">
        <f t="shared" si="362"/>
        <v>19</v>
      </c>
      <c r="H1929" s="7">
        <f t="shared" si="364"/>
        <v>-0.73348570248990808</v>
      </c>
      <c r="I1929" s="9">
        <f t="shared" si="365"/>
        <v>-7.3618893553204934E-3</v>
      </c>
      <c r="J1929" s="9">
        <f t="shared" ref="J1929:J1992" si="366">AVERAGE(C1923:C1929)</f>
        <v>56512.187142857139</v>
      </c>
      <c r="K1929" s="9">
        <f t="shared" si="357"/>
        <v>54391.058666666657</v>
      </c>
      <c r="L1929" s="9">
        <f t="shared" si="356"/>
        <v>52991.834555555572</v>
      </c>
      <c r="M1929" s="9">
        <f t="shared" si="355"/>
        <v>5.8514455871084715E-3</v>
      </c>
      <c r="N1929" s="9">
        <f t="shared" si="358"/>
        <v>1.0758300360011989E-2</v>
      </c>
    </row>
    <row r="1930" spans="1:14" x14ac:dyDescent="0.35">
      <c r="A1930" s="1">
        <v>45189</v>
      </c>
      <c r="B1930" s="2" t="s">
        <v>1929</v>
      </c>
      <c r="C1930">
        <f t="shared" si="359"/>
        <v>55952.05</v>
      </c>
      <c r="D1930">
        <f t="shared" si="360"/>
        <v>2023</v>
      </c>
      <c r="E1930">
        <f t="shared" si="361"/>
        <v>9</v>
      </c>
      <c r="F1930" t="str">
        <f t="shared" si="363"/>
        <v>September</v>
      </c>
      <c r="G1930">
        <f t="shared" si="362"/>
        <v>20</v>
      </c>
      <c r="H1930" s="7">
        <f t="shared" si="364"/>
        <v>-0.38244972213151612</v>
      </c>
      <c r="I1930" s="9">
        <f t="shared" si="365"/>
        <v>-3.8318293111548039E-3</v>
      </c>
      <c r="J1930" s="9">
        <f t="shared" si="366"/>
        <v>56339.015714285706</v>
      </c>
      <c r="K1930" s="9">
        <f t="shared" si="357"/>
        <v>54535.298333333325</v>
      </c>
      <c r="L1930" s="9">
        <f t="shared" si="356"/>
        <v>53014.466777777787</v>
      </c>
      <c r="M1930" s="9">
        <f t="shared" ref="M1930:M1993" si="367">STDEV(I1924:I1930)</f>
        <v>5.0503542243013622E-3</v>
      </c>
      <c r="N1930" s="9">
        <f t="shared" si="358"/>
        <v>1.0586785823164255E-2</v>
      </c>
    </row>
    <row r="1931" spans="1:14" x14ac:dyDescent="0.35">
      <c r="A1931" s="1">
        <v>45190</v>
      </c>
      <c r="B1931" s="2" t="s">
        <v>1930</v>
      </c>
      <c r="C1931">
        <f t="shared" si="359"/>
        <v>56174.01</v>
      </c>
      <c r="D1931">
        <f t="shared" si="360"/>
        <v>2023</v>
      </c>
      <c r="E1931">
        <f t="shared" si="361"/>
        <v>9</v>
      </c>
      <c r="F1931" t="str">
        <f t="shared" si="363"/>
        <v>September</v>
      </c>
      <c r="G1931">
        <f t="shared" si="362"/>
        <v>21</v>
      </c>
      <c r="H1931" s="7">
        <f t="shared" si="364"/>
        <v>0.39669681450456079</v>
      </c>
      <c r="I1931" s="9">
        <f t="shared" si="365"/>
        <v>3.9591204743735838E-3</v>
      </c>
      <c r="J1931" s="9">
        <f t="shared" si="366"/>
        <v>56285.760000000002</v>
      </c>
      <c r="K1931" s="9">
        <f t="shared" si="357"/>
        <v>54711.853999999999</v>
      </c>
      <c r="L1931" s="9">
        <f t="shared" si="356"/>
        <v>53037.751666666671</v>
      </c>
      <c r="M1931" s="9">
        <f t="shared" si="367"/>
        <v>4.2846260910176653E-3</v>
      </c>
      <c r="N1931" s="9">
        <f t="shared" si="358"/>
        <v>1.007262522765884E-2</v>
      </c>
    </row>
    <row r="1932" spans="1:14" x14ac:dyDescent="0.35">
      <c r="A1932" s="1">
        <v>45191</v>
      </c>
      <c r="B1932" s="2" t="s">
        <v>1931</v>
      </c>
      <c r="C1932">
        <f t="shared" si="359"/>
        <v>56715.26</v>
      </c>
      <c r="D1932">
        <f t="shared" si="360"/>
        <v>2023</v>
      </c>
      <c r="E1932">
        <f t="shared" si="361"/>
        <v>9</v>
      </c>
      <c r="F1932" t="str">
        <f t="shared" si="363"/>
        <v>September</v>
      </c>
      <c r="G1932">
        <f t="shared" si="362"/>
        <v>22</v>
      </c>
      <c r="H1932" s="7">
        <f t="shared" si="364"/>
        <v>0.9635238787474848</v>
      </c>
      <c r="I1932" s="9">
        <f t="shared" si="365"/>
        <v>9.5891159075323501E-3</v>
      </c>
      <c r="J1932" s="9">
        <f t="shared" si="366"/>
        <v>56324.287142857145</v>
      </c>
      <c r="K1932" s="9">
        <f t="shared" si="357"/>
        <v>54896.745999999999</v>
      </c>
      <c r="L1932" s="9">
        <f t="shared" si="356"/>
        <v>53066.376222222229</v>
      </c>
      <c r="M1932" s="9">
        <f t="shared" si="367"/>
        <v>5.8007635049103145E-3</v>
      </c>
      <c r="N1932" s="9">
        <f t="shared" si="358"/>
        <v>1.012937944193381E-2</v>
      </c>
    </row>
    <row r="1933" spans="1:14" x14ac:dyDescent="0.35">
      <c r="A1933" s="1">
        <v>45195</v>
      </c>
      <c r="B1933" s="2" t="s">
        <v>1932</v>
      </c>
      <c r="C1933">
        <f t="shared" si="359"/>
        <v>57068.45</v>
      </c>
      <c r="D1933">
        <f t="shared" si="360"/>
        <v>2023</v>
      </c>
      <c r="E1933">
        <f t="shared" si="361"/>
        <v>9</v>
      </c>
      <c r="F1933" t="str">
        <f t="shared" si="363"/>
        <v>September</v>
      </c>
      <c r="G1933">
        <f t="shared" si="362"/>
        <v>26</v>
      </c>
      <c r="H1933" s="7">
        <f t="shared" si="364"/>
        <v>0.62274245062086475</v>
      </c>
      <c r="I1933" s="9">
        <f t="shared" si="365"/>
        <v>6.2081142256285088E-3</v>
      </c>
      <c r="J1933" s="9">
        <f t="shared" si="366"/>
        <v>56422.451428571432</v>
      </c>
      <c r="K1933" s="9">
        <f t="shared" si="357"/>
        <v>55058.888999999996</v>
      </c>
      <c r="L1933" s="9">
        <f t="shared" si="356"/>
        <v>53103.453444444451</v>
      </c>
      <c r="M1933" s="9">
        <f t="shared" si="367"/>
        <v>6.0747813174834922E-3</v>
      </c>
      <c r="N1933" s="9">
        <f t="shared" si="358"/>
        <v>9.6509019029238849E-3</v>
      </c>
    </row>
    <row r="1934" spans="1:14" x14ac:dyDescent="0.35">
      <c r="A1934" s="1">
        <v>45196</v>
      </c>
      <c r="B1934" s="2" t="s">
        <v>1933</v>
      </c>
      <c r="C1934">
        <f t="shared" si="359"/>
        <v>57130.48</v>
      </c>
      <c r="D1934">
        <f t="shared" si="360"/>
        <v>2023</v>
      </c>
      <c r="E1934">
        <f t="shared" si="361"/>
        <v>9</v>
      </c>
      <c r="F1934" t="str">
        <f t="shared" si="363"/>
        <v>September</v>
      </c>
      <c r="G1934">
        <f t="shared" si="362"/>
        <v>27</v>
      </c>
      <c r="H1934" s="7">
        <f t="shared" si="364"/>
        <v>0.10869403321801471</v>
      </c>
      <c r="I1934" s="9">
        <f t="shared" si="365"/>
        <v>1.086350040239872E-3</v>
      </c>
      <c r="J1934" s="9">
        <f t="shared" si="366"/>
        <v>56541.284285714282</v>
      </c>
      <c r="K1934" s="9">
        <f t="shared" si="357"/>
        <v>55226.805666666667</v>
      </c>
      <c r="L1934" s="9">
        <f t="shared" si="356"/>
        <v>53144.500888888899</v>
      </c>
      <c r="M1934" s="9">
        <f t="shared" si="367"/>
        <v>5.9256107179297534E-3</v>
      </c>
      <c r="N1934" s="9">
        <f t="shared" si="358"/>
        <v>9.6100382916220334E-3</v>
      </c>
    </row>
    <row r="1935" spans="1:14" x14ac:dyDescent="0.35">
      <c r="A1935" s="1">
        <v>45197</v>
      </c>
      <c r="B1935" s="2" t="s">
        <v>1934</v>
      </c>
      <c r="C1935">
        <f t="shared" si="359"/>
        <v>57102.13</v>
      </c>
      <c r="D1935">
        <f t="shared" si="360"/>
        <v>2023</v>
      </c>
      <c r="E1935">
        <f t="shared" si="361"/>
        <v>9</v>
      </c>
      <c r="F1935" t="str">
        <f t="shared" si="363"/>
        <v>September</v>
      </c>
      <c r="G1935">
        <f t="shared" si="362"/>
        <v>28</v>
      </c>
      <c r="H1935" s="7">
        <f t="shared" si="364"/>
        <v>-4.9623248395612669E-2</v>
      </c>
      <c r="I1935" s="9">
        <f t="shared" si="365"/>
        <v>-4.9635564804223725E-4</v>
      </c>
      <c r="J1935" s="9">
        <f t="shared" si="366"/>
        <v>56615.60571428571</v>
      </c>
      <c r="K1935" s="9">
        <f t="shared" si="357"/>
        <v>55392.456666666658</v>
      </c>
      <c r="L1935" s="9">
        <f t="shared" si="356"/>
        <v>53181.338555555551</v>
      </c>
      <c r="M1935" s="9">
        <f t="shared" si="367"/>
        <v>5.8381802677500687E-3</v>
      </c>
      <c r="N1935" s="9">
        <f t="shared" si="358"/>
        <v>9.6232137690939953E-3</v>
      </c>
    </row>
    <row r="1936" spans="1:14" x14ac:dyDescent="0.35">
      <c r="A1936" s="1">
        <v>45198</v>
      </c>
      <c r="B1936" s="2" t="s">
        <v>1935</v>
      </c>
      <c r="C1936">
        <f t="shared" si="359"/>
        <v>57891.82</v>
      </c>
      <c r="D1936">
        <f t="shared" si="360"/>
        <v>2023</v>
      </c>
      <c r="E1936">
        <f t="shared" si="361"/>
        <v>9</v>
      </c>
      <c r="F1936" t="str">
        <f t="shared" si="363"/>
        <v>September</v>
      </c>
      <c r="G1936">
        <f t="shared" si="362"/>
        <v>29</v>
      </c>
      <c r="H1936" s="7">
        <f t="shared" si="364"/>
        <v>1.3829431581624054</v>
      </c>
      <c r="I1936" s="9">
        <f t="shared" si="365"/>
        <v>1.3734677589174569E-2</v>
      </c>
      <c r="J1936" s="9">
        <f t="shared" si="366"/>
        <v>56862.028571428571</v>
      </c>
      <c r="K1936" s="9">
        <f t="shared" si="357"/>
        <v>55575.816666666658</v>
      </c>
      <c r="L1936" s="9">
        <f t="shared" si="356"/>
        <v>53229.763888888891</v>
      </c>
      <c r="M1936" s="9">
        <f t="shared" si="367"/>
        <v>6.0580666436203879E-3</v>
      </c>
      <c r="N1936" s="9">
        <f t="shared" si="358"/>
        <v>9.815260976533258E-3</v>
      </c>
    </row>
    <row r="1937" spans="1:14" x14ac:dyDescent="0.35">
      <c r="A1937" s="1">
        <v>45201</v>
      </c>
      <c r="B1937" s="2" t="s">
        <v>1936</v>
      </c>
      <c r="C1937">
        <f t="shared" si="359"/>
        <v>58711.15</v>
      </c>
      <c r="D1937">
        <f t="shared" si="360"/>
        <v>2023</v>
      </c>
      <c r="E1937">
        <f t="shared" si="361"/>
        <v>10</v>
      </c>
      <c r="F1937" t="str">
        <f t="shared" si="363"/>
        <v>October</v>
      </c>
      <c r="G1937">
        <f t="shared" si="362"/>
        <v>2</v>
      </c>
      <c r="H1937" s="7">
        <f t="shared" si="364"/>
        <v>1.4152776678985075</v>
      </c>
      <c r="I1937" s="9">
        <f t="shared" si="365"/>
        <v>1.4053561156085451E-2</v>
      </c>
      <c r="J1937" s="9">
        <f t="shared" si="366"/>
        <v>57256.185714285719</v>
      </c>
      <c r="K1937" s="9">
        <f t="shared" si="357"/>
        <v>55758.143333333326</v>
      </c>
      <c r="L1937" s="9">
        <f t="shared" si="356"/>
        <v>53287.825666666671</v>
      </c>
      <c r="M1937" s="9">
        <f t="shared" si="367"/>
        <v>5.8129993897014657E-3</v>
      </c>
      <c r="N1937" s="9">
        <f t="shared" si="358"/>
        <v>9.7301726047037858E-3</v>
      </c>
    </row>
    <row r="1938" spans="1:14" x14ac:dyDescent="0.35">
      <c r="A1938" s="1">
        <v>45202</v>
      </c>
      <c r="B1938" s="2" t="s">
        <v>1937</v>
      </c>
      <c r="C1938">
        <f t="shared" si="359"/>
        <v>58668.480000000003</v>
      </c>
      <c r="D1938">
        <f t="shared" si="360"/>
        <v>2023</v>
      </c>
      <c r="E1938">
        <f t="shared" si="361"/>
        <v>10</v>
      </c>
      <c r="F1938" t="str">
        <f t="shared" si="363"/>
        <v>October</v>
      </c>
      <c r="G1938">
        <f t="shared" si="362"/>
        <v>3</v>
      </c>
      <c r="H1938" s="7">
        <f t="shared" si="364"/>
        <v>-7.2677847393550044E-2</v>
      </c>
      <c r="I1938" s="9">
        <f t="shared" si="365"/>
        <v>-7.2704270544356729E-4</v>
      </c>
      <c r="J1938" s="9">
        <f t="shared" si="366"/>
        <v>57612.538571428573</v>
      </c>
      <c r="K1938" s="9">
        <f t="shared" si="357"/>
        <v>55964.859999999993</v>
      </c>
      <c r="L1938" s="9">
        <f t="shared" si="356"/>
        <v>53343.549000000014</v>
      </c>
      <c r="M1938" s="9">
        <f t="shared" si="367"/>
        <v>6.4408868729872266E-3</v>
      </c>
      <c r="N1938" s="9">
        <f t="shared" si="358"/>
        <v>9.1618298760122868E-3</v>
      </c>
    </row>
    <row r="1939" spans="1:14" x14ac:dyDescent="0.35">
      <c r="A1939" s="1">
        <v>45203</v>
      </c>
      <c r="B1939" s="2" t="s">
        <v>1938</v>
      </c>
      <c r="C1939">
        <f t="shared" si="359"/>
        <v>58802.69</v>
      </c>
      <c r="D1939">
        <f t="shared" si="360"/>
        <v>2023</v>
      </c>
      <c r="E1939">
        <f t="shared" si="361"/>
        <v>10</v>
      </c>
      <c r="F1939" t="str">
        <f t="shared" si="363"/>
        <v>October</v>
      </c>
      <c r="G1939">
        <f t="shared" si="362"/>
        <v>4</v>
      </c>
      <c r="H1939" s="7">
        <f t="shared" si="364"/>
        <v>0.22875997469168985</v>
      </c>
      <c r="I1939" s="9">
        <f t="shared" si="365"/>
        <v>2.2849871742043923E-3</v>
      </c>
      <c r="J1939" s="9">
        <f t="shared" si="366"/>
        <v>57910.742857142861</v>
      </c>
      <c r="K1939" s="9">
        <f t="shared" si="357"/>
        <v>56142.512666666662</v>
      </c>
      <c r="L1939" s="9">
        <f t="shared" si="356"/>
        <v>53405.01200000001</v>
      </c>
      <c r="M1939" s="9">
        <f t="shared" si="367"/>
        <v>6.3931074695366859E-3</v>
      </c>
      <c r="N1939" s="9">
        <f t="shared" si="358"/>
        <v>8.6975945548994366E-3</v>
      </c>
    </row>
    <row r="1940" spans="1:14" x14ac:dyDescent="0.35">
      <c r="A1940" s="1">
        <v>45204</v>
      </c>
      <c r="B1940" s="2" t="s">
        <v>1939</v>
      </c>
      <c r="C1940">
        <f t="shared" si="359"/>
        <v>60165.51</v>
      </c>
      <c r="D1940">
        <f t="shared" si="360"/>
        <v>2023</v>
      </c>
      <c r="E1940">
        <f t="shared" si="361"/>
        <v>10</v>
      </c>
      <c r="F1940" t="str">
        <f t="shared" si="363"/>
        <v>October</v>
      </c>
      <c r="G1940">
        <f t="shared" si="362"/>
        <v>5</v>
      </c>
      <c r="H1940" s="7">
        <f t="shared" si="364"/>
        <v>2.317615061487833</v>
      </c>
      <c r="I1940" s="9">
        <f t="shared" si="365"/>
        <v>2.2911662385824583E-2</v>
      </c>
      <c r="J1940" s="9">
        <f t="shared" si="366"/>
        <v>58353.18</v>
      </c>
      <c r="K1940" s="9">
        <f t="shared" si="357"/>
        <v>56407.051999999996</v>
      </c>
      <c r="L1940" s="9">
        <f t="shared" si="356"/>
        <v>53482.152222222227</v>
      </c>
      <c r="M1940" s="9">
        <f t="shared" si="367"/>
        <v>9.3030427030007905E-3</v>
      </c>
      <c r="N1940" s="9">
        <f t="shared" si="358"/>
        <v>7.8756778258577704E-3</v>
      </c>
    </row>
    <row r="1941" spans="1:14" x14ac:dyDescent="0.35">
      <c r="A1941" s="1">
        <v>45205</v>
      </c>
      <c r="B1941" s="2" t="s">
        <v>1940</v>
      </c>
      <c r="C1941">
        <f t="shared" si="359"/>
        <v>60039.27</v>
      </c>
      <c r="D1941">
        <f t="shared" si="360"/>
        <v>2023</v>
      </c>
      <c r="E1941">
        <f t="shared" si="361"/>
        <v>10</v>
      </c>
      <c r="F1941" t="str">
        <f t="shared" si="363"/>
        <v>October</v>
      </c>
      <c r="G1941">
        <f t="shared" si="362"/>
        <v>6</v>
      </c>
      <c r="H1941" s="7">
        <f t="shared" si="364"/>
        <v>-0.20982120819719677</v>
      </c>
      <c r="I1941" s="9">
        <f t="shared" si="365"/>
        <v>-2.1004164129180126E-3</v>
      </c>
      <c r="J1941" s="9">
        <f t="shared" si="366"/>
        <v>58768.721428571436</v>
      </c>
      <c r="K1941" s="9">
        <f t="shared" si="357"/>
        <v>56647.915333333323</v>
      </c>
      <c r="L1941" s="9">
        <f t="shared" si="356"/>
        <v>53569.638888888891</v>
      </c>
      <c r="M1941" s="9">
        <f t="shared" si="367"/>
        <v>9.7397693139006977E-3</v>
      </c>
      <c r="N1941" s="9">
        <f t="shared" si="358"/>
        <v>7.8748067042253758E-3</v>
      </c>
    </row>
    <row r="1942" spans="1:14" x14ac:dyDescent="0.35">
      <c r="A1942" s="1">
        <v>45208</v>
      </c>
      <c r="B1942" s="2" t="s">
        <v>1941</v>
      </c>
      <c r="C1942">
        <f t="shared" si="359"/>
        <v>59655.56</v>
      </c>
      <c r="D1942">
        <f t="shared" si="360"/>
        <v>2023</v>
      </c>
      <c r="E1942">
        <f t="shared" si="361"/>
        <v>10</v>
      </c>
      <c r="F1942" t="str">
        <f t="shared" si="363"/>
        <v>October</v>
      </c>
      <c r="G1942">
        <f t="shared" si="362"/>
        <v>9</v>
      </c>
      <c r="H1942" s="7">
        <f t="shared" si="364"/>
        <v>-0.63909837677906334</v>
      </c>
      <c r="I1942" s="9">
        <f t="shared" si="365"/>
        <v>-6.4114935363149099E-3</v>
      </c>
      <c r="J1942" s="9">
        <f t="shared" si="366"/>
        <v>59133.497142857152</v>
      </c>
      <c r="K1942" s="9">
        <f t="shared" si="357"/>
        <v>56830.173333333332</v>
      </c>
      <c r="L1942" s="9">
        <f t="shared" si="356"/>
        <v>53655.152888888886</v>
      </c>
      <c r="M1942" s="9">
        <f t="shared" si="367"/>
        <v>1.071580049033197E-2</v>
      </c>
      <c r="N1942" s="9">
        <f t="shared" si="358"/>
        <v>6.9963049397173344E-3</v>
      </c>
    </row>
    <row r="1943" spans="1:14" x14ac:dyDescent="0.35">
      <c r="A1943" s="1">
        <v>45209</v>
      </c>
      <c r="B1943" s="2" t="s">
        <v>1942</v>
      </c>
      <c r="C1943">
        <f t="shared" si="359"/>
        <v>58797.68</v>
      </c>
      <c r="D1943">
        <f t="shared" si="360"/>
        <v>2023</v>
      </c>
      <c r="E1943">
        <f t="shared" si="361"/>
        <v>10</v>
      </c>
      <c r="F1943" t="str">
        <f t="shared" si="363"/>
        <v>October</v>
      </c>
      <c r="G1943">
        <f t="shared" si="362"/>
        <v>10</v>
      </c>
      <c r="H1943" s="7">
        <f t="shared" si="364"/>
        <v>-1.4380553966805396</v>
      </c>
      <c r="I1943" s="9">
        <f t="shared" si="365"/>
        <v>-1.4484956250202543E-2</v>
      </c>
      <c r="J1943" s="9">
        <f t="shared" si="366"/>
        <v>59262.90571428572</v>
      </c>
      <c r="K1943" s="9">
        <f t="shared" si="357"/>
        <v>56982.789333333334</v>
      </c>
      <c r="L1943" s="9">
        <f t="shared" si="356"/>
        <v>53728.427666666656</v>
      </c>
      <c r="M1943" s="9">
        <f t="shared" si="367"/>
        <v>1.2577039669759017E-2</v>
      </c>
      <c r="N1943" s="9">
        <f t="shared" si="358"/>
        <v>7.6967427040334577E-3</v>
      </c>
    </row>
    <row r="1944" spans="1:14" x14ac:dyDescent="0.35">
      <c r="A1944" s="1">
        <v>45210</v>
      </c>
      <c r="B1944" s="2" t="s">
        <v>1943</v>
      </c>
      <c r="C1944">
        <f t="shared" si="359"/>
        <v>58204.72</v>
      </c>
      <c r="D1944">
        <f t="shared" si="360"/>
        <v>2023</v>
      </c>
      <c r="E1944">
        <f t="shared" si="361"/>
        <v>10</v>
      </c>
      <c r="F1944" t="str">
        <f t="shared" si="363"/>
        <v>October</v>
      </c>
      <c r="G1944">
        <f t="shared" si="362"/>
        <v>11</v>
      </c>
      <c r="H1944" s="7">
        <f t="shared" si="364"/>
        <v>-1.0084751643262102</v>
      </c>
      <c r="I1944" s="9">
        <f t="shared" si="365"/>
        <v>-1.0135947238518211E-2</v>
      </c>
      <c r="J1944" s="9">
        <f t="shared" si="366"/>
        <v>59190.558571428577</v>
      </c>
      <c r="K1944" s="9">
        <f t="shared" si="357"/>
        <v>57109.297666666665</v>
      </c>
      <c r="L1944" s="9">
        <f t="shared" si="356"/>
        <v>53801.036333333315</v>
      </c>
      <c r="M1944" s="9">
        <f t="shared" si="367"/>
        <v>1.2097126522545461E-2</v>
      </c>
      <c r="N1944" s="9">
        <f t="shared" si="358"/>
        <v>8.0428432744251779E-3</v>
      </c>
    </row>
    <row r="1945" spans="1:14" x14ac:dyDescent="0.35">
      <c r="A1945" s="1">
        <v>45211</v>
      </c>
      <c r="B1945" s="2" t="s">
        <v>1944</v>
      </c>
      <c r="C1945">
        <f t="shared" si="359"/>
        <v>58125.95</v>
      </c>
      <c r="D1945">
        <f t="shared" si="360"/>
        <v>2023</v>
      </c>
      <c r="E1945">
        <f t="shared" si="361"/>
        <v>10</v>
      </c>
      <c r="F1945" t="str">
        <f t="shared" si="363"/>
        <v>October</v>
      </c>
      <c r="G1945">
        <f t="shared" si="362"/>
        <v>12</v>
      </c>
      <c r="H1945" s="7">
        <f t="shared" si="364"/>
        <v>-0.1353326671788887</v>
      </c>
      <c r="I1945" s="9">
        <f t="shared" si="365"/>
        <v>-1.3542432453714903E-3</v>
      </c>
      <c r="J1945" s="9">
        <f t="shared" si="366"/>
        <v>59113.054285714294</v>
      </c>
      <c r="K1945" s="9">
        <f t="shared" si="357"/>
        <v>57212.475999999995</v>
      </c>
      <c r="L1945" s="9">
        <f t="shared" si="356"/>
        <v>53877.279555555549</v>
      </c>
      <c r="M1945" s="9">
        <f t="shared" si="367"/>
        <v>1.2095037268193977E-2</v>
      </c>
      <c r="N1945" s="9">
        <f t="shared" si="358"/>
        <v>7.8798083073078375E-3</v>
      </c>
    </row>
    <row r="1946" spans="1:14" x14ac:dyDescent="0.35">
      <c r="A1946" s="1">
        <v>45212</v>
      </c>
      <c r="B1946" s="2" t="s">
        <v>1945</v>
      </c>
      <c r="C1946">
        <f t="shared" si="359"/>
        <v>57186.66</v>
      </c>
      <c r="D1946">
        <f t="shared" si="360"/>
        <v>2023</v>
      </c>
      <c r="E1946">
        <f t="shared" si="361"/>
        <v>10</v>
      </c>
      <c r="F1946" t="str">
        <f t="shared" si="363"/>
        <v>October</v>
      </c>
      <c r="G1946">
        <f t="shared" si="362"/>
        <v>13</v>
      </c>
      <c r="H1946" s="7">
        <f t="shared" si="364"/>
        <v>-1.6159563843687608</v>
      </c>
      <c r="I1946" s="9">
        <f t="shared" si="365"/>
        <v>-1.6291553456706125E-2</v>
      </c>
      <c r="J1946" s="9">
        <f t="shared" si="366"/>
        <v>58882.192857142851</v>
      </c>
      <c r="K1946" s="9">
        <f t="shared" si="357"/>
        <v>57279.647999999994</v>
      </c>
      <c r="L1946" s="9">
        <f t="shared" si="356"/>
        <v>53926.721777777777</v>
      </c>
      <c r="M1946" s="9">
        <f t="shared" si="367"/>
        <v>1.3161340063035267E-2</v>
      </c>
      <c r="N1946" s="9">
        <f t="shared" si="358"/>
        <v>8.5428875786716218E-3</v>
      </c>
    </row>
    <row r="1947" spans="1:14" x14ac:dyDescent="0.35">
      <c r="A1947" s="1">
        <v>45215</v>
      </c>
      <c r="B1947" s="2" t="s">
        <v>1946</v>
      </c>
      <c r="C1947">
        <f t="shared" si="359"/>
        <v>57145.62</v>
      </c>
      <c r="D1947">
        <f t="shared" si="360"/>
        <v>2023</v>
      </c>
      <c r="E1947">
        <f t="shared" si="361"/>
        <v>10</v>
      </c>
      <c r="F1947" t="str">
        <f t="shared" si="363"/>
        <v>October</v>
      </c>
      <c r="G1947">
        <f t="shared" si="362"/>
        <v>16</v>
      </c>
      <c r="H1947" s="7">
        <f t="shared" si="364"/>
        <v>-7.1764988548030026E-2</v>
      </c>
      <c r="I1947" s="9">
        <f t="shared" si="365"/>
        <v>-7.1790751942737475E-4</v>
      </c>
      <c r="J1947" s="9">
        <f t="shared" si="366"/>
        <v>58450.779999999992</v>
      </c>
      <c r="K1947" s="9">
        <f t="shared" si="357"/>
        <v>57335.416333333327</v>
      </c>
      <c r="L1947" s="9">
        <f t="shared" si="356"/>
        <v>53978.952111111095</v>
      </c>
      <c r="M1947" s="9">
        <f t="shared" si="367"/>
        <v>6.4160325715014515E-3</v>
      </c>
      <c r="N1947" s="9">
        <f t="shared" si="358"/>
        <v>8.5112762864111291E-3</v>
      </c>
    </row>
    <row r="1948" spans="1:14" x14ac:dyDescent="0.35">
      <c r="A1948" s="1">
        <v>45216</v>
      </c>
      <c r="B1948" s="2" t="s">
        <v>1947</v>
      </c>
      <c r="C1948">
        <f t="shared" si="359"/>
        <v>56647.519999999997</v>
      </c>
      <c r="D1948">
        <f t="shared" si="360"/>
        <v>2023</v>
      </c>
      <c r="E1948">
        <f t="shared" si="361"/>
        <v>10</v>
      </c>
      <c r="F1948" t="str">
        <f t="shared" si="363"/>
        <v>October</v>
      </c>
      <c r="G1948">
        <f t="shared" si="362"/>
        <v>17</v>
      </c>
      <c r="H1948" s="7">
        <f t="shared" si="364"/>
        <v>-0.87163285655139588</v>
      </c>
      <c r="I1948" s="9">
        <f t="shared" si="365"/>
        <v>-8.7545379497378471E-3</v>
      </c>
      <c r="J1948" s="9">
        <f t="shared" si="366"/>
        <v>57966.244285714281</v>
      </c>
      <c r="K1948" s="9">
        <f t="shared" si="357"/>
        <v>57364.008666666661</v>
      </c>
      <c r="L1948" s="9">
        <f t="shared" ref="L1948:L2011" si="368">AVERAGE(C1859:C1948)</f>
        <v>54035.572222222203</v>
      </c>
      <c r="M1948" s="9">
        <f t="shared" si="367"/>
        <v>5.9860068922987604E-3</v>
      </c>
      <c r="N1948" s="9">
        <f t="shared" si="358"/>
        <v>8.6435512981724565E-3</v>
      </c>
    </row>
    <row r="1949" spans="1:14" x14ac:dyDescent="0.35">
      <c r="A1949" s="1">
        <v>45217</v>
      </c>
      <c r="B1949" s="2" t="s">
        <v>1948</v>
      </c>
      <c r="C1949">
        <f t="shared" si="359"/>
        <v>56562.34</v>
      </c>
      <c r="D1949">
        <f t="shared" si="360"/>
        <v>2023</v>
      </c>
      <c r="E1949">
        <f t="shared" si="361"/>
        <v>10</v>
      </c>
      <c r="F1949" t="str">
        <f t="shared" si="363"/>
        <v>October</v>
      </c>
      <c r="G1949">
        <f t="shared" si="362"/>
        <v>18</v>
      </c>
      <c r="H1949" s="7">
        <f t="shared" si="364"/>
        <v>-0.15036845390583789</v>
      </c>
      <c r="I1949" s="9">
        <f t="shared" si="365"/>
        <v>-1.5048162072450991E-3</v>
      </c>
      <c r="J1949" s="9">
        <f t="shared" si="366"/>
        <v>57524.35571428571</v>
      </c>
      <c r="K1949" s="9">
        <f t="shared" si="357"/>
        <v>57392.471000000005</v>
      </c>
      <c r="L1949" s="9">
        <f t="shared" si="368"/>
        <v>54085.363666666643</v>
      </c>
      <c r="M1949" s="9">
        <f t="shared" si="367"/>
        <v>6.509395441158721E-3</v>
      </c>
      <c r="N1949" s="9">
        <f t="shared" si="358"/>
        <v>8.6439231252815468E-3</v>
      </c>
    </row>
    <row r="1950" spans="1:14" x14ac:dyDescent="0.35">
      <c r="A1950" s="1">
        <v>45218</v>
      </c>
      <c r="B1950" s="2" t="s">
        <v>1949</v>
      </c>
      <c r="C1950">
        <f t="shared" si="359"/>
        <v>55646.15</v>
      </c>
      <c r="D1950">
        <f t="shared" si="360"/>
        <v>2023</v>
      </c>
      <c r="E1950">
        <f t="shared" si="361"/>
        <v>10</v>
      </c>
      <c r="F1950" t="str">
        <f t="shared" si="363"/>
        <v>October</v>
      </c>
      <c r="G1950">
        <f t="shared" si="362"/>
        <v>19</v>
      </c>
      <c r="H1950" s="7">
        <f t="shared" si="364"/>
        <v>-1.6197880073561228</v>
      </c>
      <c r="I1950" s="9">
        <f t="shared" si="365"/>
        <v>-1.6330499788457395E-2</v>
      </c>
      <c r="J1950" s="9">
        <f t="shared" si="366"/>
        <v>57074.137142857151</v>
      </c>
      <c r="K1950" s="9">
        <f t="shared" si="357"/>
        <v>57381.057000000001</v>
      </c>
      <c r="L1950" s="9">
        <f t="shared" si="368"/>
        <v>54132.205777777752</v>
      </c>
      <c r="M1950" s="9">
        <f t="shared" si="367"/>
        <v>6.8622472167611283E-3</v>
      </c>
      <c r="N1950" s="9">
        <f t="shared" si="358"/>
        <v>9.1251724020764598E-3</v>
      </c>
    </row>
    <row r="1951" spans="1:14" x14ac:dyDescent="0.35">
      <c r="A1951" s="1">
        <v>45219</v>
      </c>
      <c r="B1951" s="2" t="s">
        <v>1950</v>
      </c>
      <c r="C1951">
        <f t="shared" si="359"/>
        <v>57608.94</v>
      </c>
      <c r="D1951">
        <f t="shared" si="360"/>
        <v>2023</v>
      </c>
      <c r="E1951">
        <f t="shared" si="361"/>
        <v>10</v>
      </c>
      <c r="F1951" t="str">
        <f t="shared" si="363"/>
        <v>October</v>
      </c>
      <c r="G1951">
        <f t="shared" si="362"/>
        <v>20</v>
      </c>
      <c r="H1951" s="7">
        <f t="shared" si="364"/>
        <v>3.5272700806794379</v>
      </c>
      <c r="I1951" s="9">
        <f t="shared" si="365"/>
        <v>3.4664871053206849E-2</v>
      </c>
      <c r="J1951" s="9">
        <f t="shared" si="366"/>
        <v>56989.025714285715</v>
      </c>
      <c r="K1951" s="9">
        <f t="shared" si="357"/>
        <v>57415.683333333327</v>
      </c>
      <c r="L1951" s="9">
        <f t="shared" si="368"/>
        <v>54201.776555555538</v>
      </c>
      <c r="M1951" s="9">
        <f t="shared" si="367"/>
        <v>1.7319962252910277E-2</v>
      </c>
      <c r="N1951" s="9">
        <f t="shared" si="358"/>
        <v>1.0985689480691401E-2</v>
      </c>
    </row>
    <row r="1952" spans="1:14" x14ac:dyDescent="0.35">
      <c r="A1952" s="1">
        <v>45222</v>
      </c>
      <c r="B1952" s="2" t="s">
        <v>1951</v>
      </c>
      <c r="C1952">
        <f t="shared" si="359"/>
        <v>57885.26</v>
      </c>
      <c r="D1952">
        <f t="shared" si="360"/>
        <v>2023</v>
      </c>
      <c r="E1952">
        <f t="shared" si="361"/>
        <v>10</v>
      </c>
      <c r="F1952" t="str">
        <f t="shared" si="363"/>
        <v>October</v>
      </c>
      <c r="G1952">
        <f t="shared" si="362"/>
        <v>23</v>
      </c>
      <c r="H1952" s="7">
        <f t="shared" si="364"/>
        <v>0.47964777689018351</v>
      </c>
      <c r="I1952" s="9">
        <f t="shared" si="365"/>
        <v>4.7850113204997644E-3</v>
      </c>
      <c r="J1952" s="9">
        <f t="shared" si="366"/>
        <v>56954.641428571427</v>
      </c>
      <c r="K1952" s="9">
        <f t="shared" ref="K1952:K2015" si="369">AVERAGE(C1923:C1952)</f>
        <v>57449.100333333328</v>
      </c>
      <c r="L1952" s="9">
        <f t="shared" si="368"/>
        <v>54271.948666666642</v>
      </c>
      <c r="M1952" s="9">
        <f t="shared" si="367"/>
        <v>1.7481474333471657E-2</v>
      </c>
      <c r="N1952" s="9">
        <f t="shared" si="358"/>
        <v>1.0975313056012431E-2</v>
      </c>
    </row>
    <row r="1953" spans="1:14" x14ac:dyDescent="0.35">
      <c r="A1953" s="1">
        <v>45223</v>
      </c>
      <c r="B1953" s="2" t="s">
        <v>1952</v>
      </c>
      <c r="C1953">
        <f t="shared" si="359"/>
        <v>57703.02</v>
      </c>
      <c r="D1953">
        <f t="shared" si="360"/>
        <v>2023</v>
      </c>
      <c r="E1953">
        <f t="shared" si="361"/>
        <v>10</v>
      </c>
      <c r="F1953" t="str">
        <f t="shared" si="363"/>
        <v>October</v>
      </c>
      <c r="G1953">
        <f t="shared" si="362"/>
        <v>24</v>
      </c>
      <c r="H1953" s="7">
        <f t="shared" si="364"/>
        <v>-0.3148297165807068</v>
      </c>
      <c r="I1953" s="9">
        <f t="shared" si="365"/>
        <v>-3.1532634796898307E-3</v>
      </c>
      <c r="J1953" s="9">
        <f t="shared" si="366"/>
        <v>57028.407142857141</v>
      </c>
      <c r="K1953" s="9">
        <f t="shared" si="369"/>
        <v>57467.059333333324</v>
      </c>
      <c r="L1953" s="9">
        <f t="shared" si="368"/>
        <v>54343.792444444414</v>
      </c>
      <c r="M1953" s="9">
        <f t="shared" si="367"/>
        <v>1.6171254930381244E-2</v>
      </c>
      <c r="N1953" s="9">
        <f t="shared" ref="N1953:N2016" si="370">STDEV(I1924:I1953)</f>
        <v>1.0964018788907822E-2</v>
      </c>
    </row>
    <row r="1954" spans="1:14" x14ac:dyDescent="0.35">
      <c r="A1954" s="1">
        <v>45224</v>
      </c>
      <c r="B1954" s="2" t="s">
        <v>1953</v>
      </c>
      <c r="C1954">
        <f t="shared" si="359"/>
        <v>57786.31</v>
      </c>
      <c r="D1954">
        <f t="shared" si="360"/>
        <v>2023</v>
      </c>
      <c r="E1954">
        <f t="shared" si="361"/>
        <v>10</v>
      </c>
      <c r="F1954" t="str">
        <f t="shared" si="363"/>
        <v>October</v>
      </c>
      <c r="G1954">
        <f t="shared" si="362"/>
        <v>25</v>
      </c>
      <c r="H1954" s="7">
        <f t="shared" si="364"/>
        <v>0.144342531812028</v>
      </c>
      <c r="I1954" s="9">
        <f t="shared" si="365"/>
        <v>1.4423845811595472E-3</v>
      </c>
      <c r="J1954" s="9">
        <f t="shared" si="366"/>
        <v>57119.934285714284</v>
      </c>
      <c r="K1954" s="9">
        <f t="shared" si="369"/>
        <v>57508.376333333334</v>
      </c>
      <c r="L1954" s="9">
        <f t="shared" si="368"/>
        <v>54412.968444444414</v>
      </c>
      <c r="M1954" s="9">
        <f t="shared" si="367"/>
        <v>1.6147276056691216E-2</v>
      </c>
      <c r="N1954" s="9">
        <f t="shared" si="370"/>
        <v>1.0759889806407262E-2</v>
      </c>
    </row>
    <row r="1955" spans="1:14" x14ac:dyDescent="0.35">
      <c r="A1955" s="1">
        <v>45225</v>
      </c>
      <c r="B1955" s="2" t="s">
        <v>1954</v>
      </c>
      <c r="C1955">
        <f t="shared" si="359"/>
        <v>57705.64</v>
      </c>
      <c r="D1955">
        <f t="shared" si="360"/>
        <v>2023</v>
      </c>
      <c r="E1955">
        <f t="shared" si="361"/>
        <v>10</v>
      </c>
      <c r="F1955" t="str">
        <f t="shared" si="363"/>
        <v>October</v>
      </c>
      <c r="G1955">
        <f t="shared" si="362"/>
        <v>26</v>
      </c>
      <c r="H1955" s="7">
        <f t="shared" si="364"/>
        <v>-0.1396005386050749</v>
      </c>
      <c r="I1955" s="9">
        <f t="shared" si="365"/>
        <v>-1.3969807093798109E-3</v>
      </c>
      <c r="J1955" s="9">
        <f t="shared" si="366"/>
        <v>57271.094285714287</v>
      </c>
      <c r="K1955" s="9">
        <f t="shared" si="369"/>
        <v>57550.378666666671</v>
      </c>
      <c r="L1955" s="9">
        <f t="shared" si="368"/>
        <v>54479.207111111085</v>
      </c>
      <c r="M1955" s="9">
        <f t="shared" si="367"/>
        <v>1.5591376350121016E-2</v>
      </c>
      <c r="N1955" s="9">
        <f t="shared" si="370"/>
        <v>1.0756949150987984E-2</v>
      </c>
    </row>
    <row r="1956" spans="1:14" x14ac:dyDescent="0.35">
      <c r="A1956" s="1">
        <v>45226</v>
      </c>
      <c r="B1956" s="2" t="s">
        <v>1955</v>
      </c>
      <c r="C1956">
        <f t="shared" si="359"/>
        <v>56861.21</v>
      </c>
      <c r="D1956">
        <f t="shared" si="360"/>
        <v>2023</v>
      </c>
      <c r="E1956">
        <f t="shared" si="361"/>
        <v>10</v>
      </c>
      <c r="F1956" t="str">
        <f t="shared" si="363"/>
        <v>October</v>
      </c>
      <c r="G1956">
        <f t="shared" si="362"/>
        <v>27</v>
      </c>
      <c r="H1956" s="7">
        <f t="shared" si="364"/>
        <v>-1.4633404984330827</v>
      </c>
      <c r="I1956" s="9">
        <f t="shared" si="365"/>
        <v>-1.4741529370099444E-2</v>
      </c>
      <c r="J1956" s="9">
        <f t="shared" si="366"/>
        <v>57313.79</v>
      </c>
      <c r="K1956" s="9">
        <f t="shared" si="369"/>
        <v>57566.375666666667</v>
      </c>
      <c r="L1956" s="9">
        <f t="shared" si="368"/>
        <v>54537.686111111092</v>
      </c>
      <c r="M1956" s="9">
        <f t="shared" si="367"/>
        <v>1.6924120269704714E-2</v>
      </c>
      <c r="N1956" s="9">
        <f t="shared" si="370"/>
        <v>1.1119282536445767E-2</v>
      </c>
    </row>
    <row r="1957" spans="1:14" x14ac:dyDescent="0.35">
      <c r="A1957" s="1">
        <v>45229</v>
      </c>
      <c r="B1957" s="2" t="s">
        <v>1956</v>
      </c>
      <c r="C1957">
        <f t="shared" si="359"/>
        <v>57118.03</v>
      </c>
      <c r="D1957">
        <f t="shared" si="360"/>
        <v>2023</v>
      </c>
      <c r="E1957">
        <f t="shared" si="361"/>
        <v>10</v>
      </c>
      <c r="F1957" t="str">
        <f t="shared" si="363"/>
        <v>October</v>
      </c>
      <c r="G1957">
        <f t="shared" si="362"/>
        <v>30</v>
      </c>
      <c r="H1957" s="7">
        <f t="shared" si="364"/>
        <v>0.45166115881107649</v>
      </c>
      <c r="I1957" s="9">
        <f t="shared" si="365"/>
        <v>4.5064423069565472E-3</v>
      </c>
      <c r="J1957" s="9">
        <f t="shared" si="366"/>
        <v>57524.058571428577</v>
      </c>
      <c r="K1957" s="9">
        <f t="shared" si="369"/>
        <v>57593.688333333339</v>
      </c>
      <c r="L1957" s="9">
        <f t="shared" si="368"/>
        <v>54603.575444444425</v>
      </c>
      <c r="M1957" s="9">
        <f t="shared" si="367"/>
        <v>1.5159034633839542E-2</v>
      </c>
      <c r="N1957" s="9">
        <f t="shared" si="370"/>
        <v>1.1140336979074567E-2</v>
      </c>
    </row>
    <row r="1958" spans="1:14" x14ac:dyDescent="0.35">
      <c r="A1958" s="1">
        <v>45230</v>
      </c>
      <c r="B1958" s="2" t="s">
        <v>1957</v>
      </c>
      <c r="C1958">
        <f t="shared" si="359"/>
        <v>56470.720000000001</v>
      </c>
      <c r="D1958">
        <f t="shared" si="360"/>
        <v>2023</v>
      </c>
      <c r="E1958">
        <f t="shared" si="361"/>
        <v>10</v>
      </c>
      <c r="F1958" t="str">
        <f t="shared" si="363"/>
        <v>October</v>
      </c>
      <c r="G1958">
        <f t="shared" si="362"/>
        <v>31</v>
      </c>
      <c r="H1958" s="7">
        <f t="shared" si="364"/>
        <v>-1.1332848839499501</v>
      </c>
      <c r="I1958" s="9">
        <f t="shared" si="365"/>
        <v>-1.1397554904781533E-2</v>
      </c>
      <c r="J1958" s="9">
        <f t="shared" si="366"/>
        <v>57361.455714285708</v>
      </c>
      <c r="K1958" s="9">
        <f t="shared" si="369"/>
        <v>57589.983000000007</v>
      </c>
      <c r="L1958" s="9">
        <f t="shared" si="368"/>
        <v>54670.645777777761</v>
      </c>
      <c r="M1958" s="9">
        <f t="shared" si="367"/>
        <v>7.6103832773981384E-3</v>
      </c>
      <c r="N1958" s="9">
        <f t="shared" si="370"/>
        <v>1.131166344824156E-2</v>
      </c>
    </row>
    <row r="1959" spans="1:14" x14ac:dyDescent="0.35">
      <c r="A1959" s="1">
        <v>45231</v>
      </c>
      <c r="B1959" s="2" t="s">
        <v>1958</v>
      </c>
      <c r="C1959">
        <f t="shared" si="359"/>
        <v>57399.53</v>
      </c>
      <c r="D1959">
        <f t="shared" si="360"/>
        <v>2023</v>
      </c>
      <c r="E1959">
        <f t="shared" si="361"/>
        <v>11</v>
      </c>
      <c r="F1959" t="str">
        <f t="shared" si="363"/>
        <v>November</v>
      </c>
      <c r="G1959">
        <f t="shared" si="362"/>
        <v>1</v>
      </c>
      <c r="H1959" s="7">
        <f t="shared" si="364"/>
        <v>1.6447638705509644</v>
      </c>
      <c r="I1959" s="9">
        <f t="shared" si="365"/>
        <v>1.6313841402410569E-2</v>
      </c>
      <c r="J1959" s="9">
        <f t="shared" si="366"/>
        <v>57292.065714285709</v>
      </c>
      <c r="K1959" s="9">
        <f t="shared" si="369"/>
        <v>57631.072</v>
      </c>
      <c r="L1959" s="9">
        <f t="shared" si="368"/>
        <v>54741.332888888865</v>
      </c>
      <c r="M1959" s="9">
        <f t="shared" si="367"/>
        <v>1.0307743064856521E-2</v>
      </c>
      <c r="N1959" s="9">
        <f t="shared" si="370"/>
        <v>1.1607104571246139E-2</v>
      </c>
    </row>
    <row r="1960" spans="1:14" x14ac:dyDescent="0.35">
      <c r="A1960" s="1">
        <v>45232</v>
      </c>
      <c r="B1960" s="2" t="s">
        <v>1959</v>
      </c>
      <c r="C1960">
        <f t="shared" si="359"/>
        <v>57432.46</v>
      </c>
      <c r="D1960">
        <f t="shared" si="360"/>
        <v>2023</v>
      </c>
      <c r="E1960">
        <f t="shared" si="361"/>
        <v>11</v>
      </c>
      <c r="F1960" t="str">
        <f t="shared" si="363"/>
        <v>November</v>
      </c>
      <c r="G1960">
        <f t="shared" si="362"/>
        <v>2</v>
      </c>
      <c r="H1960" s="7">
        <f t="shared" si="364"/>
        <v>5.7369807731875666E-2</v>
      </c>
      <c r="I1960" s="9">
        <f t="shared" si="365"/>
        <v>5.7353357549006249E-4</v>
      </c>
      <c r="J1960" s="9">
        <f t="shared" si="366"/>
        <v>57253.414285714294</v>
      </c>
      <c r="K1960" s="9">
        <f t="shared" si="369"/>
        <v>57680.418999999994</v>
      </c>
      <c r="L1960" s="9">
        <f t="shared" si="368"/>
        <v>54814.959555555535</v>
      </c>
      <c r="M1960" s="9">
        <f t="shared" si="367"/>
        <v>1.0286494610367845E-2</v>
      </c>
      <c r="N1960" s="9">
        <f t="shared" si="370"/>
        <v>1.1575307755952866E-2</v>
      </c>
    </row>
    <row r="1961" spans="1:14" x14ac:dyDescent="0.35">
      <c r="A1961" s="1">
        <v>45233</v>
      </c>
      <c r="B1961" s="2" t="s">
        <v>1960</v>
      </c>
      <c r="C1961">
        <f t="shared" si="359"/>
        <v>57313.14</v>
      </c>
      <c r="D1961">
        <f t="shared" si="360"/>
        <v>2023</v>
      </c>
      <c r="E1961">
        <f t="shared" si="361"/>
        <v>11</v>
      </c>
      <c r="F1961" t="str">
        <f t="shared" si="363"/>
        <v>November</v>
      </c>
      <c r="G1961">
        <f t="shared" si="362"/>
        <v>3</v>
      </c>
      <c r="H1961" s="7">
        <f t="shared" si="364"/>
        <v>-0.20775707674719088</v>
      </c>
      <c r="I1961" s="9">
        <f t="shared" si="365"/>
        <v>-2.0797319114240131E-3</v>
      </c>
      <c r="J1961" s="9">
        <f t="shared" si="366"/>
        <v>57185.818571428579</v>
      </c>
      <c r="K1961" s="9">
        <f t="shared" si="369"/>
        <v>57718.389999999992</v>
      </c>
      <c r="L1961" s="9">
        <f t="shared" si="368"/>
        <v>54877.225999999988</v>
      </c>
      <c r="M1961" s="9">
        <f t="shared" si="367"/>
        <v>1.0251950154687979E-2</v>
      </c>
      <c r="N1961" s="9">
        <f t="shared" si="370"/>
        <v>1.1572251694489203E-2</v>
      </c>
    </row>
    <row r="1962" spans="1:14" x14ac:dyDescent="0.35">
      <c r="A1962" s="1">
        <v>45236</v>
      </c>
      <c r="B1962" s="2" t="s">
        <v>1961</v>
      </c>
      <c r="C1962">
        <f t="shared" si="359"/>
        <v>57162.38</v>
      </c>
      <c r="D1962">
        <f t="shared" si="360"/>
        <v>2023</v>
      </c>
      <c r="E1962">
        <f t="shared" si="361"/>
        <v>11</v>
      </c>
      <c r="F1962" t="str">
        <f t="shared" si="363"/>
        <v>November</v>
      </c>
      <c r="G1962">
        <f t="shared" si="362"/>
        <v>6</v>
      </c>
      <c r="H1962" s="7">
        <f t="shared" si="364"/>
        <v>-0.26304613566801965</v>
      </c>
      <c r="I1962" s="9">
        <f t="shared" si="365"/>
        <v>-2.6339270991566069E-3</v>
      </c>
      <c r="J1962" s="9">
        <f t="shared" si="366"/>
        <v>57108.210000000006</v>
      </c>
      <c r="K1962" s="9">
        <f t="shared" si="369"/>
        <v>57733.293999999994</v>
      </c>
      <c r="L1962" s="9">
        <f t="shared" si="368"/>
        <v>54931.979666666659</v>
      </c>
      <c r="M1962" s="9">
        <f t="shared" si="367"/>
        <v>1.0267071762936026E-2</v>
      </c>
      <c r="N1962" s="9">
        <f t="shared" si="370"/>
        <v>1.1462019288720425E-2</v>
      </c>
    </row>
    <row r="1963" spans="1:14" x14ac:dyDescent="0.35">
      <c r="A1963" s="1">
        <v>45237</v>
      </c>
      <c r="B1963" s="2" t="s">
        <v>1962</v>
      </c>
      <c r="C1963">
        <f t="shared" si="359"/>
        <v>56743.25</v>
      </c>
      <c r="D1963">
        <f t="shared" si="360"/>
        <v>2023</v>
      </c>
      <c r="E1963">
        <f t="shared" si="361"/>
        <v>11</v>
      </c>
      <c r="F1963" t="str">
        <f t="shared" si="363"/>
        <v>November</v>
      </c>
      <c r="G1963">
        <f t="shared" si="362"/>
        <v>7</v>
      </c>
      <c r="H1963" s="7">
        <f t="shared" si="364"/>
        <v>-0.73322699299783767</v>
      </c>
      <c r="I1963" s="9">
        <f t="shared" si="365"/>
        <v>-7.3592831476100764E-3</v>
      </c>
      <c r="J1963" s="9">
        <f t="shared" si="366"/>
        <v>57091.358571428573</v>
      </c>
      <c r="K1963" s="9">
        <f t="shared" si="369"/>
        <v>57722.453999999998</v>
      </c>
      <c r="L1963" s="9">
        <f t="shared" si="368"/>
        <v>54983.802222222206</v>
      </c>
      <c r="M1963" s="9">
        <f t="shared" si="367"/>
        <v>8.9581290998284515E-3</v>
      </c>
      <c r="N1963" s="9">
        <f t="shared" si="370"/>
        <v>1.148694003701416E-2</v>
      </c>
    </row>
    <row r="1964" spans="1:14" x14ac:dyDescent="0.35">
      <c r="A1964" s="1">
        <v>45238</v>
      </c>
      <c r="B1964" s="2" t="s">
        <v>1963</v>
      </c>
      <c r="C1964">
        <f t="shared" si="359"/>
        <v>56387.87</v>
      </c>
      <c r="D1964">
        <f t="shared" si="360"/>
        <v>2023</v>
      </c>
      <c r="E1964">
        <f t="shared" si="361"/>
        <v>11</v>
      </c>
      <c r="F1964" t="str">
        <f t="shared" si="363"/>
        <v>November</v>
      </c>
      <c r="G1964">
        <f t="shared" si="362"/>
        <v>8</v>
      </c>
      <c r="H1964" s="7">
        <f t="shared" si="364"/>
        <v>-0.62629475752622099</v>
      </c>
      <c r="I1964" s="9">
        <f t="shared" si="365"/>
        <v>-6.282642105026842E-3</v>
      </c>
      <c r="J1964" s="9">
        <f t="shared" si="366"/>
        <v>56987.049999999996</v>
      </c>
      <c r="K1964" s="9">
        <f t="shared" si="369"/>
        <v>57697.700333333327</v>
      </c>
      <c r="L1964" s="9">
        <f t="shared" si="368"/>
        <v>55047.401444444426</v>
      </c>
      <c r="M1964" s="9">
        <f t="shared" si="367"/>
        <v>8.922081929643293E-3</v>
      </c>
      <c r="N1964" s="9">
        <f t="shared" si="370"/>
        <v>1.1537372363805814E-2</v>
      </c>
    </row>
    <row r="1965" spans="1:14" x14ac:dyDescent="0.35">
      <c r="A1965" s="1">
        <v>45239</v>
      </c>
      <c r="B1965" s="2" t="s">
        <v>1964</v>
      </c>
      <c r="C1965">
        <f t="shared" si="359"/>
        <v>57054.84</v>
      </c>
      <c r="D1965">
        <f t="shared" si="360"/>
        <v>2023</v>
      </c>
      <c r="E1965">
        <f t="shared" si="361"/>
        <v>11</v>
      </c>
      <c r="F1965" t="str">
        <f t="shared" si="363"/>
        <v>November</v>
      </c>
      <c r="G1965">
        <f t="shared" si="362"/>
        <v>9</v>
      </c>
      <c r="H1965" s="7">
        <f t="shared" si="364"/>
        <v>1.1828253133164879</v>
      </c>
      <c r="I1965" s="9">
        <f t="shared" si="365"/>
        <v>1.1758846120121564E-2</v>
      </c>
      <c r="J1965" s="9">
        <f t="shared" si="366"/>
        <v>57070.495714285709</v>
      </c>
      <c r="K1965" s="9">
        <f t="shared" si="369"/>
        <v>57696.123999999996</v>
      </c>
      <c r="L1965" s="9">
        <f t="shared" si="368"/>
        <v>55106.482333333304</v>
      </c>
      <c r="M1965" s="9">
        <f t="shared" si="367"/>
        <v>9.0784189963825351E-3</v>
      </c>
      <c r="N1965" s="9">
        <f t="shared" si="370"/>
        <v>1.1750165367508617E-2</v>
      </c>
    </row>
    <row r="1966" spans="1:14" x14ac:dyDescent="0.35">
      <c r="A1966" s="1">
        <v>45240</v>
      </c>
      <c r="B1966" s="2" t="s">
        <v>1965</v>
      </c>
      <c r="C1966">
        <f t="shared" si="359"/>
        <v>56556.81</v>
      </c>
      <c r="D1966">
        <f t="shared" si="360"/>
        <v>2023</v>
      </c>
      <c r="E1966">
        <f t="shared" si="361"/>
        <v>11</v>
      </c>
      <c r="F1966" t="str">
        <f t="shared" si="363"/>
        <v>November</v>
      </c>
      <c r="G1966">
        <f t="shared" si="362"/>
        <v>10</v>
      </c>
      <c r="H1966" s="7">
        <f t="shared" si="364"/>
        <v>-0.87289702328496377</v>
      </c>
      <c r="I1966" s="9">
        <f t="shared" si="365"/>
        <v>-8.7672908562056798E-3</v>
      </c>
      <c r="J1966" s="9">
        <f t="shared" si="366"/>
        <v>56950.107142857152</v>
      </c>
      <c r="K1966" s="9">
        <f t="shared" si="369"/>
        <v>57651.623666666666</v>
      </c>
      <c r="L1966" s="9">
        <f t="shared" si="368"/>
        <v>55158.278888888861</v>
      </c>
      <c r="M1966" s="9">
        <f t="shared" si="367"/>
        <v>6.9415060583954205E-3</v>
      </c>
      <c r="N1966" s="9">
        <f t="shared" si="370"/>
        <v>1.1557992301416081E-2</v>
      </c>
    </row>
    <row r="1967" spans="1:14" x14ac:dyDescent="0.35">
      <c r="A1967" s="1">
        <v>45243</v>
      </c>
      <c r="B1967" s="2" t="s">
        <v>1966</v>
      </c>
      <c r="C1967">
        <f t="shared" si="359"/>
        <v>56990.2</v>
      </c>
      <c r="D1967">
        <f t="shared" si="360"/>
        <v>2023</v>
      </c>
      <c r="E1967">
        <f t="shared" si="361"/>
        <v>11</v>
      </c>
      <c r="F1967" t="str">
        <f t="shared" si="363"/>
        <v>November</v>
      </c>
      <c r="G1967">
        <f t="shared" si="362"/>
        <v>13</v>
      </c>
      <c r="H1967" s="7">
        <f t="shared" si="364"/>
        <v>0.76629145102066298</v>
      </c>
      <c r="I1967" s="9">
        <f t="shared" si="365"/>
        <v>7.6337035134861342E-3</v>
      </c>
      <c r="J1967" s="9">
        <f t="shared" si="366"/>
        <v>56886.927142857145</v>
      </c>
      <c r="K1967" s="9">
        <f t="shared" si="369"/>
        <v>57594.258666666676</v>
      </c>
      <c r="L1967" s="9">
        <f t="shared" si="368"/>
        <v>55220.903555555531</v>
      </c>
      <c r="M1967" s="9">
        <f t="shared" si="367"/>
        <v>7.8503283368086089E-3</v>
      </c>
      <c r="N1967" s="9">
        <f t="shared" si="370"/>
        <v>1.1331129233649331E-2</v>
      </c>
    </row>
    <row r="1968" spans="1:14" x14ac:dyDescent="0.35">
      <c r="A1968" s="1">
        <v>45244</v>
      </c>
      <c r="B1968" s="2" t="s">
        <v>1967</v>
      </c>
      <c r="C1968">
        <f t="shared" si="359"/>
        <v>56276.72</v>
      </c>
      <c r="D1968">
        <f t="shared" si="360"/>
        <v>2023</v>
      </c>
      <c r="E1968">
        <f t="shared" si="361"/>
        <v>11</v>
      </c>
      <c r="F1968" t="str">
        <f t="shared" si="363"/>
        <v>November</v>
      </c>
      <c r="G1968">
        <f t="shared" si="362"/>
        <v>14</v>
      </c>
      <c r="H1968" s="7">
        <f t="shared" si="364"/>
        <v>-1.2519345431319699</v>
      </c>
      <c r="I1968" s="9">
        <f t="shared" si="365"/>
        <v>-1.2598372708949934E-2</v>
      </c>
      <c r="J1968" s="9">
        <f t="shared" si="366"/>
        <v>56738.867142857154</v>
      </c>
      <c r="K1968" s="9">
        <f t="shared" si="369"/>
        <v>57514.533333333333</v>
      </c>
      <c r="L1968" s="9">
        <f t="shared" si="368"/>
        <v>55271.865777777755</v>
      </c>
      <c r="M1968" s="9">
        <f t="shared" si="367"/>
        <v>8.9918622497247597E-3</v>
      </c>
      <c r="N1968" s="9">
        <f t="shared" si="370"/>
        <v>1.1527161208571758E-2</v>
      </c>
    </row>
    <row r="1969" spans="1:14" x14ac:dyDescent="0.35">
      <c r="A1969" s="1">
        <v>45245</v>
      </c>
      <c r="B1969" s="2" t="s">
        <v>1968</v>
      </c>
      <c r="C1969">
        <f t="shared" si="359"/>
        <v>56237.2</v>
      </c>
      <c r="D1969">
        <f t="shared" si="360"/>
        <v>2023</v>
      </c>
      <c r="E1969">
        <f t="shared" si="361"/>
        <v>11</v>
      </c>
      <c r="F1969" t="str">
        <f t="shared" si="363"/>
        <v>November</v>
      </c>
      <c r="G1969">
        <f t="shared" si="362"/>
        <v>15</v>
      </c>
      <c r="H1969" s="7">
        <f t="shared" si="364"/>
        <v>-7.0224419617923847E-2</v>
      </c>
      <c r="I1969" s="9">
        <f t="shared" si="365"/>
        <v>-7.0249088513214309E-4</v>
      </c>
      <c r="J1969" s="9">
        <f t="shared" si="366"/>
        <v>56606.698571428562</v>
      </c>
      <c r="K1969" s="9">
        <f t="shared" si="369"/>
        <v>57429.017</v>
      </c>
      <c r="L1969" s="9">
        <f t="shared" si="368"/>
        <v>55333.415777777765</v>
      </c>
      <c r="M1969" s="9">
        <f t="shared" si="367"/>
        <v>9.0204860435047461E-3</v>
      </c>
      <c r="N1969" s="9">
        <f t="shared" si="370"/>
        <v>1.1507228851301638E-2</v>
      </c>
    </row>
    <row r="1970" spans="1:14" x14ac:dyDescent="0.35">
      <c r="A1970" s="1">
        <v>45246</v>
      </c>
      <c r="B1970" s="2" t="s">
        <v>1969</v>
      </c>
      <c r="C1970">
        <f t="shared" si="359"/>
        <v>56113.06</v>
      </c>
      <c r="D1970">
        <f t="shared" si="360"/>
        <v>2023</v>
      </c>
      <c r="E1970">
        <f t="shared" si="361"/>
        <v>11</v>
      </c>
      <c r="F1970" t="str">
        <f t="shared" si="363"/>
        <v>November</v>
      </c>
      <c r="G1970">
        <f t="shared" si="362"/>
        <v>16</v>
      </c>
      <c r="H1970" s="7">
        <f t="shared" si="364"/>
        <v>-0.22074356475784612</v>
      </c>
      <c r="I1970" s="9">
        <f t="shared" si="365"/>
        <v>-2.2098756250376341E-3</v>
      </c>
      <c r="J1970" s="9">
        <f t="shared" si="366"/>
        <v>56516.671428571419</v>
      </c>
      <c r="K1970" s="9">
        <f t="shared" si="369"/>
        <v>57293.935333333327</v>
      </c>
      <c r="L1970" s="9">
        <f t="shared" si="368"/>
        <v>55388.145888888866</v>
      </c>
      <c r="M1970" s="9">
        <f t="shared" si="367"/>
        <v>8.7479404576553642E-3</v>
      </c>
      <c r="N1970" s="9">
        <f t="shared" si="370"/>
        <v>1.0544267979056427E-2</v>
      </c>
    </row>
    <row r="1971" spans="1:14" x14ac:dyDescent="0.35">
      <c r="A1971" s="1">
        <v>45247</v>
      </c>
      <c r="B1971" s="2" t="s">
        <v>1970</v>
      </c>
      <c r="C1971">
        <f t="shared" si="359"/>
        <v>55442.04</v>
      </c>
      <c r="D1971">
        <f t="shared" si="360"/>
        <v>2023</v>
      </c>
      <c r="E1971">
        <f t="shared" si="361"/>
        <v>11</v>
      </c>
      <c r="F1971" t="str">
        <f t="shared" si="363"/>
        <v>November</v>
      </c>
      <c r="G1971">
        <f t="shared" si="362"/>
        <v>17</v>
      </c>
      <c r="H1971" s="7">
        <f t="shared" si="364"/>
        <v>-1.1958356931523548</v>
      </c>
      <c r="I1971" s="9">
        <f t="shared" si="365"/>
        <v>-1.2030433267774041E-2</v>
      </c>
      <c r="J1971" s="9">
        <f t="shared" si="366"/>
        <v>56381.552857142851</v>
      </c>
      <c r="K1971" s="9">
        <f t="shared" si="369"/>
        <v>57140.694333333333</v>
      </c>
      <c r="L1971" s="9">
        <f t="shared" si="368"/>
        <v>55433.961333333311</v>
      </c>
      <c r="M1971" s="9">
        <f t="shared" si="367"/>
        <v>9.4987572729208457E-3</v>
      </c>
      <c r="N1971" s="9">
        <f t="shared" si="370"/>
        <v>1.0691822486961789E-2</v>
      </c>
    </row>
    <row r="1972" spans="1:14" x14ac:dyDescent="0.35">
      <c r="A1972" s="1">
        <v>45250</v>
      </c>
      <c r="B1972" s="2" t="s">
        <v>1971</v>
      </c>
      <c r="C1972">
        <f t="shared" si="359"/>
        <v>56364.14</v>
      </c>
      <c r="D1972">
        <f t="shared" si="360"/>
        <v>2023</v>
      </c>
      <c r="E1972">
        <f t="shared" si="361"/>
        <v>11</v>
      </c>
      <c r="F1972" t="str">
        <f t="shared" si="363"/>
        <v>November</v>
      </c>
      <c r="G1972">
        <f t="shared" si="362"/>
        <v>20</v>
      </c>
      <c r="H1972" s="7">
        <f t="shared" si="364"/>
        <v>1.6631783390365842</v>
      </c>
      <c r="I1972" s="9">
        <f t="shared" si="365"/>
        <v>1.6494989943247974E-2</v>
      </c>
      <c r="J1972" s="9">
        <f t="shared" si="366"/>
        <v>56282.881428571425</v>
      </c>
      <c r="K1972" s="9">
        <f t="shared" si="369"/>
        <v>57030.980333333333</v>
      </c>
      <c r="L1972" s="9">
        <f t="shared" si="368"/>
        <v>55492.809777777744</v>
      </c>
      <c r="M1972" s="9">
        <f t="shared" si="367"/>
        <v>1.0761493666081414E-2</v>
      </c>
      <c r="N1972" s="9">
        <f t="shared" si="370"/>
        <v>1.1219247545225894E-2</v>
      </c>
    </row>
    <row r="1973" spans="1:14" x14ac:dyDescent="0.35">
      <c r="A1973" s="1">
        <v>45251</v>
      </c>
      <c r="B1973" s="2" t="s">
        <v>1972</v>
      </c>
      <c r="C1973">
        <f t="shared" si="359"/>
        <v>56849.36</v>
      </c>
      <c r="D1973">
        <f t="shared" si="360"/>
        <v>2023</v>
      </c>
      <c r="E1973">
        <f t="shared" si="361"/>
        <v>11</v>
      </c>
      <c r="F1973" t="str">
        <f t="shared" si="363"/>
        <v>November</v>
      </c>
      <c r="G1973">
        <f t="shared" si="362"/>
        <v>21</v>
      </c>
      <c r="H1973" s="7">
        <f t="shared" si="364"/>
        <v>0.86086650128965192</v>
      </c>
      <c r="I1973" s="9">
        <f t="shared" si="365"/>
        <v>8.5718217527698155E-3</v>
      </c>
      <c r="J1973" s="9">
        <f t="shared" si="366"/>
        <v>56324.674285714282</v>
      </c>
      <c r="K1973" s="9">
        <f t="shared" si="369"/>
        <v>56966.036333333337</v>
      </c>
      <c r="L1973" s="9">
        <f t="shared" si="368"/>
        <v>55541.985666666646</v>
      </c>
      <c r="M1973" s="9">
        <f t="shared" si="367"/>
        <v>1.0869367704523427E-2</v>
      </c>
      <c r="N1973" s="9">
        <f t="shared" si="370"/>
        <v>1.1116085848587375E-2</v>
      </c>
    </row>
    <row r="1974" spans="1:14" x14ac:dyDescent="0.35">
      <c r="A1974" s="1">
        <v>45252</v>
      </c>
      <c r="B1974" s="2" t="s">
        <v>1973</v>
      </c>
      <c r="C1974">
        <f t="shared" si="359"/>
        <v>57231.01</v>
      </c>
      <c r="D1974">
        <f t="shared" si="360"/>
        <v>2023</v>
      </c>
      <c r="E1974">
        <f t="shared" si="361"/>
        <v>11</v>
      </c>
      <c r="F1974" t="str">
        <f t="shared" si="363"/>
        <v>November</v>
      </c>
      <c r="G1974">
        <f t="shared" si="362"/>
        <v>22</v>
      </c>
      <c r="H1974" s="7">
        <f t="shared" si="364"/>
        <v>0.67133561398052932</v>
      </c>
      <c r="I1974" s="9">
        <f t="shared" si="365"/>
        <v>6.6909219144669109E-3</v>
      </c>
      <c r="J1974" s="9">
        <f t="shared" si="366"/>
        <v>56359.075714285711</v>
      </c>
      <c r="K1974" s="9">
        <f t="shared" si="369"/>
        <v>56933.579333333335</v>
      </c>
      <c r="L1974" s="9">
        <f t="shared" si="368"/>
        <v>55599.040888888863</v>
      </c>
      <c r="M1974" s="9">
        <f t="shared" si="367"/>
        <v>1.0775100217403681E-2</v>
      </c>
      <c r="N1974" s="9">
        <f t="shared" si="370"/>
        <v>1.107007141829962E-2</v>
      </c>
    </row>
    <row r="1975" spans="1:14" x14ac:dyDescent="0.35">
      <c r="A1975" s="1">
        <v>45253</v>
      </c>
      <c r="B1975" s="2" t="s">
        <v>1974</v>
      </c>
      <c r="C1975">
        <f t="shared" si="359"/>
        <v>58027.11</v>
      </c>
      <c r="D1975">
        <f t="shared" si="360"/>
        <v>2023</v>
      </c>
      <c r="E1975">
        <f t="shared" si="361"/>
        <v>11</v>
      </c>
      <c r="F1975" t="str">
        <f t="shared" si="363"/>
        <v>November</v>
      </c>
      <c r="G1975">
        <f t="shared" si="362"/>
        <v>23</v>
      </c>
      <c r="H1975" s="7">
        <f t="shared" si="364"/>
        <v>1.3910290941921146</v>
      </c>
      <c r="I1975" s="9">
        <f t="shared" si="365"/>
        <v>1.3814430783770208E-2</v>
      </c>
      <c r="J1975" s="9">
        <f t="shared" si="366"/>
        <v>56609.131428571425</v>
      </c>
      <c r="K1975" s="9">
        <f t="shared" si="369"/>
        <v>56930.284666666674</v>
      </c>
      <c r="L1975" s="9">
        <f t="shared" si="368"/>
        <v>55664.386111111089</v>
      </c>
      <c r="M1975" s="9">
        <f t="shared" si="367"/>
        <v>9.9770867119969939E-3</v>
      </c>
      <c r="N1975" s="9">
        <f t="shared" si="370"/>
        <v>1.1374871171509216E-2</v>
      </c>
    </row>
    <row r="1976" spans="1:14" x14ac:dyDescent="0.35">
      <c r="A1976" s="1">
        <v>45254</v>
      </c>
      <c r="B1976" s="2" t="s">
        <v>1975</v>
      </c>
      <c r="C1976">
        <f t="shared" si="359"/>
        <v>58219.91</v>
      </c>
      <c r="D1976">
        <f t="shared" si="360"/>
        <v>2023</v>
      </c>
      <c r="E1976">
        <f t="shared" si="361"/>
        <v>11</v>
      </c>
      <c r="F1976" t="str">
        <f t="shared" si="363"/>
        <v>November</v>
      </c>
      <c r="G1976">
        <f t="shared" si="362"/>
        <v>24</v>
      </c>
      <c r="H1976" s="7">
        <f t="shared" si="364"/>
        <v>0.33225849090192999</v>
      </c>
      <c r="I1976" s="9">
        <f t="shared" si="365"/>
        <v>3.3170773200299352E-3</v>
      </c>
      <c r="J1976" s="9">
        <f t="shared" si="366"/>
        <v>56892.375714285714</v>
      </c>
      <c r="K1976" s="9">
        <f t="shared" si="369"/>
        <v>56964.726333333332</v>
      </c>
      <c r="L1976" s="9">
        <f t="shared" si="368"/>
        <v>55733.502333333323</v>
      </c>
      <c r="M1976" s="9">
        <f t="shared" si="367"/>
        <v>9.7491768633259316E-3</v>
      </c>
      <c r="N1976" s="9">
        <f t="shared" si="370"/>
        <v>1.0965839734140861E-2</v>
      </c>
    </row>
    <row r="1977" spans="1:14" x14ac:dyDescent="0.35">
      <c r="A1977" s="1">
        <v>45257</v>
      </c>
      <c r="B1977" s="2" t="s">
        <v>1976</v>
      </c>
      <c r="C1977">
        <f t="shared" si="359"/>
        <v>57313.88</v>
      </c>
      <c r="D1977">
        <f t="shared" si="360"/>
        <v>2023</v>
      </c>
      <c r="E1977">
        <f t="shared" si="361"/>
        <v>11</v>
      </c>
      <c r="F1977" t="str">
        <f t="shared" si="363"/>
        <v>November</v>
      </c>
      <c r="G1977">
        <f t="shared" si="362"/>
        <v>27</v>
      </c>
      <c r="H1977" s="7">
        <f t="shared" si="364"/>
        <v>-1.5562202002717045</v>
      </c>
      <c r="I1977" s="9">
        <f t="shared" si="365"/>
        <v>-1.5684564212049709E-2</v>
      </c>
      <c r="J1977" s="9">
        <f t="shared" si="366"/>
        <v>57063.921428571419</v>
      </c>
      <c r="K1977" s="9">
        <f t="shared" si="369"/>
        <v>56970.334999999992</v>
      </c>
      <c r="L1977" s="9">
        <f t="shared" si="368"/>
        <v>55791.325444444425</v>
      </c>
      <c r="M1977" s="9">
        <f t="shared" si="367"/>
        <v>1.2375094839457637E-2</v>
      </c>
      <c r="N1977" s="9">
        <f t="shared" si="370"/>
        <v>1.1361049602629849E-2</v>
      </c>
    </row>
    <row r="1978" spans="1:14" x14ac:dyDescent="0.35">
      <c r="A1978" s="1">
        <v>45258</v>
      </c>
      <c r="B1978" s="2" t="s">
        <v>1977</v>
      </c>
      <c r="C1978">
        <f t="shared" si="359"/>
        <v>57414</v>
      </c>
      <c r="D1978">
        <f t="shared" si="360"/>
        <v>2023</v>
      </c>
      <c r="E1978">
        <f t="shared" si="361"/>
        <v>11</v>
      </c>
      <c r="F1978" t="str">
        <f t="shared" si="363"/>
        <v>November</v>
      </c>
      <c r="G1978">
        <f t="shared" si="362"/>
        <v>28</v>
      </c>
      <c r="H1978" s="7">
        <f t="shared" si="364"/>
        <v>0.17468717874274542</v>
      </c>
      <c r="I1978" s="9">
        <f t="shared" si="365"/>
        <v>1.745347781477069E-3</v>
      </c>
      <c r="J1978" s="9">
        <f t="shared" si="366"/>
        <v>57345.630000000005</v>
      </c>
      <c r="K1978" s="9">
        <f t="shared" si="369"/>
        <v>56995.884333333328</v>
      </c>
      <c r="L1978" s="9">
        <f t="shared" si="368"/>
        <v>55848.597999999984</v>
      </c>
      <c r="M1978" s="9">
        <f t="shared" si="367"/>
        <v>1.0541362507305691E-2</v>
      </c>
      <c r="N1978" s="9">
        <f t="shared" si="370"/>
        <v>1.1240016786904694E-2</v>
      </c>
    </row>
    <row r="1979" spans="1:14" x14ac:dyDescent="0.35">
      <c r="A1979" s="1">
        <v>45259</v>
      </c>
      <c r="B1979" s="2" t="s">
        <v>1978</v>
      </c>
      <c r="C1979">
        <f t="shared" si="359"/>
        <v>57600.02</v>
      </c>
      <c r="D1979">
        <f t="shared" si="360"/>
        <v>2023</v>
      </c>
      <c r="E1979">
        <f t="shared" si="361"/>
        <v>11</v>
      </c>
      <c r="F1979" t="str">
        <f t="shared" si="363"/>
        <v>November</v>
      </c>
      <c r="G1979">
        <f t="shared" si="362"/>
        <v>29</v>
      </c>
      <c r="H1979" s="7">
        <f t="shared" si="364"/>
        <v>0.32399763123976172</v>
      </c>
      <c r="I1979" s="9">
        <f t="shared" si="365"/>
        <v>3.2347388988265943E-3</v>
      </c>
      <c r="J1979" s="9">
        <f t="shared" si="366"/>
        <v>57522.184285714284</v>
      </c>
      <c r="K1979" s="9">
        <f t="shared" si="369"/>
        <v>57030.473666666665</v>
      </c>
      <c r="L1979" s="9">
        <f t="shared" si="368"/>
        <v>55896.427666666648</v>
      </c>
      <c r="M1979" s="9">
        <f t="shared" si="367"/>
        <v>9.2411649515952658E-3</v>
      </c>
      <c r="N1979" s="9">
        <f t="shared" si="370"/>
        <v>1.1244929887787075E-2</v>
      </c>
    </row>
    <row r="1980" spans="1:14" x14ac:dyDescent="0.35">
      <c r="A1980" s="1">
        <v>45260</v>
      </c>
      <c r="B1980" s="2" t="s">
        <v>1979</v>
      </c>
      <c r="C1980">
        <f t="shared" si="359"/>
        <v>57488.76</v>
      </c>
      <c r="D1980">
        <f t="shared" si="360"/>
        <v>2023</v>
      </c>
      <c r="E1980">
        <f t="shared" si="361"/>
        <v>11</v>
      </c>
      <c r="F1980" t="str">
        <f t="shared" si="363"/>
        <v>November</v>
      </c>
      <c r="G1980">
        <f t="shared" si="362"/>
        <v>30</v>
      </c>
      <c r="H1980" s="7">
        <f t="shared" si="364"/>
        <v>-0.19315965515288844</v>
      </c>
      <c r="I1980" s="9">
        <f t="shared" si="365"/>
        <v>-1.9334644899376447E-3</v>
      </c>
      <c r="J1980" s="9">
        <f t="shared" si="366"/>
        <v>57613.52714285715</v>
      </c>
      <c r="K1980" s="9">
        <f t="shared" si="369"/>
        <v>57091.893999999993</v>
      </c>
      <c r="L1980" s="9">
        <f t="shared" si="368"/>
        <v>55934.471444444433</v>
      </c>
      <c r="M1980" s="9">
        <f t="shared" si="367"/>
        <v>9.0553221367888018E-3</v>
      </c>
      <c r="N1980" s="9">
        <f t="shared" si="370"/>
        <v>1.079543351173772E-2</v>
      </c>
    </row>
    <row r="1981" spans="1:14" x14ac:dyDescent="0.35">
      <c r="A1981" s="1">
        <v>45261</v>
      </c>
      <c r="B1981" s="2" t="s">
        <v>1980</v>
      </c>
      <c r="C1981">
        <f t="shared" si="359"/>
        <v>57159.59</v>
      </c>
      <c r="D1981">
        <f t="shared" si="360"/>
        <v>2023</v>
      </c>
      <c r="E1981">
        <f t="shared" si="361"/>
        <v>12</v>
      </c>
      <c r="F1981" t="str">
        <f t="shared" si="363"/>
        <v>December</v>
      </c>
      <c r="G1981">
        <f t="shared" si="362"/>
        <v>1</v>
      </c>
      <c r="H1981" s="7">
        <f t="shared" si="364"/>
        <v>-0.57258149245175149</v>
      </c>
      <c r="I1981" s="9">
        <f t="shared" si="365"/>
        <v>-5.7422702462737269E-3</v>
      </c>
      <c r="J1981" s="9">
        <f t="shared" si="366"/>
        <v>57603.32428571429</v>
      </c>
      <c r="K1981" s="9">
        <f t="shared" si="369"/>
        <v>57076.915666666668</v>
      </c>
      <c r="L1981" s="9">
        <f t="shared" si="368"/>
        <v>55961.793111111088</v>
      </c>
      <c r="M1981" s="9">
        <f t="shared" si="367"/>
        <v>9.1090251011331363E-3</v>
      </c>
      <c r="N1981" s="9">
        <f t="shared" si="370"/>
        <v>8.7972390015249209E-3</v>
      </c>
    </row>
    <row r="1982" spans="1:14" x14ac:dyDescent="0.35">
      <c r="A1982" s="1">
        <v>45264</v>
      </c>
      <c r="B1982" s="2" t="s">
        <v>1981</v>
      </c>
      <c r="C1982">
        <f t="shared" si="359"/>
        <v>57610.98</v>
      </c>
      <c r="D1982">
        <f t="shared" si="360"/>
        <v>2023</v>
      </c>
      <c r="E1982">
        <f t="shared" si="361"/>
        <v>12</v>
      </c>
      <c r="F1982" t="str">
        <f t="shared" si="363"/>
        <v>December</v>
      </c>
      <c r="G1982">
        <f t="shared" si="362"/>
        <v>4</v>
      </c>
      <c r="H1982" s="7">
        <f t="shared" si="364"/>
        <v>0.78970125572980276</v>
      </c>
      <c r="I1982" s="9">
        <f t="shared" si="365"/>
        <v>7.8659943474130023E-3</v>
      </c>
      <c r="J1982" s="9">
        <f t="shared" si="366"/>
        <v>57543.877142857142</v>
      </c>
      <c r="K1982" s="9">
        <f t="shared" si="369"/>
        <v>57067.773000000001</v>
      </c>
      <c r="L1982" s="9">
        <f t="shared" si="368"/>
        <v>55996.908999999992</v>
      </c>
      <c r="M1982" s="9">
        <f t="shared" si="367"/>
        <v>7.7642805785959057E-3</v>
      </c>
      <c r="N1982" s="9">
        <f t="shared" si="370"/>
        <v>8.8758108304183153E-3</v>
      </c>
    </row>
    <row r="1983" spans="1:14" x14ac:dyDescent="0.35">
      <c r="A1983" s="1">
        <v>45265</v>
      </c>
      <c r="B1983" s="2" t="s">
        <v>1982</v>
      </c>
      <c r="C1983">
        <f t="shared" si="359"/>
        <v>55795.199999999997</v>
      </c>
      <c r="D1983">
        <f t="shared" si="360"/>
        <v>2023</v>
      </c>
      <c r="E1983">
        <f t="shared" si="361"/>
        <v>12</v>
      </c>
      <c r="F1983" t="str">
        <f t="shared" si="363"/>
        <v>December</v>
      </c>
      <c r="G1983">
        <f t="shared" si="362"/>
        <v>5</v>
      </c>
      <c r="H1983" s="7">
        <f t="shared" si="364"/>
        <v>-3.1517950224071973</v>
      </c>
      <c r="I1983" s="9">
        <f t="shared" si="365"/>
        <v>-3.2025330353381995E-2</v>
      </c>
      <c r="J1983" s="9">
        <f t="shared" si="366"/>
        <v>57197.49</v>
      </c>
      <c r="K1983" s="9">
        <f t="shared" si="369"/>
        <v>57004.179000000004</v>
      </c>
      <c r="L1983" s="9">
        <f t="shared" si="368"/>
        <v>56006.681666666664</v>
      </c>
      <c r="M1983" s="9">
        <f t="shared" si="367"/>
        <v>1.3694322218906565E-2</v>
      </c>
      <c r="N1983" s="9">
        <f t="shared" si="370"/>
        <v>1.0608016874735893E-2</v>
      </c>
    </row>
    <row r="1984" spans="1:14" x14ac:dyDescent="0.35">
      <c r="A1984" s="1">
        <v>45266</v>
      </c>
      <c r="B1984" s="2" t="s">
        <v>1983</v>
      </c>
      <c r="C1984">
        <f t="shared" si="359"/>
        <v>55369.26</v>
      </c>
      <c r="D1984">
        <f t="shared" si="360"/>
        <v>2023</v>
      </c>
      <c r="E1984">
        <f t="shared" si="361"/>
        <v>12</v>
      </c>
      <c r="F1984" t="str">
        <f t="shared" si="363"/>
        <v>December</v>
      </c>
      <c r="G1984">
        <f t="shared" si="362"/>
        <v>6</v>
      </c>
      <c r="H1984" s="7">
        <f t="shared" si="364"/>
        <v>-0.76339900206468492</v>
      </c>
      <c r="I1984" s="9">
        <f t="shared" si="365"/>
        <v>-7.6632780741491963E-3</v>
      </c>
      <c r="J1984" s="9">
        <f t="shared" si="366"/>
        <v>56919.687142857139</v>
      </c>
      <c r="K1984" s="9">
        <f t="shared" si="369"/>
        <v>56923.610666666667</v>
      </c>
      <c r="L1984" s="9">
        <f t="shared" si="368"/>
        <v>56018.882444444447</v>
      </c>
      <c r="M1984" s="9">
        <f t="shared" si="367"/>
        <v>1.3078146115323083E-2</v>
      </c>
      <c r="N1984" s="9">
        <f t="shared" si="370"/>
        <v>1.0662280257948492E-2</v>
      </c>
    </row>
    <row r="1985" spans="1:14" x14ac:dyDescent="0.35">
      <c r="A1985" s="1">
        <v>45267</v>
      </c>
      <c r="B1985" s="2" t="s">
        <v>1984</v>
      </c>
      <c r="C1985">
        <f t="shared" si="359"/>
        <v>55254.67</v>
      </c>
      <c r="D1985">
        <f t="shared" si="360"/>
        <v>2023</v>
      </c>
      <c r="E1985">
        <f t="shared" si="361"/>
        <v>12</v>
      </c>
      <c r="F1985" t="str">
        <f t="shared" si="363"/>
        <v>December</v>
      </c>
      <c r="G1985">
        <f t="shared" si="362"/>
        <v>7</v>
      </c>
      <c r="H1985" s="7">
        <f t="shared" si="364"/>
        <v>-0.20695598965925097</v>
      </c>
      <c r="I1985" s="9">
        <f t="shared" si="365"/>
        <v>-2.0717043949647108E-3</v>
      </c>
      <c r="J1985" s="9">
        <f t="shared" si="366"/>
        <v>56611.211428571427</v>
      </c>
      <c r="K1985" s="9">
        <f t="shared" si="369"/>
        <v>56841.91166666666</v>
      </c>
      <c r="L1985" s="9">
        <f t="shared" si="368"/>
        <v>56037.503666666671</v>
      </c>
      <c r="M1985" s="9">
        <f t="shared" si="367"/>
        <v>1.2830605322157924E-2</v>
      </c>
      <c r="N1985" s="9">
        <f t="shared" si="370"/>
        <v>1.0662932369559458E-2</v>
      </c>
    </row>
    <row r="1986" spans="1:14" x14ac:dyDescent="0.35">
      <c r="A1986" s="1">
        <v>45268</v>
      </c>
      <c r="B1986" s="2" t="s">
        <v>1985</v>
      </c>
      <c r="C1986">
        <f t="shared" si="359"/>
        <v>55889.26</v>
      </c>
      <c r="D1986">
        <f t="shared" si="360"/>
        <v>2023</v>
      </c>
      <c r="E1986">
        <f t="shared" si="361"/>
        <v>12</v>
      </c>
      <c r="F1986" t="str">
        <f t="shared" si="363"/>
        <v>December</v>
      </c>
      <c r="G1986">
        <f t="shared" si="362"/>
        <v>8</v>
      </c>
      <c r="H1986" s="7">
        <f t="shared" si="364"/>
        <v>1.148482110199923</v>
      </c>
      <c r="I1986" s="9">
        <f t="shared" si="365"/>
        <v>1.1419371187806903E-2</v>
      </c>
      <c r="J1986" s="9">
        <f t="shared" si="366"/>
        <v>56366.817142857144</v>
      </c>
      <c r="K1986" s="9">
        <f t="shared" si="369"/>
        <v>56809.513333333329</v>
      </c>
      <c r="L1986" s="9">
        <f t="shared" si="368"/>
        <v>56076.396888888885</v>
      </c>
      <c r="M1986" s="9">
        <f t="shared" si="367"/>
        <v>1.4069832975460585E-2</v>
      </c>
      <c r="N1986" s="9">
        <f t="shared" si="370"/>
        <v>1.0607768334753603E-2</v>
      </c>
    </row>
    <row r="1987" spans="1:14" x14ac:dyDescent="0.35">
      <c r="A1987" s="1">
        <v>45271</v>
      </c>
      <c r="B1987" s="2" t="s">
        <v>1986</v>
      </c>
      <c r="C1987">
        <f t="shared" ref="C1987:C2050" si="371">_xlfn.NUMBERVALUE(B1987,".",",")</f>
        <v>56856.66</v>
      </c>
      <c r="D1987">
        <f t="shared" ref="D1987:D2050" si="372">YEAR(A1987)</f>
        <v>2023</v>
      </c>
      <c r="E1987">
        <f t="shared" ref="E1987:E2050" si="373">MONTH(A1987)</f>
        <v>12</v>
      </c>
      <c r="F1987" t="str">
        <f t="shared" si="363"/>
        <v>December</v>
      </c>
      <c r="G1987">
        <f t="shared" ref="G1987:G2050" si="374">DAY(A1987)</f>
        <v>11</v>
      </c>
      <c r="H1987" s="7">
        <f t="shared" si="364"/>
        <v>1.7309229000348214</v>
      </c>
      <c r="I1987" s="9">
        <f t="shared" si="365"/>
        <v>1.7161130830231956E-2</v>
      </c>
      <c r="J1987" s="9">
        <f t="shared" si="366"/>
        <v>56276.517142857141</v>
      </c>
      <c r="K1987" s="9">
        <f t="shared" si="369"/>
        <v>56800.800999999992</v>
      </c>
      <c r="L1987" s="9">
        <f t="shared" si="368"/>
        <v>56144.175444444445</v>
      </c>
      <c r="M1987" s="9">
        <f t="shared" si="367"/>
        <v>1.6283586431163056E-2</v>
      </c>
      <c r="N1987" s="9">
        <f t="shared" si="370"/>
        <v>1.1058810657749827E-2</v>
      </c>
    </row>
    <row r="1988" spans="1:14" x14ac:dyDescent="0.35">
      <c r="A1988" s="1">
        <v>45272</v>
      </c>
      <c r="B1988" s="2" t="s">
        <v>1987</v>
      </c>
      <c r="C1988">
        <f t="shared" si="371"/>
        <v>56234.43</v>
      </c>
      <c r="D1988">
        <f t="shared" si="372"/>
        <v>2023</v>
      </c>
      <c r="E1988">
        <f t="shared" si="373"/>
        <v>12</v>
      </c>
      <c r="F1988" t="str">
        <f t="shared" ref="F1988:F2051" si="375">TEXT(A1988,"mmmm")</f>
        <v>December</v>
      </c>
      <c r="G1988">
        <f t="shared" si="374"/>
        <v>12</v>
      </c>
      <c r="H1988" s="7">
        <f t="shared" ref="H1988:H2051" si="376">((C1988-C1987)/C1987)*100</f>
        <v>-1.0943836658713388</v>
      </c>
      <c r="I1988" s="9">
        <f t="shared" ref="I1988:I2051" si="377">LN(C1988/C1987)</f>
        <v>-1.1004160962412957E-2</v>
      </c>
      <c r="J1988" s="9">
        <f t="shared" si="366"/>
        <v>56144.351428571434</v>
      </c>
      <c r="K1988" s="9">
        <f t="shared" si="369"/>
        <v>56792.924666666659</v>
      </c>
      <c r="L1988" s="9">
        <f t="shared" si="368"/>
        <v>56198.774444444447</v>
      </c>
      <c r="M1988" s="9">
        <f t="shared" si="367"/>
        <v>1.6625642672172574E-2</v>
      </c>
      <c r="N1988" s="9">
        <f t="shared" si="370"/>
        <v>1.1045242273675978E-2</v>
      </c>
    </row>
    <row r="1989" spans="1:14" x14ac:dyDescent="0.35">
      <c r="A1989" s="1">
        <v>45273</v>
      </c>
      <c r="B1989" s="2" t="s">
        <v>1988</v>
      </c>
      <c r="C1989">
        <f t="shared" si="371"/>
        <v>56651.66</v>
      </c>
      <c r="D1989">
        <f t="shared" si="372"/>
        <v>2023</v>
      </c>
      <c r="E1989">
        <f t="shared" si="373"/>
        <v>12</v>
      </c>
      <c r="F1989" t="str">
        <f t="shared" si="375"/>
        <v>December</v>
      </c>
      <c r="G1989">
        <f t="shared" si="374"/>
        <v>13</v>
      </c>
      <c r="H1989" s="7">
        <f t="shared" si="376"/>
        <v>0.74194759331605786</v>
      </c>
      <c r="I1989" s="9">
        <f t="shared" si="377"/>
        <v>7.3920870124586351E-3</v>
      </c>
      <c r="J1989" s="9">
        <f t="shared" si="366"/>
        <v>56007.305714285714</v>
      </c>
      <c r="K1989" s="9">
        <f t="shared" si="369"/>
        <v>56767.995666666655</v>
      </c>
      <c r="L1989" s="9">
        <f t="shared" si="368"/>
        <v>56263.375444444442</v>
      </c>
      <c r="M1989" s="9">
        <f t="shared" si="367"/>
        <v>1.657809536979173E-2</v>
      </c>
      <c r="N1989" s="9">
        <f t="shared" si="370"/>
        <v>1.0701721150761451E-2</v>
      </c>
    </row>
    <row r="1990" spans="1:14" x14ac:dyDescent="0.35">
      <c r="A1990" s="1">
        <v>45274</v>
      </c>
      <c r="B1990" s="2" t="s">
        <v>1989</v>
      </c>
      <c r="C1990">
        <f t="shared" si="371"/>
        <v>56253.31</v>
      </c>
      <c r="D1990">
        <f t="shared" si="372"/>
        <v>2023</v>
      </c>
      <c r="E1990">
        <f t="shared" si="373"/>
        <v>12</v>
      </c>
      <c r="F1990" t="str">
        <f t="shared" si="375"/>
        <v>December</v>
      </c>
      <c r="G1990">
        <f t="shared" si="374"/>
        <v>14</v>
      </c>
      <c r="H1990" s="7">
        <f t="shared" si="376"/>
        <v>-0.70315680070099584</v>
      </c>
      <c r="I1990" s="9">
        <f t="shared" si="377"/>
        <v>-7.0564059830899722E-3</v>
      </c>
      <c r="J1990" s="9">
        <f t="shared" si="366"/>
        <v>56072.750000000007</v>
      </c>
      <c r="K1990" s="9">
        <f t="shared" si="369"/>
        <v>56728.690666666655</v>
      </c>
      <c r="L1990" s="9">
        <f t="shared" si="368"/>
        <v>56314.802666666656</v>
      </c>
      <c r="M1990" s="9">
        <f t="shared" si="367"/>
        <v>1.0831278912072568E-2</v>
      </c>
      <c r="N1990" s="9">
        <f t="shared" si="370"/>
        <v>1.0767336625926582E-2</v>
      </c>
    </row>
    <row r="1991" spans="1:14" x14ac:dyDescent="0.35">
      <c r="A1991" s="1">
        <v>45278</v>
      </c>
      <c r="B1991" s="2" t="s">
        <v>1990</v>
      </c>
      <c r="C1991">
        <f t="shared" si="371"/>
        <v>57236.84</v>
      </c>
      <c r="D1991">
        <f t="shared" si="372"/>
        <v>2023</v>
      </c>
      <c r="E1991">
        <f t="shared" si="373"/>
        <v>12</v>
      </c>
      <c r="F1991" t="str">
        <f t="shared" si="375"/>
        <v>December</v>
      </c>
      <c r="G1991">
        <f t="shared" si="374"/>
        <v>18</v>
      </c>
      <c r="H1991" s="7">
        <f t="shared" si="376"/>
        <v>1.7483948944515424</v>
      </c>
      <c r="I1991" s="9">
        <f t="shared" si="377"/>
        <v>1.7332863217081159E-2</v>
      </c>
      <c r="J1991" s="9">
        <f t="shared" si="366"/>
        <v>56339.54714285714</v>
      </c>
      <c r="K1991" s="9">
        <f t="shared" si="369"/>
        <v>56726.147333333334</v>
      </c>
      <c r="L1991" s="9">
        <f t="shared" si="368"/>
        <v>56385.463777777761</v>
      </c>
      <c r="M1991" s="9">
        <f t="shared" si="367"/>
        <v>1.1532167827008796E-2</v>
      </c>
      <c r="N1991" s="9">
        <f t="shared" si="370"/>
        <v>1.1253381333145466E-2</v>
      </c>
    </row>
    <row r="1992" spans="1:14" x14ac:dyDescent="0.35">
      <c r="A1992" s="1">
        <v>45279</v>
      </c>
      <c r="B1992" s="2" t="s">
        <v>1991</v>
      </c>
      <c r="C1992">
        <f t="shared" si="371"/>
        <v>57660.5</v>
      </c>
      <c r="D1992">
        <f t="shared" si="372"/>
        <v>2023</v>
      </c>
      <c r="E1992">
        <f t="shared" si="373"/>
        <v>12</v>
      </c>
      <c r="F1992" t="str">
        <f t="shared" si="375"/>
        <v>December</v>
      </c>
      <c r="G1992">
        <f t="shared" si="374"/>
        <v>19</v>
      </c>
      <c r="H1992" s="7">
        <f t="shared" si="376"/>
        <v>0.74018761343219419</v>
      </c>
      <c r="I1992" s="9">
        <f t="shared" si="377"/>
        <v>7.3746166805893423E-3</v>
      </c>
      <c r="J1992" s="9">
        <f t="shared" si="366"/>
        <v>56683.23714285715</v>
      </c>
      <c r="K1992" s="9">
        <f t="shared" si="369"/>
        <v>56742.751333333326</v>
      </c>
      <c r="L1992" s="9">
        <f t="shared" si="368"/>
        <v>56457.597111111107</v>
      </c>
      <c r="M1992" s="9">
        <f t="shared" si="367"/>
        <v>1.1148677743546177E-2</v>
      </c>
      <c r="N1992" s="9">
        <f t="shared" si="370"/>
        <v>1.1322112010582313E-2</v>
      </c>
    </row>
    <row r="1993" spans="1:14" x14ac:dyDescent="0.35">
      <c r="A1993" s="1">
        <v>45280</v>
      </c>
      <c r="B1993" s="2" t="s">
        <v>1992</v>
      </c>
      <c r="C1993">
        <f t="shared" si="371"/>
        <v>58495.67</v>
      </c>
      <c r="D1993">
        <f t="shared" si="372"/>
        <v>2023</v>
      </c>
      <c r="E1993">
        <f t="shared" si="373"/>
        <v>12</v>
      </c>
      <c r="F1993" t="str">
        <f t="shared" si="375"/>
        <v>December</v>
      </c>
      <c r="G1993">
        <f t="shared" si="374"/>
        <v>20</v>
      </c>
      <c r="H1993" s="7">
        <f t="shared" si="376"/>
        <v>1.4484265658466338</v>
      </c>
      <c r="I1993" s="9">
        <f t="shared" si="377"/>
        <v>1.4380370709015268E-2</v>
      </c>
      <c r="J1993" s="9">
        <f t="shared" ref="J1993:J2056" si="378">AVERAGE(C1987:C1993)</f>
        <v>57055.58142857143</v>
      </c>
      <c r="K1993" s="9">
        <f t="shared" si="369"/>
        <v>56801.165333333323</v>
      </c>
      <c r="L1993" s="9">
        <f t="shared" si="368"/>
        <v>56527.502777777765</v>
      </c>
      <c r="M1993" s="9">
        <f t="shared" si="367"/>
        <v>1.1437092583187466E-2</v>
      </c>
      <c r="N1993" s="9">
        <f t="shared" si="370"/>
        <v>1.1509851694460843E-2</v>
      </c>
    </row>
    <row r="1994" spans="1:14" x14ac:dyDescent="0.35">
      <c r="A1994" s="1">
        <v>45281</v>
      </c>
      <c r="B1994" s="2" t="s">
        <v>1993</v>
      </c>
      <c r="C1994">
        <f t="shared" si="371"/>
        <v>58437.23</v>
      </c>
      <c r="D1994">
        <f t="shared" si="372"/>
        <v>2023</v>
      </c>
      <c r="E1994">
        <f t="shared" si="373"/>
        <v>12</v>
      </c>
      <c r="F1994" t="str">
        <f t="shared" si="375"/>
        <v>December</v>
      </c>
      <c r="G1994">
        <f t="shared" si="374"/>
        <v>21</v>
      </c>
      <c r="H1994" s="7">
        <f t="shared" si="376"/>
        <v>-9.9904830562663971E-2</v>
      </c>
      <c r="I1994" s="9">
        <f t="shared" si="377"/>
        <v>-9.9954768701697406E-4</v>
      </c>
      <c r="J1994" s="9">
        <f t="shared" si="378"/>
        <v>57281.377142857134</v>
      </c>
      <c r="K1994" s="9">
        <f t="shared" si="369"/>
        <v>56869.477333333321</v>
      </c>
      <c r="L1994" s="9">
        <f t="shared" si="368"/>
        <v>56597.994444444441</v>
      </c>
      <c r="M1994" s="9">
        <f t="shared" ref="M1994:M2057" si="379">STDEV(I1988:I1994)</f>
        <v>1.0651509906312681E-2</v>
      </c>
      <c r="N1994" s="9">
        <f t="shared" si="370"/>
        <v>1.1434533768472088E-2</v>
      </c>
    </row>
    <row r="1995" spans="1:14" x14ac:dyDescent="0.35">
      <c r="A1995" s="1">
        <v>45282</v>
      </c>
      <c r="B1995" s="2" t="s">
        <v>1994</v>
      </c>
      <c r="C1995">
        <f t="shared" si="371"/>
        <v>58207.82</v>
      </c>
      <c r="D1995">
        <f t="shared" si="372"/>
        <v>2023</v>
      </c>
      <c r="E1995">
        <f t="shared" si="373"/>
        <v>12</v>
      </c>
      <c r="F1995" t="str">
        <f t="shared" si="375"/>
        <v>December</v>
      </c>
      <c r="G1995">
        <f t="shared" si="374"/>
        <v>22</v>
      </c>
      <c r="H1995" s="7">
        <f t="shared" si="376"/>
        <v>-0.39257507585490192</v>
      </c>
      <c r="I1995" s="9">
        <f t="shared" si="377"/>
        <v>-3.9334767448848387E-3</v>
      </c>
      <c r="J1995" s="9">
        <f t="shared" si="378"/>
        <v>57563.289999999994</v>
      </c>
      <c r="K1995" s="9">
        <f t="shared" si="369"/>
        <v>56907.909999999996</v>
      </c>
      <c r="L1995" s="9">
        <f t="shared" si="368"/>
        <v>56665.496888888898</v>
      </c>
      <c r="M1995" s="9">
        <f t="shared" si="379"/>
        <v>9.2427735337870919E-3</v>
      </c>
      <c r="N1995" s="9">
        <f t="shared" si="370"/>
        <v>1.129242742920226E-2</v>
      </c>
    </row>
    <row r="1996" spans="1:14" x14ac:dyDescent="0.35">
      <c r="A1996" s="1">
        <v>45287</v>
      </c>
      <c r="B1996" s="2" t="s">
        <v>1995</v>
      </c>
      <c r="C1996">
        <f t="shared" si="371"/>
        <v>58146.1</v>
      </c>
      <c r="D1996">
        <f t="shared" si="372"/>
        <v>2023</v>
      </c>
      <c r="E1996">
        <f t="shared" si="373"/>
        <v>12</v>
      </c>
      <c r="F1996" t="str">
        <f t="shared" si="375"/>
        <v>December</v>
      </c>
      <c r="G1996">
        <f t="shared" si="374"/>
        <v>27</v>
      </c>
      <c r="H1996" s="7">
        <f t="shared" si="376"/>
        <v>-0.10603386280400326</v>
      </c>
      <c r="I1996" s="9">
        <f t="shared" si="377"/>
        <v>-1.0609011847452882E-3</v>
      </c>
      <c r="J1996" s="9">
        <f t="shared" si="378"/>
        <v>57776.781428571427</v>
      </c>
      <c r="K1996" s="9">
        <f t="shared" si="369"/>
        <v>56960.886333333328</v>
      </c>
      <c r="L1996" s="9">
        <f t="shared" si="368"/>
        <v>56729.44222222222</v>
      </c>
      <c r="M1996" s="9">
        <f t="shared" si="379"/>
        <v>9.417603636528226E-3</v>
      </c>
      <c r="N1996" s="9">
        <f t="shared" si="370"/>
        <v>1.1157262098071248E-2</v>
      </c>
    </row>
    <row r="1997" spans="1:14" x14ac:dyDescent="0.35">
      <c r="A1997" s="1">
        <v>45288</v>
      </c>
      <c r="B1997" s="2" t="s">
        <v>1996</v>
      </c>
      <c r="C1997">
        <f t="shared" si="371"/>
        <v>58223.72</v>
      </c>
      <c r="D1997">
        <f t="shared" si="372"/>
        <v>2023</v>
      </c>
      <c r="E1997">
        <f t="shared" si="373"/>
        <v>12</v>
      </c>
      <c r="F1997" t="str">
        <f t="shared" si="375"/>
        <v>December</v>
      </c>
      <c r="G1997">
        <f t="shared" si="374"/>
        <v>28</v>
      </c>
      <c r="H1997" s="7">
        <f t="shared" si="376"/>
        <v>0.13349132615945458</v>
      </c>
      <c r="I1997" s="9">
        <f t="shared" si="377"/>
        <v>1.3340230570290459E-3</v>
      </c>
      <c r="J1997" s="9">
        <f t="shared" si="378"/>
        <v>58058.268571428569</v>
      </c>
      <c r="K1997" s="9">
        <f t="shared" si="369"/>
        <v>57002.003666666664</v>
      </c>
      <c r="L1997" s="9">
        <f t="shared" si="368"/>
        <v>56784.801888888876</v>
      </c>
      <c r="M1997" s="9">
        <f t="shared" si="379"/>
        <v>8.2830994038558311E-3</v>
      </c>
      <c r="N1997" s="9">
        <f t="shared" si="370"/>
        <v>1.1085673730409504E-2</v>
      </c>
    </row>
    <row r="1998" spans="1:14" x14ac:dyDescent="0.35">
      <c r="A1998" s="1">
        <v>45289</v>
      </c>
      <c r="B1998" s="2" t="s">
        <v>1997</v>
      </c>
      <c r="C1998">
        <f t="shared" si="371"/>
        <v>58391.64</v>
      </c>
      <c r="D1998">
        <f t="shared" si="372"/>
        <v>2023</v>
      </c>
      <c r="E1998">
        <f t="shared" si="373"/>
        <v>12</v>
      </c>
      <c r="F1998" t="str">
        <f t="shared" si="375"/>
        <v>December</v>
      </c>
      <c r="G1998">
        <f t="shared" si="374"/>
        <v>29</v>
      </c>
      <c r="H1998" s="7">
        <f t="shared" si="376"/>
        <v>0.28840479447207812</v>
      </c>
      <c r="I1998" s="9">
        <f t="shared" si="377"/>
        <v>2.8798970574371507E-3</v>
      </c>
      <c r="J1998" s="9">
        <f t="shared" si="378"/>
        <v>58223.240000000005</v>
      </c>
      <c r="K1998" s="9">
        <f t="shared" si="369"/>
        <v>57072.500999999997</v>
      </c>
      <c r="L1998" s="9">
        <f t="shared" si="368"/>
        <v>56850.631444444422</v>
      </c>
      <c r="M1998" s="9">
        <f t="shared" si="379"/>
        <v>6.2162464261363171E-3</v>
      </c>
      <c r="N1998" s="9">
        <f t="shared" si="370"/>
        <v>1.0801285597872544E-2</v>
      </c>
    </row>
    <row r="1999" spans="1:14" x14ac:dyDescent="0.35">
      <c r="A1999" s="1">
        <v>45293</v>
      </c>
      <c r="B1999" s="2" t="s">
        <v>1998</v>
      </c>
      <c r="C1999">
        <f t="shared" si="371"/>
        <v>58081.87</v>
      </c>
      <c r="D1999">
        <f t="shared" si="372"/>
        <v>2024</v>
      </c>
      <c r="E1999">
        <f t="shared" si="373"/>
        <v>1</v>
      </c>
      <c r="F1999" t="str">
        <f t="shared" si="375"/>
        <v>January</v>
      </c>
      <c r="G1999">
        <f t="shared" si="374"/>
        <v>2</v>
      </c>
      <c r="H1999" s="7">
        <f t="shared" si="376"/>
        <v>-0.53050402420619946</v>
      </c>
      <c r="I1999" s="9">
        <f t="shared" si="377"/>
        <v>-5.3191619342862987E-3</v>
      </c>
      <c r="J1999" s="9">
        <f t="shared" si="378"/>
        <v>58283.435714285719</v>
      </c>
      <c r="K1999" s="9">
        <f t="shared" si="369"/>
        <v>57133.990000000005</v>
      </c>
      <c r="L1999" s="9">
        <f t="shared" si="368"/>
        <v>56901.83988888887</v>
      </c>
      <c r="M1999" s="9">
        <f t="shared" si="379"/>
        <v>6.5215682314048243E-3</v>
      </c>
      <c r="N1999" s="9">
        <f t="shared" si="370"/>
        <v>1.0862477906761916E-2</v>
      </c>
    </row>
    <row r="2000" spans="1:14" x14ac:dyDescent="0.35">
      <c r="A2000" s="1">
        <v>45294</v>
      </c>
      <c r="B2000" s="2" t="s">
        <v>1999</v>
      </c>
      <c r="C2000">
        <f t="shared" si="371"/>
        <v>57779.11</v>
      </c>
      <c r="D2000">
        <f t="shared" si="372"/>
        <v>2024</v>
      </c>
      <c r="E2000">
        <f t="shared" si="373"/>
        <v>1</v>
      </c>
      <c r="F2000" t="str">
        <f t="shared" si="375"/>
        <v>January</v>
      </c>
      <c r="G2000">
        <f t="shared" si="374"/>
        <v>3</v>
      </c>
      <c r="H2000" s="7">
        <f t="shared" si="376"/>
        <v>-0.52126420860761202</v>
      </c>
      <c r="I2000" s="9">
        <f t="shared" si="377"/>
        <v>-5.2262753021894625E-3</v>
      </c>
      <c r="J2000" s="9">
        <f t="shared" si="378"/>
        <v>58181.07</v>
      </c>
      <c r="K2000" s="9">
        <f t="shared" si="369"/>
        <v>57189.525000000009</v>
      </c>
      <c r="L2000" s="9">
        <f t="shared" si="368"/>
        <v>56963.504111111091</v>
      </c>
      <c r="M2000" s="9">
        <f t="shared" si="379"/>
        <v>3.203522678982587E-3</v>
      </c>
      <c r="N2000" s="9">
        <f t="shared" si="370"/>
        <v>1.0907806101595807E-2</v>
      </c>
    </row>
    <row r="2001" spans="1:14" x14ac:dyDescent="0.35">
      <c r="A2001" s="1">
        <v>45295</v>
      </c>
      <c r="B2001" s="2" t="s">
        <v>2000</v>
      </c>
      <c r="C2001">
        <f t="shared" si="371"/>
        <v>57870.89</v>
      </c>
      <c r="D2001">
        <f t="shared" si="372"/>
        <v>2024</v>
      </c>
      <c r="E2001">
        <f t="shared" si="373"/>
        <v>1</v>
      </c>
      <c r="F2001" t="str">
        <f t="shared" si="375"/>
        <v>January</v>
      </c>
      <c r="G2001">
        <f t="shared" si="374"/>
        <v>4</v>
      </c>
      <c r="H2001" s="7">
        <f t="shared" si="376"/>
        <v>0.15884633737002668</v>
      </c>
      <c r="I2001" s="9">
        <f t="shared" si="377"/>
        <v>1.5872031001778017E-3</v>
      </c>
      <c r="J2001" s="9">
        <f t="shared" si="378"/>
        <v>58100.164285714287</v>
      </c>
      <c r="K2001" s="9">
        <f t="shared" si="369"/>
        <v>57270.486666666679</v>
      </c>
      <c r="L2001" s="9">
        <f t="shared" si="368"/>
        <v>57019.698777777754</v>
      </c>
      <c r="M2001" s="9">
        <f t="shared" si="379"/>
        <v>3.4459868370127281E-3</v>
      </c>
      <c r="N2001" s="9">
        <f t="shared" si="370"/>
        <v>1.0627665659146326E-2</v>
      </c>
    </row>
    <row r="2002" spans="1:14" x14ac:dyDescent="0.35">
      <c r="A2002" s="1">
        <v>45296</v>
      </c>
      <c r="B2002" s="2" t="s">
        <v>2001</v>
      </c>
      <c r="C2002">
        <f t="shared" si="371"/>
        <v>57282.14</v>
      </c>
      <c r="D2002">
        <f t="shared" si="372"/>
        <v>2024</v>
      </c>
      <c r="E2002">
        <f t="shared" si="373"/>
        <v>1</v>
      </c>
      <c r="F2002" t="str">
        <f t="shared" si="375"/>
        <v>January</v>
      </c>
      <c r="G2002">
        <f t="shared" si="374"/>
        <v>5</v>
      </c>
      <c r="H2002" s="7">
        <f t="shared" si="376"/>
        <v>-1.0173508650031129</v>
      </c>
      <c r="I2002" s="9">
        <f t="shared" si="377"/>
        <v>-1.0225612476208902E-2</v>
      </c>
      <c r="J2002" s="9">
        <f t="shared" si="378"/>
        <v>57967.924285714289</v>
      </c>
      <c r="K2002" s="9">
        <f t="shared" si="369"/>
        <v>57301.08666666667</v>
      </c>
      <c r="L2002" s="9">
        <f t="shared" si="368"/>
        <v>57054.080111111092</v>
      </c>
      <c r="M2002" s="9">
        <f t="shared" si="379"/>
        <v>4.7814963911091361E-3</v>
      </c>
      <c r="N2002" s="9">
        <f t="shared" si="370"/>
        <v>1.043952799358683E-2</v>
      </c>
    </row>
    <row r="2003" spans="1:14" x14ac:dyDescent="0.35">
      <c r="A2003" s="1">
        <v>45299</v>
      </c>
      <c r="B2003" s="2" t="s">
        <v>2002</v>
      </c>
      <c r="C2003">
        <f t="shared" si="371"/>
        <v>56157.89</v>
      </c>
      <c r="D2003">
        <f t="shared" si="372"/>
        <v>2024</v>
      </c>
      <c r="E2003">
        <f t="shared" si="373"/>
        <v>1</v>
      </c>
      <c r="F2003" t="str">
        <f t="shared" si="375"/>
        <v>January</v>
      </c>
      <c r="G2003">
        <f t="shared" si="374"/>
        <v>8</v>
      </c>
      <c r="H2003" s="7">
        <f t="shared" si="376"/>
        <v>-1.9626536299097763</v>
      </c>
      <c r="I2003" s="9">
        <f t="shared" si="377"/>
        <v>-1.9821694503037418E-2</v>
      </c>
      <c r="J2003" s="9">
        <f t="shared" si="378"/>
        <v>57683.894285714297</v>
      </c>
      <c r="K2003" s="9">
        <f t="shared" si="369"/>
        <v>57278.037666666671</v>
      </c>
      <c r="L2003" s="9">
        <f t="shared" si="368"/>
        <v>57075.621111111082</v>
      </c>
      <c r="M2003" s="9">
        <f t="shared" si="379"/>
        <v>8.0905334170665085E-3</v>
      </c>
      <c r="N2003" s="9">
        <f t="shared" si="370"/>
        <v>1.0960210487367885E-2</v>
      </c>
    </row>
    <row r="2004" spans="1:14" x14ac:dyDescent="0.35">
      <c r="A2004" s="1">
        <v>45300</v>
      </c>
      <c r="B2004" s="2" t="s">
        <v>2003</v>
      </c>
      <c r="C2004">
        <f t="shared" si="371"/>
        <v>55601.63</v>
      </c>
      <c r="D2004">
        <f t="shared" si="372"/>
        <v>2024</v>
      </c>
      <c r="E2004">
        <f t="shared" si="373"/>
        <v>1</v>
      </c>
      <c r="F2004" t="str">
        <f t="shared" si="375"/>
        <v>January</v>
      </c>
      <c r="G2004">
        <f t="shared" si="374"/>
        <v>9</v>
      </c>
      <c r="H2004" s="7">
        <f t="shared" si="376"/>
        <v>-0.99052866836699538</v>
      </c>
      <c r="I2004" s="9">
        <f t="shared" si="377"/>
        <v>-9.9546704130906265E-3</v>
      </c>
      <c r="J2004" s="9">
        <f t="shared" si="378"/>
        <v>57309.310000000005</v>
      </c>
      <c r="K2004" s="9">
        <f t="shared" si="369"/>
        <v>57223.724999999999</v>
      </c>
      <c r="L2004" s="9">
        <f t="shared" si="368"/>
        <v>57088.867333333306</v>
      </c>
      <c r="M2004" s="9">
        <f t="shared" si="379"/>
        <v>7.7420544978251161E-3</v>
      </c>
      <c r="N2004" s="9">
        <f t="shared" si="370"/>
        <v>1.1009668225881961E-2</v>
      </c>
    </row>
    <row r="2005" spans="1:14" x14ac:dyDescent="0.35">
      <c r="A2005" s="1">
        <v>45301</v>
      </c>
      <c r="B2005" s="2" t="s">
        <v>2004</v>
      </c>
      <c r="C2005">
        <f t="shared" si="371"/>
        <v>55935.75</v>
      </c>
      <c r="D2005">
        <f t="shared" si="372"/>
        <v>2024</v>
      </c>
      <c r="E2005">
        <f t="shared" si="373"/>
        <v>1</v>
      </c>
      <c r="F2005" t="str">
        <f t="shared" si="375"/>
        <v>January</v>
      </c>
      <c r="G2005">
        <f t="shared" si="374"/>
        <v>10</v>
      </c>
      <c r="H2005" s="7">
        <f t="shared" si="376"/>
        <v>0.60091763496861994</v>
      </c>
      <c r="I2005" s="9">
        <f t="shared" si="377"/>
        <v>5.9911932559120621E-3</v>
      </c>
      <c r="J2005" s="9">
        <f t="shared" si="378"/>
        <v>56958.468571428573</v>
      </c>
      <c r="K2005" s="9">
        <f t="shared" si="369"/>
        <v>57154.012999999999</v>
      </c>
      <c r="L2005" s="9">
        <f t="shared" si="368"/>
        <v>57098.924555555532</v>
      </c>
      <c r="M2005" s="9">
        <f t="shared" si="379"/>
        <v>8.4342246475256101E-3</v>
      </c>
      <c r="N2005" s="9">
        <f t="shared" si="370"/>
        <v>1.0736856825231855E-2</v>
      </c>
    </row>
    <row r="2006" spans="1:14" x14ac:dyDescent="0.35">
      <c r="A2006" s="1">
        <v>45302</v>
      </c>
      <c r="B2006" s="2" t="s">
        <v>2005</v>
      </c>
      <c r="C2006">
        <f t="shared" si="371"/>
        <v>56857.24</v>
      </c>
      <c r="D2006">
        <f t="shared" si="372"/>
        <v>2024</v>
      </c>
      <c r="E2006">
        <f t="shared" si="373"/>
        <v>1</v>
      </c>
      <c r="F2006" t="str">
        <f t="shared" si="375"/>
        <v>January</v>
      </c>
      <c r="G2006">
        <f t="shared" si="374"/>
        <v>11</v>
      </c>
      <c r="H2006" s="7">
        <f t="shared" si="376"/>
        <v>1.6474079636010923</v>
      </c>
      <c r="I2006" s="9">
        <f t="shared" si="377"/>
        <v>1.6339854140888628E-2</v>
      </c>
      <c r="J2006" s="9">
        <f t="shared" si="378"/>
        <v>56783.521428571432</v>
      </c>
      <c r="K2006" s="9">
        <f t="shared" si="369"/>
        <v>57108.590666666663</v>
      </c>
      <c r="L2006" s="9">
        <f t="shared" si="368"/>
        <v>57117.654999999984</v>
      </c>
      <c r="M2006" s="9">
        <f t="shared" si="379"/>
        <v>1.2002797186197468E-2</v>
      </c>
      <c r="N2006" s="9">
        <f t="shared" si="370"/>
        <v>1.1180842002760819E-2</v>
      </c>
    </row>
    <row r="2007" spans="1:14" x14ac:dyDescent="0.35">
      <c r="A2007" s="1">
        <v>45303</v>
      </c>
      <c r="B2007" s="2" t="s">
        <v>2006</v>
      </c>
      <c r="C2007">
        <f t="shared" si="371"/>
        <v>56916.97</v>
      </c>
      <c r="D2007">
        <f t="shared" si="372"/>
        <v>2024</v>
      </c>
      <c r="E2007">
        <f t="shared" si="373"/>
        <v>1</v>
      </c>
      <c r="F2007" t="str">
        <f t="shared" si="375"/>
        <v>January</v>
      </c>
      <c r="G2007">
        <f t="shared" si="374"/>
        <v>12</v>
      </c>
      <c r="H2007" s="7">
        <f t="shared" si="376"/>
        <v>0.10505258433227362</v>
      </c>
      <c r="I2007" s="9">
        <f t="shared" si="377"/>
        <v>1.0499744271997165E-3</v>
      </c>
      <c r="J2007" s="9">
        <f t="shared" si="378"/>
        <v>56660.358571428573</v>
      </c>
      <c r="K2007" s="9">
        <f t="shared" si="369"/>
        <v>57095.360333333323</v>
      </c>
      <c r="L2007" s="9">
        <f t="shared" si="368"/>
        <v>57133.703888888871</v>
      </c>
      <c r="M2007" s="9">
        <f t="shared" si="379"/>
        <v>1.2046973362273441E-2</v>
      </c>
      <c r="N2007" s="9">
        <f t="shared" si="370"/>
        <v>1.0823840549717641E-2</v>
      </c>
    </row>
    <row r="2008" spans="1:14" x14ac:dyDescent="0.35">
      <c r="A2008" s="1">
        <v>45306</v>
      </c>
      <c r="B2008" s="2" t="s">
        <v>2007</v>
      </c>
      <c r="C2008">
        <f t="shared" si="371"/>
        <v>56699.199999999997</v>
      </c>
      <c r="D2008">
        <f t="shared" si="372"/>
        <v>2024</v>
      </c>
      <c r="E2008">
        <f t="shared" si="373"/>
        <v>1</v>
      </c>
      <c r="F2008" t="str">
        <f t="shared" si="375"/>
        <v>January</v>
      </c>
      <c r="G2008">
        <f t="shared" si="374"/>
        <v>15</v>
      </c>
      <c r="H2008" s="7">
        <f t="shared" si="376"/>
        <v>-0.38260996676387388</v>
      </c>
      <c r="I2008" s="9">
        <f t="shared" si="377"/>
        <v>-3.8334379108522477E-3</v>
      </c>
      <c r="J2008" s="9">
        <f t="shared" si="378"/>
        <v>56492.974285714285</v>
      </c>
      <c r="K2008" s="9">
        <f t="shared" si="369"/>
        <v>57071.533666666648</v>
      </c>
      <c r="L2008" s="9">
        <f t="shared" si="368"/>
        <v>57143.808888888874</v>
      </c>
      <c r="M2008" s="9">
        <f t="shared" si="379"/>
        <v>1.194063246156753E-2</v>
      </c>
      <c r="N2008" s="9">
        <f t="shared" si="370"/>
        <v>1.0836619286385027E-2</v>
      </c>
    </row>
    <row r="2009" spans="1:14" x14ac:dyDescent="0.35">
      <c r="A2009" s="1">
        <v>45307</v>
      </c>
      <c r="B2009" s="2" t="s">
        <v>2008</v>
      </c>
      <c r="C2009">
        <f t="shared" si="371"/>
        <v>57043.42</v>
      </c>
      <c r="D2009">
        <f t="shared" si="372"/>
        <v>2024</v>
      </c>
      <c r="E2009">
        <f t="shared" si="373"/>
        <v>1</v>
      </c>
      <c r="F2009" t="str">
        <f t="shared" si="375"/>
        <v>January</v>
      </c>
      <c r="G2009">
        <f t="shared" si="374"/>
        <v>16</v>
      </c>
      <c r="H2009" s="7">
        <f t="shared" si="376"/>
        <v>0.6070985128537989</v>
      </c>
      <c r="I2009" s="9">
        <f t="shared" si="377"/>
        <v>6.0526309461738769E-3</v>
      </c>
      <c r="J2009" s="9">
        <f t="shared" si="378"/>
        <v>56458.871428571423</v>
      </c>
      <c r="K2009" s="9">
        <f t="shared" si="369"/>
        <v>57052.980333333318</v>
      </c>
      <c r="L2009" s="9">
        <f t="shared" si="368"/>
        <v>57158.641666666656</v>
      </c>
      <c r="M2009" s="9">
        <f t="shared" si="379"/>
        <v>1.1866063925728027E-2</v>
      </c>
      <c r="N2009" s="9">
        <f t="shared" si="370"/>
        <v>1.0881488311673878E-2</v>
      </c>
    </row>
    <row r="2010" spans="1:14" x14ac:dyDescent="0.35">
      <c r="A2010" s="1">
        <v>45308</v>
      </c>
      <c r="B2010" s="2" t="s">
        <v>2009</v>
      </c>
      <c r="C2010">
        <f t="shared" si="371"/>
        <v>58121.84</v>
      </c>
      <c r="D2010">
        <f t="shared" si="372"/>
        <v>2024</v>
      </c>
      <c r="E2010">
        <f t="shared" si="373"/>
        <v>1</v>
      </c>
      <c r="F2010" t="str">
        <f t="shared" si="375"/>
        <v>January</v>
      </c>
      <c r="G2010">
        <f t="shared" si="374"/>
        <v>17</v>
      </c>
      <c r="H2010" s="7">
        <f t="shared" si="376"/>
        <v>1.8905247967250178</v>
      </c>
      <c r="I2010" s="9">
        <f t="shared" si="377"/>
        <v>1.8728764605360559E-2</v>
      </c>
      <c r="J2010" s="9">
        <f t="shared" si="378"/>
        <v>56739.435714285704</v>
      </c>
      <c r="K2010" s="9">
        <f t="shared" si="369"/>
        <v>57074.082999999984</v>
      </c>
      <c r="L2010" s="9">
        <f t="shared" si="368"/>
        <v>57182.34466666665</v>
      </c>
      <c r="M2010" s="9">
        <f t="shared" si="379"/>
        <v>1.029870811475069E-2</v>
      </c>
      <c r="N2010" s="9">
        <f t="shared" si="370"/>
        <v>1.1416820417211336E-2</v>
      </c>
    </row>
    <row r="2011" spans="1:14" x14ac:dyDescent="0.35">
      <c r="A2011" s="1">
        <v>45309</v>
      </c>
      <c r="B2011" s="2" t="s">
        <v>2010</v>
      </c>
      <c r="C2011">
        <f t="shared" si="371"/>
        <v>57821.2</v>
      </c>
      <c r="D2011">
        <f t="shared" si="372"/>
        <v>2024</v>
      </c>
      <c r="E2011">
        <f t="shared" si="373"/>
        <v>1</v>
      </c>
      <c r="F2011" t="str">
        <f t="shared" si="375"/>
        <v>January</v>
      </c>
      <c r="G2011">
        <f t="shared" si="374"/>
        <v>18</v>
      </c>
      <c r="H2011" s="7">
        <f t="shared" si="376"/>
        <v>-0.51725822857638271</v>
      </c>
      <c r="I2011" s="9">
        <f t="shared" si="377"/>
        <v>-5.1860064010851642E-3</v>
      </c>
      <c r="J2011" s="9">
        <f t="shared" si="378"/>
        <v>57056.517142857134</v>
      </c>
      <c r="K2011" s="9">
        <f t="shared" si="369"/>
        <v>57096.136666666644</v>
      </c>
      <c r="L2011" s="9">
        <f t="shared" si="368"/>
        <v>57196.245222222205</v>
      </c>
      <c r="M2011" s="9">
        <f t="shared" si="379"/>
        <v>9.2565003015996645E-3</v>
      </c>
      <c r="N2011" s="9">
        <f t="shared" si="370"/>
        <v>1.1407006916086529E-2</v>
      </c>
    </row>
    <row r="2012" spans="1:14" x14ac:dyDescent="0.35">
      <c r="A2012" s="1">
        <v>45310</v>
      </c>
      <c r="B2012" s="2" t="s">
        <v>2011</v>
      </c>
      <c r="C2012">
        <f t="shared" si="371"/>
        <v>57804.33</v>
      </c>
      <c r="D2012">
        <f t="shared" si="372"/>
        <v>2024</v>
      </c>
      <c r="E2012">
        <f t="shared" si="373"/>
        <v>1</v>
      </c>
      <c r="F2012" t="str">
        <f t="shared" si="375"/>
        <v>January</v>
      </c>
      <c r="G2012">
        <f t="shared" si="374"/>
        <v>19</v>
      </c>
      <c r="H2012" s="7">
        <f t="shared" si="376"/>
        <v>-2.9176149924241186E-2</v>
      </c>
      <c r="I2012" s="9">
        <f t="shared" si="377"/>
        <v>-2.918040699091136E-4</v>
      </c>
      <c r="J2012" s="9">
        <f t="shared" si="378"/>
        <v>57323.457142857136</v>
      </c>
      <c r="K2012" s="9">
        <f t="shared" si="369"/>
        <v>57102.581666666651</v>
      </c>
      <c r="L2012" s="9">
        <f t="shared" ref="L2012:L2075" si="380">AVERAGE(C1923:C2012)</f>
        <v>57206.484999999986</v>
      </c>
      <c r="M2012" s="9">
        <f t="shared" si="379"/>
        <v>9.5124068291245825E-3</v>
      </c>
      <c r="N2012" s="9">
        <f t="shared" si="370"/>
        <v>1.1319385551196916E-2</v>
      </c>
    </row>
    <row r="2013" spans="1:14" x14ac:dyDescent="0.35">
      <c r="A2013" s="1">
        <v>45313</v>
      </c>
      <c r="B2013" s="2" t="s">
        <v>2012</v>
      </c>
      <c r="C2013">
        <f t="shared" si="371"/>
        <v>58184.25</v>
      </c>
      <c r="D2013">
        <f t="shared" si="372"/>
        <v>2024</v>
      </c>
      <c r="E2013">
        <f t="shared" si="373"/>
        <v>1</v>
      </c>
      <c r="F2013" t="str">
        <f t="shared" si="375"/>
        <v>January</v>
      </c>
      <c r="G2013">
        <f t="shared" si="374"/>
        <v>22</v>
      </c>
      <c r="H2013" s="7">
        <f t="shared" si="376"/>
        <v>0.65725180103289538</v>
      </c>
      <c r="I2013" s="9">
        <f t="shared" si="377"/>
        <v>6.551013189616095E-3</v>
      </c>
      <c r="J2013" s="9">
        <f t="shared" si="378"/>
        <v>57513.030000000006</v>
      </c>
      <c r="K2013" s="9">
        <f t="shared" si="369"/>
        <v>57182.21666666666</v>
      </c>
      <c r="L2013" s="9">
        <f t="shared" si="380"/>
        <v>57217.818333333315</v>
      </c>
      <c r="M2013" s="9">
        <f t="shared" si="379"/>
        <v>8.1348492582426091E-3</v>
      </c>
      <c r="N2013" s="9">
        <f t="shared" si="370"/>
        <v>9.6038767356858568E-3</v>
      </c>
    </row>
    <row r="2014" spans="1:14" x14ac:dyDescent="0.35">
      <c r="A2014" s="1">
        <v>45314</v>
      </c>
      <c r="B2014" s="2" t="s">
        <v>2013</v>
      </c>
      <c r="C2014">
        <f t="shared" si="371"/>
        <v>58621.77</v>
      </c>
      <c r="D2014">
        <f t="shared" si="372"/>
        <v>2024</v>
      </c>
      <c r="E2014">
        <f t="shared" si="373"/>
        <v>1</v>
      </c>
      <c r="F2014" t="str">
        <f t="shared" si="375"/>
        <v>January</v>
      </c>
      <c r="G2014">
        <f t="shared" si="374"/>
        <v>23</v>
      </c>
      <c r="H2014" s="7">
        <f t="shared" si="376"/>
        <v>0.7519560705861067</v>
      </c>
      <c r="I2014" s="9">
        <f t="shared" si="377"/>
        <v>7.4914297428966548E-3</v>
      </c>
      <c r="J2014" s="9">
        <f t="shared" si="378"/>
        <v>57756.572857142855</v>
      </c>
      <c r="K2014" s="9">
        <f t="shared" si="369"/>
        <v>57290.633666666661</v>
      </c>
      <c r="L2014" s="9">
        <f t="shared" si="380"/>
        <v>57240.873555555547</v>
      </c>
      <c r="M2014" s="9">
        <f t="shared" si="379"/>
        <v>8.2024970674488117E-3</v>
      </c>
      <c r="N2014" s="9">
        <f t="shared" si="370"/>
        <v>9.5089429822131592E-3</v>
      </c>
    </row>
    <row r="2015" spans="1:14" x14ac:dyDescent="0.35">
      <c r="A2015" s="1">
        <v>45315</v>
      </c>
      <c r="B2015" s="2" t="s">
        <v>2014</v>
      </c>
      <c r="C2015">
        <f t="shared" si="371"/>
        <v>57891.77</v>
      </c>
      <c r="D2015">
        <f t="shared" si="372"/>
        <v>2024</v>
      </c>
      <c r="E2015">
        <f t="shared" si="373"/>
        <v>1</v>
      </c>
      <c r="F2015" t="str">
        <f t="shared" si="375"/>
        <v>January</v>
      </c>
      <c r="G2015">
        <f t="shared" si="374"/>
        <v>24</v>
      </c>
      <c r="H2015" s="7">
        <f t="shared" si="376"/>
        <v>-1.2452711680319446</v>
      </c>
      <c r="I2015" s="9">
        <f t="shared" si="377"/>
        <v>-1.2530896447395801E-2</v>
      </c>
      <c r="J2015" s="9">
        <f t="shared" si="378"/>
        <v>57926.94</v>
      </c>
      <c r="K2015" s="9">
        <f t="shared" si="369"/>
        <v>57378.536999999997</v>
      </c>
      <c r="L2015" s="9">
        <f t="shared" si="380"/>
        <v>57256.94244444443</v>
      </c>
      <c r="M2015" s="9">
        <f t="shared" si="379"/>
        <v>1.0070962917149418E-2</v>
      </c>
      <c r="N2015" s="9">
        <f t="shared" si="370"/>
        <v>9.8454726535775819E-3</v>
      </c>
    </row>
    <row r="2016" spans="1:14" x14ac:dyDescent="0.35">
      <c r="A2016" s="1">
        <v>45316</v>
      </c>
      <c r="B2016" s="2" t="s">
        <v>2015</v>
      </c>
      <c r="C2016">
        <f t="shared" si="371"/>
        <v>58614.45</v>
      </c>
      <c r="D2016">
        <f t="shared" si="372"/>
        <v>2024</v>
      </c>
      <c r="E2016">
        <f t="shared" si="373"/>
        <v>1</v>
      </c>
      <c r="F2016" t="str">
        <f t="shared" si="375"/>
        <v>January</v>
      </c>
      <c r="G2016">
        <f t="shared" si="374"/>
        <v>25</v>
      </c>
      <c r="H2016" s="7">
        <f t="shared" si="376"/>
        <v>1.2483294257543003</v>
      </c>
      <c r="I2016" s="9">
        <f t="shared" si="377"/>
        <v>1.2406020363715985E-2</v>
      </c>
      <c r="J2016" s="9">
        <f t="shared" si="378"/>
        <v>58151.372857142866</v>
      </c>
      <c r="K2016" s="9">
        <f t="shared" ref="K2016:K2079" si="381">AVERAGE(C1987:C2016)</f>
        <v>57469.376666666663</v>
      </c>
      <c r="L2016" s="9">
        <f t="shared" si="380"/>
        <v>57281.755222222208</v>
      </c>
      <c r="M2016" s="9">
        <f t="shared" si="379"/>
        <v>1.0663563373249229E-2</v>
      </c>
      <c r="N2016" s="9">
        <f t="shared" si="370"/>
        <v>9.8811468228622509E-3</v>
      </c>
    </row>
    <row r="2017" spans="1:14" x14ac:dyDescent="0.35">
      <c r="A2017" s="1">
        <v>45317</v>
      </c>
      <c r="B2017" s="2" t="s">
        <v>2016</v>
      </c>
      <c r="C2017">
        <f t="shared" si="371"/>
        <v>58422.86</v>
      </c>
      <c r="D2017">
        <f t="shared" si="372"/>
        <v>2024</v>
      </c>
      <c r="E2017">
        <f t="shared" si="373"/>
        <v>1</v>
      </c>
      <c r="F2017" t="str">
        <f t="shared" si="375"/>
        <v>January</v>
      </c>
      <c r="G2017">
        <f t="shared" si="374"/>
        <v>26</v>
      </c>
      <c r="H2017" s="7">
        <f t="shared" si="376"/>
        <v>-0.32686479187298784</v>
      </c>
      <c r="I2017" s="9">
        <f t="shared" si="377"/>
        <v>-3.2740016177595505E-3</v>
      </c>
      <c r="J2017" s="9">
        <f t="shared" si="378"/>
        <v>58194.375714285714</v>
      </c>
      <c r="K2017" s="9">
        <f t="shared" si="381"/>
        <v>57521.583333333336</v>
      </c>
      <c r="L2017" s="9">
        <f t="shared" si="380"/>
        <v>57305.357555555544</v>
      </c>
      <c r="M2017" s="9">
        <f t="shared" si="379"/>
        <v>8.6009374780650957E-3</v>
      </c>
      <c r="N2017" s="9">
        <f t="shared" ref="N2017:N2080" si="382">STDEV(I1988:I2017)</f>
        <v>9.4661455637461856E-3</v>
      </c>
    </row>
    <row r="2018" spans="1:14" x14ac:dyDescent="0.35">
      <c r="A2018" s="1">
        <v>45320</v>
      </c>
      <c r="B2018" s="2" t="s">
        <v>2017</v>
      </c>
      <c r="C2018">
        <f t="shared" si="371"/>
        <v>58005.62</v>
      </c>
      <c r="D2018">
        <f t="shared" si="372"/>
        <v>2024</v>
      </c>
      <c r="E2018">
        <f t="shared" si="373"/>
        <v>1</v>
      </c>
      <c r="F2018" t="str">
        <f t="shared" si="375"/>
        <v>January</v>
      </c>
      <c r="G2018">
        <f t="shared" si="374"/>
        <v>29</v>
      </c>
      <c r="H2018" s="7">
        <f t="shared" si="376"/>
        <v>-0.71417250028498769</v>
      </c>
      <c r="I2018" s="9">
        <f t="shared" si="377"/>
        <v>-7.1673491943633144E-3</v>
      </c>
      <c r="J2018" s="9">
        <f t="shared" si="378"/>
        <v>58220.721428571429</v>
      </c>
      <c r="K2018" s="9">
        <f t="shared" si="381"/>
        <v>57580.623000000007</v>
      </c>
      <c r="L2018" s="9">
        <f t="shared" si="380"/>
        <v>57321.176888888891</v>
      </c>
      <c r="M2018" s="9">
        <f t="shared" si="379"/>
        <v>8.8571674477663839E-3</v>
      </c>
      <c r="N2018" s="9">
        <f t="shared" si="382"/>
        <v>9.3245455385342676E-3</v>
      </c>
    </row>
    <row r="2019" spans="1:14" x14ac:dyDescent="0.35">
      <c r="A2019" s="1">
        <v>45321</v>
      </c>
      <c r="B2019" s="2" t="s">
        <v>2018</v>
      </c>
      <c r="C2019">
        <f t="shared" si="371"/>
        <v>57915.13</v>
      </c>
      <c r="D2019">
        <f t="shared" si="372"/>
        <v>2024</v>
      </c>
      <c r="E2019">
        <f t="shared" si="373"/>
        <v>1</v>
      </c>
      <c r="F2019" t="str">
        <f t="shared" si="375"/>
        <v>January</v>
      </c>
      <c r="G2019">
        <f t="shared" si="374"/>
        <v>30</v>
      </c>
      <c r="H2019" s="7">
        <f t="shared" si="376"/>
        <v>-0.15600212531131508</v>
      </c>
      <c r="I2019" s="9">
        <f t="shared" si="377"/>
        <v>-1.561239353274502E-3</v>
      </c>
      <c r="J2019" s="9">
        <f t="shared" si="378"/>
        <v>58236.549999999996</v>
      </c>
      <c r="K2019" s="9">
        <f t="shared" si="381"/>
        <v>57622.738666666672</v>
      </c>
      <c r="L2019" s="9">
        <f t="shared" si="380"/>
        <v>57340.602111111104</v>
      </c>
      <c r="M2019" s="9">
        <f t="shared" si="379"/>
        <v>8.8879466441966447E-3</v>
      </c>
      <c r="N2019" s="9">
        <f t="shared" si="382"/>
        <v>9.2570564187077781E-3</v>
      </c>
    </row>
    <row r="2020" spans="1:14" x14ac:dyDescent="0.35">
      <c r="A2020" s="1">
        <v>45322</v>
      </c>
      <c r="B2020" s="2" t="s">
        <v>2019</v>
      </c>
      <c r="C2020">
        <f t="shared" si="371"/>
        <v>57665.24</v>
      </c>
      <c r="D2020">
        <f t="shared" si="372"/>
        <v>2024</v>
      </c>
      <c r="E2020">
        <f t="shared" si="373"/>
        <v>1</v>
      </c>
      <c r="F2020" t="str">
        <f t="shared" si="375"/>
        <v>January</v>
      </c>
      <c r="G2020">
        <f t="shared" si="374"/>
        <v>31</v>
      </c>
      <c r="H2020" s="7">
        <f t="shared" si="376"/>
        <v>-0.4314761962892934</v>
      </c>
      <c r="I2020" s="9">
        <f t="shared" si="377"/>
        <v>-4.3240974114612226E-3</v>
      </c>
      <c r="J2020" s="9">
        <f t="shared" si="378"/>
        <v>58162.405714285713</v>
      </c>
      <c r="K2020" s="9">
        <f t="shared" si="381"/>
        <v>57669.803</v>
      </c>
      <c r="L2020" s="9">
        <f t="shared" si="380"/>
        <v>57359.637555555564</v>
      </c>
      <c r="M2020" s="9">
        <f t="shared" si="379"/>
        <v>8.5519037998406672E-3</v>
      </c>
      <c r="N2020" s="9">
        <f t="shared" si="382"/>
        <v>9.190958785775253E-3</v>
      </c>
    </row>
    <row r="2021" spans="1:14" x14ac:dyDescent="0.35">
      <c r="A2021" s="1">
        <v>45323</v>
      </c>
      <c r="B2021" s="2" t="s">
        <v>2020</v>
      </c>
      <c r="C2021">
        <f t="shared" si="371"/>
        <v>57880.72</v>
      </c>
      <c r="D2021">
        <f t="shared" si="372"/>
        <v>2024</v>
      </c>
      <c r="E2021">
        <f t="shared" si="373"/>
        <v>2</v>
      </c>
      <c r="F2021" t="str">
        <f t="shared" si="375"/>
        <v>February</v>
      </c>
      <c r="G2021">
        <f t="shared" si="374"/>
        <v>1</v>
      </c>
      <c r="H2021" s="7">
        <f t="shared" si="376"/>
        <v>0.37367398453557676</v>
      </c>
      <c r="I2021" s="9">
        <f t="shared" si="377"/>
        <v>3.7297755767349105E-3</v>
      </c>
      <c r="J2021" s="9">
        <f t="shared" si="378"/>
        <v>58056.541428571436</v>
      </c>
      <c r="K2021" s="9">
        <f t="shared" si="381"/>
        <v>57691.265666666673</v>
      </c>
      <c r="L2021" s="9">
        <f t="shared" si="380"/>
        <v>57378.600999999995</v>
      </c>
      <c r="M2021" s="9">
        <f t="shared" si="379"/>
        <v>8.0098756200821936E-3</v>
      </c>
      <c r="N2021" s="9">
        <f t="shared" si="382"/>
        <v>8.669275921459654E-3</v>
      </c>
    </row>
    <row r="2022" spans="1:14" x14ac:dyDescent="0.35">
      <c r="A2022" s="1">
        <v>45324</v>
      </c>
      <c r="B2022" s="2" t="s">
        <v>2021</v>
      </c>
      <c r="C2022">
        <f t="shared" si="371"/>
        <v>57648.87</v>
      </c>
      <c r="D2022">
        <f t="shared" si="372"/>
        <v>2024</v>
      </c>
      <c r="E2022">
        <f t="shared" si="373"/>
        <v>2</v>
      </c>
      <c r="F2022" t="str">
        <f t="shared" si="375"/>
        <v>February</v>
      </c>
      <c r="G2022">
        <f t="shared" si="374"/>
        <v>2</v>
      </c>
      <c r="H2022" s="7">
        <f t="shared" si="376"/>
        <v>-0.40056516228547007</v>
      </c>
      <c r="I2022" s="9">
        <f t="shared" si="377"/>
        <v>-4.013695733773086E-3</v>
      </c>
      <c r="J2022" s="9">
        <f t="shared" si="378"/>
        <v>58021.841428571432</v>
      </c>
      <c r="K2022" s="9">
        <f t="shared" si="381"/>
        <v>57690.878000000012</v>
      </c>
      <c r="L2022" s="9">
        <f t="shared" si="380"/>
        <v>57388.974444444437</v>
      </c>
      <c r="M2022" s="9">
        <f t="shared" si="379"/>
        <v>6.641160547670436E-3</v>
      </c>
      <c r="N2022" s="9">
        <f t="shared" si="382"/>
        <v>8.6011802731525092E-3</v>
      </c>
    </row>
    <row r="2023" spans="1:14" x14ac:dyDescent="0.35">
      <c r="A2023" s="1">
        <v>45327</v>
      </c>
      <c r="B2023" s="2" t="s">
        <v>2022</v>
      </c>
      <c r="C2023">
        <f t="shared" si="371"/>
        <v>57273.88</v>
      </c>
      <c r="D2023">
        <f t="shared" si="372"/>
        <v>2024</v>
      </c>
      <c r="E2023">
        <f t="shared" si="373"/>
        <v>2</v>
      </c>
      <c r="F2023" t="str">
        <f t="shared" si="375"/>
        <v>February</v>
      </c>
      <c r="G2023">
        <f t="shared" si="374"/>
        <v>5</v>
      </c>
      <c r="H2023" s="7">
        <f t="shared" si="376"/>
        <v>-0.65047242036141417</v>
      </c>
      <c r="I2023" s="9">
        <f t="shared" si="377"/>
        <v>-6.5259721134122038E-3</v>
      </c>
      <c r="J2023" s="9">
        <f t="shared" si="378"/>
        <v>57830.33142857143</v>
      </c>
      <c r="K2023" s="9">
        <f t="shared" si="381"/>
        <v>57650.151666666665</v>
      </c>
      <c r="L2023" s="9">
        <f t="shared" si="380"/>
        <v>57391.256999999998</v>
      </c>
      <c r="M2023" s="9">
        <f t="shared" si="379"/>
        <v>3.6369158404461685E-3</v>
      </c>
      <c r="N2023" s="9">
        <f t="shared" si="382"/>
        <v>8.2344350403842324E-3</v>
      </c>
    </row>
    <row r="2024" spans="1:14" x14ac:dyDescent="0.35">
      <c r="A2024" s="1">
        <v>45328</v>
      </c>
      <c r="B2024" s="2" t="s">
        <v>2023</v>
      </c>
      <c r="C2024">
        <f t="shared" si="371"/>
        <v>58450.44</v>
      </c>
      <c r="D2024">
        <f t="shared" si="372"/>
        <v>2024</v>
      </c>
      <c r="E2024">
        <f t="shared" si="373"/>
        <v>2</v>
      </c>
      <c r="F2024" t="str">
        <f t="shared" si="375"/>
        <v>February</v>
      </c>
      <c r="G2024">
        <f t="shared" si="374"/>
        <v>6</v>
      </c>
      <c r="H2024" s="7">
        <f t="shared" si="376"/>
        <v>2.0542697648561701</v>
      </c>
      <c r="I2024" s="9">
        <f t="shared" si="377"/>
        <v>2.0334542322493689E-2</v>
      </c>
      <c r="J2024" s="9">
        <f t="shared" si="378"/>
        <v>57834.271428571432</v>
      </c>
      <c r="K2024" s="9">
        <f t="shared" si="381"/>
        <v>57650.59199999999</v>
      </c>
      <c r="L2024" s="9">
        <f t="shared" si="380"/>
        <v>57405.92322222222</v>
      </c>
      <c r="M2024" s="9">
        <f t="shared" si="379"/>
        <v>9.6486377497795057E-3</v>
      </c>
      <c r="N2024" s="9">
        <f t="shared" si="382"/>
        <v>9.0852593385282194E-3</v>
      </c>
    </row>
    <row r="2025" spans="1:14" x14ac:dyDescent="0.35">
      <c r="A2025" s="1">
        <v>45329</v>
      </c>
      <c r="B2025" s="2" t="s">
        <v>2024</v>
      </c>
      <c r="C2025">
        <f t="shared" si="371"/>
        <v>58252.12</v>
      </c>
      <c r="D2025">
        <f t="shared" si="372"/>
        <v>2024</v>
      </c>
      <c r="E2025">
        <f t="shared" si="373"/>
        <v>2</v>
      </c>
      <c r="F2025" t="str">
        <f t="shared" si="375"/>
        <v>February</v>
      </c>
      <c r="G2025">
        <f t="shared" si="374"/>
        <v>7</v>
      </c>
      <c r="H2025" s="7">
        <f t="shared" si="376"/>
        <v>-0.339295991612723</v>
      </c>
      <c r="I2025" s="9">
        <f t="shared" si="377"/>
        <v>-3.3987290579645304E-3</v>
      </c>
      <c r="J2025" s="9">
        <f t="shared" si="378"/>
        <v>57869.485714285707</v>
      </c>
      <c r="K2025" s="9">
        <f t="shared" si="381"/>
        <v>57652.068666666659</v>
      </c>
      <c r="L2025" s="9">
        <f t="shared" si="380"/>
        <v>57418.700888888903</v>
      </c>
      <c r="M2025" s="9">
        <f t="shared" si="379"/>
        <v>9.275600720578701E-3</v>
      </c>
      <c r="N2025" s="9">
        <f t="shared" si="382"/>
        <v>9.0777821048932082E-3</v>
      </c>
    </row>
    <row r="2026" spans="1:14" x14ac:dyDescent="0.35">
      <c r="A2026" s="1">
        <v>45330</v>
      </c>
      <c r="B2026" s="2" t="s">
        <v>2025</v>
      </c>
      <c r="C2026">
        <f t="shared" si="371"/>
        <v>57453.04</v>
      </c>
      <c r="D2026">
        <f t="shared" si="372"/>
        <v>2024</v>
      </c>
      <c r="E2026">
        <f t="shared" si="373"/>
        <v>2</v>
      </c>
      <c r="F2026" t="str">
        <f t="shared" si="375"/>
        <v>February</v>
      </c>
      <c r="G2026">
        <f t="shared" si="374"/>
        <v>8</v>
      </c>
      <c r="H2026" s="7">
        <f t="shared" si="376"/>
        <v>-1.3717612337542424</v>
      </c>
      <c r="I2026" s="9">
        <f t="shared" si="377"/>
        <v>-1.3812568159769934E-2</v>
      </c>
      <c r="J2026" s="9">
        <f t="shared" si="378"/>
        <v>57803.472857142857</v>
      </c>
      <c r="K2026" s="9">
        <f t="shared" si="381"/>
        <v>57628.966666666667</v>
      </c>
      <c r="L2026" s="9">
        <f t="shared" si="380"/>
        <v>57413.825555555566</v>
      </c>
      <c r="M2026" s="9">
        <f t="shared" si="379"/>
        <v>1.0785574369803404E-2</v>
      </c>
      <c r="N2026" s="9">
        <f t="shared" si="382"/>
        <v>9.4223977765103759E-3</v>
      </c>
    </row>
    <row r="2027" spans="1:14" x14ac:dyDescent="0.35">
      <c r="A2027" s="1">
        <v>45331</v>
      </c>
      <c r="B2027" s="2" t="s">
        <v>2026</v>
      </c>
      <c r="C2027">
        <f t="shared" si="371"/>
        <v>56987.19</v>
      </c>
      <c r="D2027">
        <f t="shared" si="372"/>
        <v>2024</v>
      </c>
      <c r="E2027">
        <f t="shared" si="373"/>
        <v>2</v>
      </c>
      <c r="F2027" t="str">
        <f t="shared" si="375"/>
        <v>February</v>
      </c>
      <c r="G2027">
        <f t="shared" si="374"/>
        <v>9</v>
      </c>
      <c r="H2027" s="7">
        <f t="shared" si="376"/>
        <v>-0.81083611937679634</v>
      </c>
      <c r="I2027" s="9">
        <f t="shared" si="377"/>
        <v>-8.1414127382124189E-3</v>
      </c>
      <c r="J2027" s="9">
        <f t="shared" si="378"/>
        <v>57706.608571428573</v>
      </c>
      <c r="K2027" s="9">
        <f t="shared" si="381"/>
        <v>57587.748999999996</v>
      </c>
      <c r="L2027" s="9">
        <f t="shared" si="380"/>
        <v>57394.670444444455</v>
      </c>
      <c r="M2027" s="9">
        <f t="shared" si="379"/>
        <v>1.1065997164928268E-2</v>
      </c>
      <c r="N2027" s="9">
        <f t="shared" si="382"/>
        <v>9.5205791796406977E-3</v>
      </c>
    </row>
    <row r="2028" spans="1:14" x14ac:dyDescent="0.35">
      <c r="A2028" s="1">
        <v>45334</v>
      </c>
      <c r="B2028" s="2" t="s">
        <v>2027</v>
      </c>
      <c r="C2028">
        <f t="shared" si="371"/>
        <v>57675.21</v>
      </c>
      <c r="D2028">
        <f t="shared" si="372"/>
        <v>2024</v>
      </c>
      <c r="E2028">
        <f t="shared" si="373"/>
        <v>2</v>
      </c>
      <c r="F2028" t="str">
        <f t="shared" si="375"/>
        <v>February</v>
      </c>
      <c r="G2028">
        <f t="shared" si="374"/>
        <v>12</v>
      </c>
      <c r="H2028" s="7">
        <f t="shared" si="376"/>
        <v>1.2073239617535041</v>
      </c>
      <c r="I2028" s="9">
        <f t="shared" si="377"/>
        <v>1.2000939410179767E-2</v>
      </c>
      <c r="J2028" s="9">
        <f t="shared" si="378"/>
        <v>57677.25</v>
      </c>
      <c r="K2028" s="9">
        <f t="shared" si="381"/>
        <v>57563.867999999995</v>
      </c>
      <c r="L2028" s="9">
        <f t="shared" si="380"/>
        <v>57383.634111111125</v>
      </c>
      <c r="M2028" s="9">
        <f t="shared" si="379"/>
        <v>1.2131418334843162E-2</v>
      </c>
      <c r="N2028" s="9">
        <f t="shared" si="382"/>
        <v>9.7814216113147837E-3</v>
      </c>
    </row>
    <row r="2029" spans="1:14" x14ac:dyDescent="0.35">
      <c r="A2029" s="1">
        <v>45335</v>
      </c>
      <c r="B2029" s="2" t="s">
        <v>2028</v>
      </c>
      <c r="C2029">
        <f t="shared" si="371"/>
        <v>57679.51</v>
      </c>
      <c r="D2029">
        <f t="shared" si="372"/>
        <v>2024</v>
      </c>
      <c r="E2029">
        <f t="shared" si="373"/>
        <v>2</v>
      </c>
      <c r="F2029" t="str">
        <f t="shared" si="375"/>
        <v>February</v>
      </c>
      <c r="G2029">
        <f t="shared" si="374"/>
        <v>13</v>
      </c>
      <c r="H2029" s="7">
        <f t="shared" si="376"/>
        <v>7.455542858019781E-3</v>
      </c>
      <c r="I2029" s="9">
        <f t="shared" si="377"/>
        <v>7.4552649462313492E-5</v>
      </c>
      <c r="J2029" s="9">
        <f t="shared" si="378"/>
        <v>57681.627142857156</v>
      </c>
      <c r="K2029" s="9">
        <f t="shared" si="381"/>
        <v>57550.455999999991</v>
      </c>
      <c r="L2029" s="9">
        <f t="shared" si="380"/>
        <v>57371.154333333339</v>
      </c>
      <c r="M2029" s="9">
        <f t="shared" si="379"/>
        <v>1.2032530174869487E-2</v>
      </c>
      <c r="N2029" s="9">
        <f t="shared" si="382"/>
        <v>9.7375765561044693E-3</v>
      </c>
    </row>
    <row r="2030" spans="1:14" x14ac:dyDescent="0.35">
      <c r="A2030" s="1">
        <v>45336</v>
      </c>
      <c r="B2030" s="2" t="s">
        <v>2029</v>
      </c>
      <c r="C2030">
        <f t="shared" si="371"/>
        <v>57581.73</v>
      </c>
      <c r="D2030">
        <f t="shared" si="372"/>
        <v>2024</v>
      </c>
      <c r="E2030">
        <f t="shared" si="373"/>
        <v>2</v>
      </c>
      <c r="F2030" t="str">
        <f t="shared" si="375"/>
        <v>February</v>
      </c>
      <c r="G2030">
        <f t="shared" si="374"/>
        <v>14</v>
      </c>
      <c r="H2030" s="7">
        <f t="shared" si="376"/>
        <v>-0.16952293804160062</v>
      </c>
      <c r="I2030" s="9">
        <f t="shared" si="377"/>
        <v>-1.6966679077278289E-3</v>
      </c>
      <c r="J2030" s="9">
        <f t="shared" si="378"/>
        <v>57725.60571428571</v>
      </c>
      <c r="K2030" s="9">
        <f t="shared" si="381"/>
        <v>57543.876666666663</v>
      </c>
      <c r="L2030" s="9">
        <f t="shared" si="380"/>
        <v>57342.445666666681</v>
      </c>
      <c r="M2030" s="9">
        <f t="shared" si="379"/>
        <v>1.172544358781568E-2</v>
      </c>
      <c r="N2030" s="9">
        <f t="shared" si="382"/>
        <v>9.6963852665798642E-3</v>
      </c>
    </row>
    <row r="2031" spans="1:14" x14ac:dyDescent="0.35">
      <c r="A2031" s="1">
        <v>45337</v>
      </c>
      <c r="B2031" s="2" t="s">
        <v>2030</v>
      </c>
      <c r="C2031">
        <f t="shared" si="371"/>
        <v>57526.79</v>
      </c>
      <c r="D2031">
        <f t="shared" si="372"/>
        <v>2024</v>
      </c>
      <c r="E2031">
        <f t="shared" si="373"/>
        <v>2</v>
      </c>
      <c r="F2031" t="str">
        <f t="shared" si="375"/>
        <v>February</v>
      </c>
      <c r="G2031">
        <f t="shared" si="374"/>
        <v>15</v>
      </c>
      <c r="H2031" s="7">
        <f t="shared" si="376"/>
        <v>-9.5412208004174798E-2</v>
      </c>
      <c r="I2031" s="9">
        <f t="shared" si="377"/>
        <v>-9.5457754424891554E-4</v>
      </c>
      <c r="J2031" s="9">
        <f t="shared" si="378"/>
        <v>57593.655714285713</v>
      </c>
      <c r="K2031" s="9">
        <f t="shared" si="381"/>
        <v>57532.406666666662</v>
      </c>
      <c r="L2031" s="9">
        <f t="shared" si="380"/>
        <v>57314.529222222249</v>
      </c>
      <c r="M2031" s="9">
        <f t="shared" si="379"/>
        <v>7.9602540778639132E-3</v>
      </c>
      <c r="N2031" s="9">
        <f t="shared" si="382"/>
        <v>9.6921111203932316E-3</v>
      </c>
    </row>
    <row r="2032" spans="1:14" x14ac:dyDescent="0.35">
      <c r="A2032" s="1">
        <v>45338</v>
      </c>
      <c r="B2032" s="2" t="s">
        <v>2031</v>
      </c>
      <c r="C2032">
        <f t="shared" si="371"/>
        <v>57713.29</v>
      </c>
      <c r="D2032">
        <f t="shared" si="372"/>
        <v>2024</v>
      </c>
      <c r="E2032">
        <f t="shared" si="373"/>
        <v>2</v>
      </c>
      <c r="F2032" t="str">
        <f t="shared" si="375"/>
        <v>February</v>
      </c>
      <c r="G2032">
        <f t="shared" si="374"/>
        <v>16</v>
      </c>
      <c r="H2032" s="7">
        <f t="shared" si="376"/>
        <v>0.32419677857916285</v>
      </c>
      <c r="I2032" s="9">
        <f t="shared" si="377"/>
        <v>3.2367239387616187E-3</v>
      </c>
      <c r="J2032" s="9">
        <f t="shared" si="378"/>
        <v>57516.679999999993</v>
      </c>
      <c r="K2032" s="9">
        <f t="shared" si="381"/>
        <v>57546.778333333335</v>
      </c>
      <c r="L2032" s="9">
        <f t="shared" si="380"/>
        <v>57292.948444444468</v>
      </c>
      <c r="M2032" s="9">
        <f t="shared" si="379"/>
        <v>8.1958005377635087E-3</v>
      </c>
      <c r="N2032" s="9">
        <f t="shared" si="382"/>
        <v>9.5220216561785111E-3</v>
      </c>
    </row>
    <row r="2033" spans="1:14" x14ac:dyDescent="0.35">
      <c r="A2033" s="1">
        <v>45341</v>
      </c>
      <c r="B2033" s="2" t="s">
        <v>2032</v>
      </c>
      <c r="C2033">
        <f t="shared" si="371"/>
        <v>56826.74</v>
      </c>
      <c r="D2033">
        <f t="shared" si="372"/>
        <v>2024</v>
      </c>
      <c r="E2033">
        <f t="shared" si="373"/>
        <v>2</v>
      </c>
      <c r="F2033" t="str">
        <f t="shared" si="375"/>
        <v>February</v>
      </c>
      <c r="G2033">
        <f t="shared" si="374"/>
        <v>19</v>
      </c>
      <c r="H2033" s="7">
        <f t="shared" si="376"/>
        <v>-1.5361279871585953</v>
      </c>
      <c r="I2033" s="9">
        <f t="shared" si="377"/>
        <v>-1.5480486686388415E-2</v>
      </c>
      <c r="J2033" s="9">
        <f t="shared" si="378"/>
        <v>57427.208571428564</v>
      </c>
      <c r="K2033" s="9">
        <f t="shared" si="381"/>
        <v>57569.073333333334</v>
      </c>
      <c r="L2033" s="9">
        <f t="shared" si="380"/>
        <v>57271.049111111141</v>
      </c>
      <c r="M2033" s="9">
        <f t="shared" si="379"/>
        <v>8.6319109410782045E-3</v>
      </c>
      <c r="N2033" s="9">
        <f t="shared" si="382"/>
        <v>9.2351380913881197E-3</v>
      </c>
    </row>
    <row r="2034" spans="1:14" x14ac:dyDescent="0.35">
      <c r="A2034" s="1">
        <v>45342</v>
      </c>
      <c r="B2034" s="2" t="s">
        <v>2033</v>
      </c>
      <c r="C2034">
        <f t="shared" si="371"/>
        <v>56733.47</v>
      </c>
      <c r="D2034">
        <f t="shared" si="372"/>
        <v>2024</v>
      </c>
      <c r="E2034">
        <f t="shared" si="373"/>
        <v>2</v>
      </c>
      <c r="F2034" t="str">
        <f t="shared" si="375"/>
        <v>February</v>
      </c>
      <c r="G2034">
        <f t="shared" si="374"/>
        <v>20</v>
      </c>
      <c r="H2034" s="7">
        <f t="shared" si="376"/>
        <v>-0.16413047801087446</v>
      </c>
      <c r="I2034" s="9">
        <f t="shared" si="377"/>
        <v>-1.6426531964427444E-3</v>
      </c>
      <c r="J2034" s="9">
        <f t="shared" si="378"/>
        <v>57390.962857142855</v>
      </c>
      <c r="K2034" s="9">
        <f t="shared" si="381"/>
        <v>57606.801333333329</v>
      </c>
      <c r="L2034" s="9">
        <f t="shared" si="380"/>
        <v>57254.701888888907</v>
      </c>
      <c r="M2034" s="9">
        <f t="shared" si="379"/>
        <v>8.1424171509334939E-3</v>
      </c>
      <c r="N2034" s="9">
        <f t="shared" si="382"/>
        <v>9.0364864010764982E-3</v>
      </c>
    </row>
    <row r="2035" spans="1:14" x14ac:dyDescent="0.35">
      <c r="A2035" s="1">
        <v>45343</v>
      </c>
      <c r="B2035" s="2" t="s">
        <v>2034</v>
      </c>
      <c r="C2035">
        <f t="shared" si="371"/>
        <v>56563.17</v>
      </c>
      <c r="D2035">
        <f t="shared" si="372"/>
        <v>2024</v>
      </c>
      <c r="E2035">
        <f t="shared" si="373"/>
        <v>2</v>
      </c>
      <c r="F2035" t="str">
        <f t="shared" si="375"/>
        <v>February</v>
      </c>
      <c r="G2035">
        <f t="shared" si="374"/>
        <v>21</v>
      </c>
      <c r="H2035" s="7">
        <f t="shared" si="376"/>
        <v>-0.30017554011768172</v>
      </c>
      <c r="I2035" s="9">
        <f t="shared" si="377"/>
        <v>-3.0062697050752705E-3</v>
      </c>
      <c r="J2035" s="9">
        <f t="shared" si="378"/>
        <v>57232.1</v>
      </c>
      <c r="K2035" s="9">
        <f t="shared" si="381"/>
        <v>57627.715333333334</v>
      </c>
      <c r="L2035" s="9">
        <f t="shared" si="380"/>
        <v>57237.337666666695</v>
      </c>
      <c r="M2035" s="9">
        <f t="shared" si="379"/>
        <v>5.9372035867766614E-3</v>
      </c>
      <c r="N2035" s="9">
        <f t="shared" si="382"/>
        <v>9.0030971179954344E-3</v>
      </c>
    </row>
    <row r="2036" spans="1:14" x14ac:dyDescent="0.35">
      <c r="A2036" s="1">
        <v>45344</v>
      </c>
      <c r="B2036" s="2" t="s">
        <v>2035</v>
      </c>
      <c r="C2036">
        <f t="shared" si="371"/>
        <v>56480.98</v>
      </c>
      <c r="D2036">
        <f t="shared" si="372"/>
        <v>2024</v>
      </c>
      <c r="E2036">
        <f t="shared" si="373"/>
        <v>2</v>
      </c>
      <c r="F2036" t="str">
        <f t="shared" si="375"/>
        <v>February</v>
      </c>
      <c r="G2036">
        <f t="shared" si="374"/>
        <v>22</v>
      </c>
      <c r="H2036" s="7">
        <f t="shared" si="376"/>
        <v>-0.14530656609237966</v>
      </c>
      <c r="I2036" s="9">
        <f t="shared" si="377"/>
        <v>-1.4541223846146467E-3</v>
      </c>
      <c r="J2036" s="9">
        <f t="shared" si="378"/>
        <v>57060.881428571425</v>
      </c>
      <c r="K2036" s="9">
        <f t="shared" si="381"/>
        <v>57615.173333333332</v>
      </c>
      <c r="L2036" s="9">
        <f t="shared" si="380"/>
        <v>57229.496777777807</v>
      </c>
      <c r="M2036" s="9">
        <f t="shared" si="379"/>
        <v>5.8420011939043981E-3</v>
      </c>
      <c r="N2036" s="9">
        <f t="shared" si="382"/>
        <v>8.4861315848257807E-3</v>
      </c>
    </row>
    <row r="2037" spans="1:14" x14ac:dyDescent="0.35">
      <c r="A2037" s="1">
        <v>45345</v>
      </c>
      <c r="B2037" s="2" t="s">
        <v>2036</v>
      </c>
      <c r="C2037">
        <f t="shared" si="371"/>
        <v>56170.07</v>
      </c>
      <c r="D2037">
        <f t="shared" si="372"/>
        <v>2024</v>
      </c>
      <c r="E2037">
        <f t="shared" si="373"/>
        <v>2</v>
      </c>
      <c r="F2037" t="str">
        <f t="shared" si="375"/>
        <v>February</v>
      </c>
      <c r="G2037">
        <f t="shared" si="374"/>
        <v>23</v>
      </c>
      <c r="H2037" s="7">
        <f t="shared" si="376"/>
        <v>-0.55046849399568398</v>
      </c>
      <c r="I2037" s="9">
        <f t="shared" si="377"/>
        <v>-5.5198915488360294E-3</v>
      </c>
      <c r="J2037" s="9">
        <f t="shared" si="378"/>
        <v>56859.215714285718</v>
      </c>
      <c r="K2037" s="9">
        <f t="shared" si="381"/>
        <v>57590.276666666658</v>
      </c>
      <c r="L2037" s="9">
        <f t="shared" si="380"/>
        <v>57218.657333333365</v>
      </c>
      <c r="M2037" s="9">
        <f t="shared" si="379"/>
        <v>5.8784780402291997E-3</v>
      </c>
      <c r="N2037" s="9">
        <f t="shared" si="382"/>
        <v>8.536813464398163E-3</v>
      </c>
    </row>
    <row r="2038" spans="1:14" x14ac:dyDescent="0.35">
      <c r="A2038" s="1">
        <v>45348</v>
      </c>
      <c r="B2038" s="2" t="s">
        <v>2037</v>
      </c>
      <c r="C2038">
        <f t="shared" si="371"/>
        <v>56747.24</v>
      </c>
      <c r="D2038">
        <f t="shared" si="372"/>
        <v>2024</v>
      </c>
      <c r="E2038">
        <f t="shared" si="373"/>
        <v>2</v>
      </c>
      <c r="F2038" t="str">
        <f t="shared" si="375"/>
        <v>February</v>
      </c>
      <c r="G2038">
        <f t="shared" si="374"/>
        <v>26</v>
      </c>
      <c r="H2038" s="7">
        <f t="shared" si="376"/>
        <v>1.0275401116644474</v>
      </c>
      <c r="I2038" s="9">
        <f t="shared" si="377"/>
        <v>1.0222968057183004E-2</v>
      </c>
      <c r="J2038" s="9">
        <f t="shared" si="378"/>
        <v>56747.851428571426</v>
      </c>
      <c r="K2038" s="9">
        <f t="shared" si="381"/>
        <v>57591.878000000004</v>
      </c>
      <c r="L2038" s="9">
        <f t="shared" si="380"/>
        <v>57219.765333333373</v>
      </c>
      <c r="M2038" s="9">
        <f t="shared" si="379"/>
        <v>7.8777906052677222E-3</v>
      </c>
      <c r="N2038" s="9">
        <f t="shared" si="382"/>
        <v>8.7277690227278003E-3</v>
      </c>
    </row>
    <row r="2039" spans="1:14" x14ac:dyDescent="0.35">
      <c r="A2039" s="1">
        <v>45349</v>
      </c>
      <c r="B2039" s="2" t="s">
        <v>2038</v>
      </c>
      <c r="C2039">
        <f t="shared" si="371"/>
        <v>56091.56</v>
      </c>
      <c r="D2039">
        <f t="shared" si="372"/>
        <v>2024</v>
      </c>
      <c r="E2039">
        <f t="shared" si="373"/>
        <v>2</v>
      </c>
      <c r="F2039" t="str">
        <f t="shared" si="375"/>
        <v>February</v>
      </c>
      <c r="G2039">
        <f t="shared" si="374"/>
        <v>27</v>
      </c>
      <c r="H2039" s="7">
        <f t="shared" si="376"/>
        <v>-1.1554394539716828</v>
      </c>
      <c r="I2039" s="9">
        <f t="shared" si="377"/>
        <v>-1.1621665239817053E-2</v>
      </c>
      <c r="J2039" s="9">
        <f t="shared" si="378"/>
        <v>56516.17571428571</v>
      </c>
      <c r="K2039" s="9">
        <f t="shared" si="381"/>
        <v>57560.149333333335</v>
      </c>
      <c r="L2039" s="9">
        <f t="shared" si="380"/>
        <v>57214.534444444478</v>
      </c>
      <c r="M2039" s="9">
        <f t="shared" si="379"/>
        <v>8.2409981703062962E-3</v>
      </c>
      <c r="N2039" s="9">
        <f t="shared" si="382"/>
        <v>8.9018761973154066E-3</v>
      </c>
    </row>
    <row r="2040" spans="1:14" x14ac:dyDescent="0.35">
      <c r="A2040" s="1">
        <v>45350</v>
      </c>
      <c r="B2040" s="2" t="s">
        <v>2039</v>
      </c>
      <c r="C2040">
        <f t="shared" si="371"/>
        <v>55878.81</v>
      </c>
      <c r="D2040">
        <f t="shared" si="372"/>
        <v>2024</v>
      </c>
      <c r="E2040">
        <f t="shared" si="373"/>
        <v>2</v>
      </c>
      <c r="F2040" t="str">
        <f t="shared" si="375"/>
        <v>February</v>
      </c>
      <c r="G2040">
        <f t="shared" si="374"/>
        <v>28</v>
      </c>
      <c r="H2040" s="7">
        <f t="shared" si="376"/>
        <v>-0.37929057419690237</v>
      </c>
      <c r="I2040" s="9">
        <f t="shared" si="377"/>
        <v>-3.8001170492671472E-3</v>
      </c>
      <c r="J2040" s="9">
        <f t="shared" si="378"/>
        <v>56380.757142857139</v>
      </c>
      <c r="K2040" s="9">
        <f t="shared" si="381"/>
        <v>57485.381666666675</v>
      </c>
      <c r="L2040" s="9">
        <f t="shared" si="380"/>
        <v>57217.119555555582</v>
      </c>
      <c r="M2040" s="9">
        <f t="shared" si="379"/>
        <v>6.5562722819260391E-3</v>
      </c>
      <c r="N2040" s="9">
        <f t="shared" si="382"/>
        <v>8.1357894847135497E-3</v>
      </c>
    </row>
    <row r="2041" spans="1:14" x14ac:dyDescent="0.35">
      <c r="A2041" s="1">
        <v>45351</v>
      </c>
      <c r="B2041" s="2" t="s">
        <v>2040</v>
      </c>
      <c r="C2041">
        <f t="shared" si="371"/>
        <v>55761.15</v>
      </c>
      <c r="D2041">
        <f t="shared" si="372"/>
        <v>2024</v>
      </c>
      <c r="E2041">
        <f t="shared" si="373"/>
        <v>2</v>
      </c>
      <c r="F2041" t="str">
        <f t="shared" si="375"/>
        <v>February</v>
      </c>
      <c r="G2041">
        <f t="shared" si="374"/>
        <v>29</v>
      </c>
      <c r="H2041" s="7">
        <f t="shared" si="376"/>
        <v>-0.21056282336720528</v>
      </c>
      <c r="I2041" s="9">
        <f t="shared" si="377"/>
        <v>-2.1078481856110689E-3</v>
      </c>
      <c r="J2041" s="9">
        <f t="shared" si="378"/>
        <v>56241.854285714289</v>
      </c>
      <c r="K2041" s="9">
        <f t="shared" si="381"/>
        <v>57416.71333333334</v>
      </c>
      <c r="L2041" s="9">
        <f t="shared" si="380"/>
        <v>57196.588555555587</v>
      </c>
      <c r="M2041" s="9">
        <f t="shared" si="379"/>
        <v>6.5496337011708332E-3</v>
      </c>
      <c r="N2041" s="9">
        <f t="shared" si="382"/>
        <v>8.1045961657475116E-3</v>
      </c>
    </row>
    <row r="2042" spans="1:14" x14ac:dyDescent="0.35">
      <c r="A2042" s="1">
        <v>45352</v>
      </c>
      <c r="B2042" s="2" t="s">
        <v>2041</v>
      </c>
      <c r="C2042">
        <f t="shared" si="371"/>
        <v>54602.68</v>
      </c>
      <c r="D2042">
        <f t="shared" si="372"/>
        <v>2024</v>
      </c>
      <c r="E2042">
        <f t="shared" si="373"/>
        <v>3</v>
      </c>
      <c r="F2042" t="str">
        <f t="shared" si="375"/>
        <v>March</v>
      </c>
      <c r="G2042">
        <f t="shared" si="374"/>
        <v>1</v>
      </c>
      <c r="H2042" s="7">
        <f t="shared" si="376"/>
        <v>-2.077557582653875</v>
      </c>
      <c r="I2042" s="9">
        <f t="shared" si="377"/>
        <v>-2.0994424547543182E-2</v>
      </c>
      <c r="J2042" s="9">
        <f t="shared" si="378"/>
        <v>55961.78428571429</v>
      </c>
      <c r="K2042" s="9">
        <f t="shared" si="381"/>
        <v>57309.991666666669</v>
      </c>
      <c r="L2042" s="9">
        <f t="shared" si="380"/>
        <v>57160.115444444462</v>
      </c>
      <c r="M2042" s="9">
        <f t="shared" si="379"/>
        <v>9.6094034554997168E-3</v>
      </c>
      <c r="N2042" s="9">
        <f t="shared" si="382"/>
        <v>8.8691131450373689E-3</v>
      </c>
    </row>
    <row r="2043" spans="1:14" x14ac:dyDescent="0.35">
      <c r="A2043" s="1">
        <v>45355</v>
      </c>
      <c r="B2043" s="2" t="s">
        <v>2042</v>
      </c>
      <c r="C2043">
        <f t="shared" si="371"/>
        <v>54864.79</v>
      </c>
      <c r="D2043">
        <f t="shared" si="372"/>
        <v>2024</v>
      </c>
      <c r="E2043">
        <f t="shared" si="373"/>
        <v>3</v>
      </c>
      <c r="F2043" t="str">
        <f t="shared" si="375"/>
        <v>March</v>
      </c>
      <c r="G2043">
        <f t="shared" si="374"/>
        <v>4</v>
      </c>
      <c r="H2043" s="7">
        <f t="shared" si="376"/>
        <v>0.48003138307497101</v>
      </c>
      <c r="I2043" s="9">
        <f t="shared" si="377"/>
        <v>4.7888290633066703E-3</v>
      </c>
      <c r="J2043" s="9">
        <f t="shared" si="378"/>
        <v>55730.9</v>
      </c>
      <c r="K2043" s="9">
        <f t="shared" si="381"/>
        <v>57199.343000000001</v>
      </c>
      <c r="L2043" s="9">
        <f t="shared" si="380"/>
        <v>57128.579555555581</v>
      </c>
      <c r="M2043" s="9">
        <f t="shared" si="379"/>
        <v>1.0264945648801399E-2</v>
      </c>
      <c r="N2043" s="9">
        <f t="shared" si="382"/>
        <v>8.8168988153343366E-3</v>
      </c>
    </row>
    <row r="2044" spans="1:14" x14ac:dyDescent="0.35">
      <c r="A2044" s="1">
        <v>45356</v>
      </c>
      <c r="B2044" s="2" t="s">
        <v>2043</v>
      </c>
      <c r="C2044">
        <f t="shared" si="371"/>
        <v>55474.52</v>
      </c>
      <c r="D2044">
        <f t="shared" si="372"/>
        <v>2024</v>
      </c>
      <c r="E2044">
        <f t="shared" si="373"/>
        <v>3</v>
      </c>
      <c r="F2044" t="str">
        <f t="shared" si="375"/>
        <v>March</v>
      </c>
      <c r="G2044">
        <f t="shared" si="374"/>
        <v>5</v>
      </c>
      <c r="H2044" s="7">
        <f t="shared" si="376"/>
        <v>1.1113320583200919</v>
      </c>
      <c r="I2044" s="9">
        <f t="shared" si="377"/>
        <v>1.1052021376374283E-2</v>
      </c>
      <c r="J2044" s="9">
        <f t="shared" si="378"/>
        <v>55631.535714285717</v>
      </c>
      <c r="K2044" s="9">
        <f t="shared" si="381"/>
        <v>57094.434666666668</v>
      </c>
      <c r="L2044" s="9">
        <f t="shared" si="380"/>
        <v>57102.893000000025</v>
      </c>
      <c r="M2044" s="9">
        <f t="shared" si="379"/>
        <v>1.1705571129109377E-2</v>
      </c>
      <c r="N2044" s="9">
        <f t="shared" si="382"/>
        <v>8.9711039307633789E-3</v>
      </c>
    </row>
    <row r="2045" spans="1:14" x14ac:dyDescent="0.35">
      <c r="A2045" s="1">
        <v>45357</v>
      </c>
      <c r="B2045" s="2" t="s">
        <v>2044</v>
      </c>
      <c r="C2045">
        <f t="shared" si="371"/>
        <v>54763.97</v>
      </c>
      <c r="D2045">
        <f t="shared" si="372"/>
        <v>2024</v>
      </c>
      <c r="E2045">
        <f t="shared" si="373"/>
        <v>3</v>
      </c>
      <c r="F2045" t="str">
        <f t="shared" si="375"/>
        <v>March</v>
      </c>
      <c r="G2045">
        <f t="shared" si="374"/>
        <v>6</v>
      </c>
      <c r="H2045" s="7">
        <f t="shared" si="376"/>
        <v>-1.2808583111669929</v>
      </c>
      <c r="I2045" s="9">
        <f t="shared" si="377"/>
        <v>-1.2891320268799947E-2</v>
      </c>
      <c r="J2045" s="9">
        <f t="shared" si="378"/>
        <v>55348.211428571427</v>
      </c>
      <c r="K2045" s="9">
        <f t="shared" si="381"/>
        <v>56990.174666666666</v>
      </c>
      <c r="L2045" s="9">
        <f t="shared" si="380"/>
        <v>57070.207777777789</v>
      </c>
      <c r="M2045" s="9">
        <f t="shared" si="379"/>
        <v>1.0993836716816972E-2</v>
      </c>
      <c r="N2045" s="9">
        <f t="shared" si="382"/>
        <v>8.9861444572748219E-3</v>
      </c>
    </row>
    <row r="2046" spans="1:14" x14ac:dyDescent="0.35">
      <c r="A2046" s="1">
        <v>45358</v>
      </c>
      <c r="B2046" s="2" t="s">
        <v>2045</v>
      </c>
      <c r="C2046">
        <f t="shared" si="371"/>
        <v>56050.79</v>
      </c>
      <c r="D2046">
        <f t="shared" si="372"/>
        <v>2024</v>
      </c>
      <c r="E2046">
        <f t="shared" si="373"/>
        <v>3</v>
      </c>
      <c r="F2046" t="str">
        <f t="shared" si="375"/>
        <v>March</v>
      </c>
      <c r="G2046">
        <f t="shared" si="374"/>
        <v>7</v>
      </c>
      <c r="H2046" s="7">
        <f t="shared" si="376"/>
        <v>2.3497566009184503</v>
      </c>
      <c r="I2046" s="9">
        <f t="shared" si="377"/>
        <v>2.3225748011039472E-2</v>
      </c>
      <c r="J2046" s="9">
        <f t="shared" si="378"/>
        <v>55342.387142857144</v>
      </c>
      <c r="K2046" s="9">
        <f t="shared" si="381"/>
        <v>56904.719333333334</v>
      </c>
      <c r="L2046" s="9">
        <f t="shared" si="380"/>
        <v>57061.203111111121</v>
      </c>
      <c r="M2046" s="9">
        <f t="shared" si="379"/>
        <v>1.4777662295759237E-2</v>
      </c>
      <c r="N2046" s="9">
        <f t="shared" si="382"/>
        <v>9.7617490758777781E-3</v>
      </c>
    </row>
    <row r="2047" spans="1:14" x14ac:dyDescent="0.35">
      <c r="A2047" s="1">
        <v>45359</v>
      </c>
      <c r="B2047" s="2" t="s">
        <v>2046</v>
      </c>
      <c r="C2047">
        <f t="shared" si="371"/>
        <v>56176.43</v>
      </c>
      <c r="D2047">
        <f t="shared" si="372"/>
        <v>2024</v>
      </c>
      <c r="E2047">
        <f t="shared" si="373"/>
        <v>3</v>
      </c>
      <c r="F2047" t="str">
        <f t="shared" si="375"/>
        <v>March</v>
      </c>
      <c r="G2047">
        <f t="shared" si="374"/>
        <v>8</v>
      </c>
      <c r="H2047" s="7">
        <f t="shared" si="376"/>
        <v>0.22415384332673885</v>
      </c>
      <c r="I2047" s="9">
        <f t="shared" si="377"/>
        <v>2.2390299338926798E-3</v>
      </c>
      <c r="J2047" s="9">
        <f t="shared" si="378"/>
        <v>55384.904285714278</v>
      </c>
      <c r="K2047" s="9">
        <f t="shared" si="381"/>
        <v>56829.83833333334</v>
      </c>
      <c r="L2047" s="9">
        <f t="shared" si="380"/>
        <v>57050.740888888897</v>
      </c>
      <c r="M2047" s="9">
        <f t="shared" si="379"/>
        <v>1.4701998772863127E-2</v>
      </c>
      <c r="N2047" s="9">
        <f t="shared" si="382"/>
        <v>9.7788987243087114E-3</v>
      </c>
    </row>
    <row r="2048" spans="1:14" x14ac:dyDescent="0.35">
      <c r="A2048" s="1">
        <v>45362</v>
      </c>
      <c r="B2048" s="2" t="s">
        <v>2047</v>
      </c>
      <c r="C2048">
        <f t="shared" si="371"/>
        <v>56405.64</v>
      </c>
      <c r="D2048">
        <f t="shared" si="372"/>
        <v>2024</v>
      </c>
      <c r="E2048">
        <f t="shared" si="373"/>
        <v>3</v>
      </c>
      <c r="F2048" t="str">
        <f t="shared" si="375"/>
        <v>March</v>
      </c>
      <c r="G2048">
        <f t="shared" si="374"/>
        <v>11</v>
      </c>
      <c r="H2048" s="7">
        <f t="shared" si="376"/>
        <v>0.40801809584553367</v>
      </c>
      <c r="I2048" s="9">
        <f t="shared" si="377"/>
        <v>4.0718795931824342E-3</v>
      </c>
      <c r="J2048" s="9">
        <f t="shared" si="378"/>
        <v>55476.974285714285</v>
      </c>
      <c r="K2048" s="9">
        <f t="shared" si="381"/>
        <v>56776.505666666664</v>
      </c>
      <c r="L2048" s="9">
        <f t="shared" si="380"/>
        <v>57050.017777777772</v>
      </c>
      <c r="M2048" s="9">
        <f t="shared" si="379"/>
        <v>1.4686700825680242E-2</v>
      </c>
      <c r="N2048" s="9">
        <f t="shared" si="382"/>
        <v>9.7619191661197612E-3</v>
      </c>
    </row>
    <row r="2049" spans="1:14" x14ac:dyDescent="0.35">
      <c r="A2049" s="1">
        <v>45363</v>
      </c>
      <c r="B2049" s="2" t="s">
        <v>2048</v>
      </c>
      <c r="C2049">
        <f t="shared" si="371"/>
        <v>57224.6</v>
      </c>
      <c r="D2049">
        <f t="shared" si="372"/>
        <v>2024</v>
      </c>
      <c r="E2049">
        <f t="shared" si="373"/>
        <v>3</v>
      </c>
      <c r="F2049" t="str">
        <f t="shared" si="375"/>
        <v>March</v>
      </c>
      <c r="G2049">
        <f t="shared" si="374"/>
        <v>12</v>
      </c>
      <c r="H2049" s="7">
        <f t="shared" si="376"/>
        <v>1.4519115464340075</v>
      </c>
      <c r="I2049" s="9">
        <f t="shared" si="377"/>
        <v>1.4414722357909911E-2</v>
      </c>
      <c r="J2049" s="9">
        <f t="shared" si="378"/>
        <v>55851.534285714282</v>
      </c>
      <c r="K2049" s="9">
        <f t="shared" si="381"/>
        <v>56753.487999999998</v>
      </c>
      <c r="L2049" s="9">
        <f t="shared" si="380"/>
        <v>57048.074111111113</v>
      </c>
      <c r="M2049" s="9">
        <f t="shared" si="379"/>
        <v>1.1297765659290783E-2</v>
      </c>
      <c r="N2049" s="9">
        <f t="shared" si="382"/>
        <v>1.0154303639770296E-2</v>
      </c>
    </row>
    <row r="2050" spans="1:14" x14ac:dyDescent="0.35">
      <c r="A2050" s="1">
        <v>45364</v>
      </c>
      <c r="B2050" s="2" t="s">
        <v>2049</v>
      </c>
      <c r="C2050">
        <f t="shared" si="371"/>
        <v>58288.87</v>
      </c>
      <c r="D2050">
        <f t="shared" si="372"/>
        <v>2024</v>
      </c>
      <c r="E2050">
        <f t="shared" si="373"/>
        <v>3</v>
      </c>
      <c r="F2050" t="str">
        <f t="shared" si="375"/>
        <v>March</v>
      </c>
      <c r="G2050">
        <f t="shared" si="374"/>
        <v>13</v>
      </c>
      <c r="H2050" s="7">
        <f t="shared" si="376"/>
        <v>1.8598120388783919</v>
      </c>
      <c r="I2050" s="9">
        <f t="shared" si="377"/>
        <v>1.842729017782108E-2</v>
      </c>
      <c r="J2050" s="9">
        <f t="shared" si="378"/>
        <v>56340.688571428567</v>
      </c>
      <c r="K2050" s="9">
        <f t="shared" si="381"/>
        <v>56774.275666666668</v>
      </c>
      <c r="L2050" s="9">
        <f t="shared" si="380"/>
        <v>57057.589777777779</v>
      </c>
      <c r="M2050" s="9">
        <f t="shared" si="379"/>
        <v>1.2063289699822155E-2</v>
      </c>
      <c r="N2050" s="9">
        <f t="shared" si="382"/>
        <v>1.0686751079319068E-2</v>
      </c>
    </row>
    <row r="2051" spans="1:14" x14ac:dyDescent="0.35">
      <c r="A2051" s="1">
        <v>45365</v>
      </c>
      <c r="B2051" s="2" t="s">
        <v>2050</v>
      </c>
      <c r="C2051">
        <f t="shared" ref="C2051:C2114" si="383">_xlfn.NUMBERVALUE(B2051,".",",")</f>
        <v>58088.42</v>
      </c>
      <c r="D2051">
        <f t="shared" ref="D2051:D2114" si="384">YEAR(A2051)</f>
        <v>2024</v>
      </c>
      <c r="E2051">
        <f t="shared" ref="E2051:E2114" si="385">MONTH(A2051)</f>
        <v>3</v>
      </c>
      <c r="F2051" t="str">
        <f t="shared" si="375"/>
        <v>March</v>
      </c>
      <c r="G2051">
        <f t="shared" ref="G2051:G2114" si="386">DAY(A2051)</f>
        <v>14</v>
      </c>
      <c r="H2051" s="7">
        <f t="shared" si="376"/>
        <v>-0.34389069474155931</v>
      </c>
      <c r="I2051" s="9">
        <f t="shared" si="377"/>
        <v>-3.4448335792365897E-3</v>
      </c>
      <c r="J2051" s="9">
        <f t="shared" si="378"/>
        <v>56714.102857142854</v>
      </c>
      <c r="K2051" s="9">
        <f t="shared" si="381"/>
        <v>56781.199000000001</v>
      </c>
      <c r="L2051" s="9">
        <f t="shared" si="380"/>
        <v>57066.204000000005</v>
      </c>
      <c r="M2051" s="9">
        <f t="shared" si="379"/>
        <v>1.2803556358506081E-2</v>
      </c>
      <c r="N2051" s="9">
        <f t="shared" si="382"/>
        <v>1.0688984967145187E-2</v>
      </c>
    </row>
    <row r="2052" spans="1:14" x14ac:dyDescent="0.35">
      <c r="A2052" s="1">
        <v>45366</v>
      </c>
      <c r="B2052" s="2" t="s">
        <v>2051</v>
      </c>
      <c r="C2052">
        <f t="shared" si="383"/>
        <v>58101.02</v>
      </c>
      <c r="D2052">
        <f t="shared" si="384"/>
        <v>2024</v>
      </c>
      <c r="E2052">
        <f t="shared" si="385"/>
        <v>3</v>
      </c>
      <c r="F2052" t="str">
        <f t="shared" ref="F2052:F2115" si="387">TEXT(A2052,"mmmm")</f>
        <v>March</v>
      </c>
      <c r="G2052">
        <f t="shared" si="386"/>
        <v>15</v>
      </c>
      <c r="H2052" s="7">
        <f t="shared" ref="H2052:H2115" si="388">((C2052-C2051)/C2051)*100</f>
        <v>2.1691070268391781E-2</v>
      </c>
      <c r="I2052" s="9">
        <f t="shared" ref="I2052:I2115" si="389">LN(C2052/C2051)</f>
        <v>2.1688718095880404E-4</v>
      </c>
      <c r="J2052" s="9">
        <f t="shared" si="378"/>
        <v>57190.82428571429</v>
      </c>
      <c r="K2052" s="9">
        <f t="shared" si="381"/>
        <v>56796.270666666664</v>
      </c>
      <c r="L2052" s="9">
        <f t="shared" si="380"/>
        <v>57076.633333333324</v>
      </c>
      <c r="M2052" s="9">
        <f t="shared" si="379"/>
        <v>1.0169089285163689E-2</v>
      </c>
      <c r="N2052" s="9">
        <f t="shared" si="382"/>
        <v>1.0660445776876092E-2</v>
      </c>
    </row>
    <row r="2053" spans="1:14" x14ac:dyDescent="0.35">
      <c r="A2053" s="1">
        <v>45369</v>
      </c>
      <c r="B2053" s="2" t="s">
        <v>2052</v>
      </c>
      <c r="C2053">
        <f t="shared" si="383"/>
        <v>58203.77</v>
      </c>
      <c r="D2053">
        <f t="shared" si="384"/>
        <v>2024</v>
      </c>
      <c r="E2053">
        <f t="shared" si="385"/>
        <v>3</v>
      </c>
      <c r="F2053" t="str">
        <f t="shared" si="387"/>
        <v>March</v>
      </c>
      <c r="G2053">
        <f t="shared" si="386"/>
        <v>18</v>
      </c>
      <c r="H2053" s="7">
        <f t="shared" si="388"/>
        <v>0.17684715345789109</v>
      </c>
      <c r="I2053" s="9">
        <f t="shared" si="389"/>
        <v>1.7669096299793806E-3</v>
      </c>
      <c r="J2053" s="9">
        <f t="shared" si="378"/>
        <v>57498.392857142862</v>
      </c>
      <c r="K2053" s="9">
        <f t="shared" si="381"/>
        <v>56827.267</v>
      </c>
      <c r="L2053" s="9">
        <f t="shared" si="380"/>
        <v>57092.86133333332</v>
      </c>
      <c r="M2053" s="9">
        <f t="shared" si="379"/>
        <v>7.9689455543602242E-3</v>
      </c>
      <c r="N2053" s="9">
        <f t="shared" si="382"/>
        <v>1.0585660489240291E-2</v>
      </c>
    </row>
    <row r="2054" spans="1:14" x14ac:dyDescent="0.35">
      <c r="A2054" s="1">
        <v>45370</v>
      </c>
      <c r="B2054" s="2" t="s">
        <v>2053</v>
      </c>
      <c r="C2054">
        <f t="shared" si="383"/>
        <v>58423.17</v>
      </c>
      <c r="D2054">
        <f t="shared" si="384"/>
        <v>2024</v>
      </c>
      <c r="E2054">
        <f t="shared" si="385"/>
        <v>3</v>
      </c>
      <c r="F2054" t="str">
        <f t="shared" si="387"/>
        <v>March</v>
      </c>
      <c r="G2054">
        <f t="shared" si="386"/>
        <v>19</v>
      </c>
      <c r="H2054" s="7">
        <f t="shared" si="388"/>
        <v>0.37695152736670057</v>
      </c>
      <c r="I2054" s="9">
        <f t="shared" si="389"/>
        <v>3.7624284546330352E-3</v>
      </c>
      <c r="J2054" s="9">
        <f t="shared" si="378"/>
        <v>57819.35571428571</v>
      </c>
      <c r="K2054" s="9">
        <f t="shared" si="381"/>
        <v>56826.358</v>
      </c>
      <c r="L2054" s="9">
        <f t="shared" si="380"/>
        <v>57115.475777777749</v>
      </c>
      <c r="M2054" s="9">
        <f t="shared" si="379"/>
        <v>7.8891274467647061E-3</v>
      </c>
      <c r="N2054" s="9">
        <f t="shared" si="382"/>
        <v>9.9289392765427708E-3</v>
      </c>
    </row>
    <row r="2055" spans="1:14" x14ac:dyDescent="0.35">
      <c r="A2055" s="1">
        <v>45371</v>
      </c>
      <c r="B2055" s="2" t="s">
        <v>2054</v>
      </c>
      <c r="C2055">
        <f t="shared" si="383"/>
        <v>59084.51</v>
      </c>
      <c r="D2055">
        <f t="shared" si="384"/>
        <v>2024</v>
      </c>
      <c r="E2055">
        <f t="shared" si="385"/>
        <v>3</v>
      </c>
      <c r="F2055" t="str">
        <f t="shared" si="387"/>
        <v>March</v>
      </c>
      <c r="G2055">
        <f t="shared" si="386"/>
        <v>20</v>
      </c>
      <c r="H2055" s="7">
        <f t="shared" si="388"/>
        <v>1.1319823967100791</v>
      </c>
      <c r="I2055" s="9">
        <f t="shared" si="389"/>
        <v>1.1256234193172628E-2</v>
      </c>
      <c r="J2055" s="9">
        <f t="shared" si="378"/>
        <v>58202.051428571423</v>
      </c>
      <c r="K2055" s="9">
        <f t="shared" si="381"/>
        <v>56854.104333333336</v>
      </c>
      <c r="L2055" s="9">
        <f t="shared" si="380"/>
        <v>57138.027666666647</v>
      </c>
      <c r="M2055" s="9">
        <f t="shared" si="379"/>
        <v>8.1207849312314399E-3</v>
      </c>
      <c r="N2055" s="9">
        <f t="shared" si="382"/>
        <v>1.0115504761222317E-2</v>
      </c>
    </row>
    <row r="2056" spans="1:14" x14ac:dyDescent="0.35">
      <c r="A2056" s="1">
        <v>45373</v>
      </c>
      <c r="B2056" s="2" t="s">
        <v>2055</v>
      </c>
      <c r="C2056">
        <f t="shared" si="383"/>
        <v>59194.45</v>
      </c>
      <c r="D2056">
        <f t="shared" si="384"/>
        <v>2024</v>
      </c>
      <c r="E2056">
        <f t="shared" si="385"/>
        <v>3</v>
      </c>
      <c r="F2056" t="str">
        <f t="shared" si="387"/>
        <v>March</v>
      </c>
      <c r="G2056">
        <f t="shared" si="386"/>
        <v>22</v>
      </c>
      <c r="H2056" s="7">
        <f t="shared" si="388"/>
        <v>0.18607245790816415</v>
      </c>
      <c r="I2056" s="9">
        <f t="shared" si="389"/>
        <v>1.8589955755693084E-3</v>
      </c>
      <c r="J2056" s="9">
        <f t="shared" si="378"/>
        <v>58483.458571428571</v>
      </c>
      <c r="K2056" s="9">
        <f t="shared" si="381"/>
        <v>56912.151333333335</v>
      </c>
      <c r="L2056" s="9">
        <f t="shared" si="380"/>
        <v>57167.334777777753</v>
      </c>
      <c r="M2056" s="9">
        <f t="shared" si="379"/>
        <v>7.4753528495813256E-3</v>
      </c>
      <c r="N2056" s="9">
        <f t="shared" si="382"/>
        <v>9.7503993911720651E-3</v>
      </c>
    </row>
    <row r="2057" spans="1:14" x14ac:dyDescent="0.35">
      <c r="A2057" s="1">
        <v>45376</v>
      </c>
      <c r="B2057" s="2" t="s">
        <v>2056</v>
      </c>
      <c r="C2057">
        <f t="shared" si="383"/>
        <v>59169.23</v>
      </c>
      <c r="D2057">
        <f t="shared" si="384"/>
        <v>2024</v>
      </c>
      <c r="E2057">
        <f t="shared" si="385"/>
        <v>3</v>
      </c>
      <c r="F2057" t="str">
        <f t="shared" si="387"/>
        <v>March</v>
      </c>
      <c r="G2057">
        <f t="shared" si="386"/>
        <v>25</v>
      </c>
      <c r="H2057" s="7">
        <f t="shared" si="388"/>
        <v>-4.2605345602491261E-2</v>
      </c>
      <c r="I2057" s="9">
        <f t="shared" si="389"/>
        <v>-4.2614424258609622E-4</v>
      </c>
      <c r="J2057" s="9">
        <f t="shared" ref="J2057:J2120" si="390">AVERAGE(C2051:C2057)</f>
        <v>58609.224285714285</v>
      </c>
      <c r="K2057" s="9">
        <f t="shared" si="381"/>
        <v>56984.886000000006</v>
      </c>
      <c r="L2057" s="9">
        <f t="shared" si="380"/>
        <v>57191.546222222212</v>
      </c>
      <c r="M2057" s="9">
        <f t="shared" si="379"/>
        <v>4.6085060753730117E-3</v>
      </c>
      <c r="N2057" s="9">
        <f t="shared" si="382"/>
        <v>9.6017144993674596E-3</v>
      </c>
    </row>
    <row r="2058" spans="1:14" x14ac:dyDescent="0.35">
      <c r="A2058" s="1">
        <v>45377</v>
      </c>
      <c r="B2058" s="2" t="s">
        <v>2057</v>
      </c>
      <c r="C2058">
        <f t="shared" si="383"/>
        <v>58926.01</v>
      </c>
      <c r="D2058">
        <f t="shared" si="384"/>
        <v>2024</v>
      </c>
      <c r="E2058">
        <f t="shared" si="385"/>
        <v>3</v>
      </c>
      <c r="F2058" t="str">
        <f t="shared" si="387"/>
        <v>March</v>
      </c>
      <c r="G2058">
        <f t="shared" si="386"/>
        <v>26</v>
      </c>
      <c r="H2058" s="7">
        <f t="shared" si="388"/>
        <v>-0.41105824767366611</v>
      </c>
      <c r="I2058" s="9">
        <f t="shared" si="389"/>
        <v>-4.1190541445150905E-3</v>
      </c>
      <c r="J2058" s="9">
        <f t="shared" si="390"/>
        <v>58728.88</v>
      </c>
      <c r="K2058" s="9">
        <f t="shared" si="381"/>
        <v>57026.579333333335</v>
      </c>
      <c r="L2058" s="9">
        <f t="shared" si="380"/>
        <v>57220.982777777761</v>
      </c>
      <c r="M2058" s="9">
        <f t="shared" ref="M2058:M2121" si="391">STDEV(I2052:I2058)</f>
        <v>4.7496042181742193E-3</v>
      </c>
      <c r="N2058" s="9">
        <f t="shared" si="382"/>
        <v>9.4289680278659537E-3</v>
      </c>
    </row>
    <row r="2059" spans="1:14" x14ac:dyDescent="0.35">
      <c r="A2059" s="1">
        <v>45378</v>
      </c>
      <c r="B2059" s="2" t="s">
        <v>2058</v>
      </c>
      <c r="C2059">
        <f t="shared" si="383"/>
        <v>58962.65</v>
      </c>
      <c r="D2059">
        <f t="shared" si="384"/>
        <v>2024</v>
      </c>
      <c r="E2059">
        <f t="shared" si="385"/>
        <v>3</v>
      </c>
      <c r="F2059" t="str">
        <f t="shared" si="387"/>
        <v>March</v>
      </c>
      <c r="G2059">
        <f t="shared" si="386"/>
        <v>27</v>
      </c>
      <c r="H2059" s="7">
        <f t="shared" si="388"/>
        <v>6.2179672440064102E-2</v>
      </c>
      <c r="I2059" s="9">
        <f t="shared" si="389"/>
        <v>6.2160348891539925E-4</v>
      </c>
      <c r="J2059" s="9">
        <f t="shared" si="390"/>
        <v>58851.970000000008</v>
      </c>
      <c r="K2059" s="9">
        <f t="shared" si="381"/>
        <v>57069.350666666673</v>
      </c>
      <c r="L2059" s="9">
        <f t="shared" si="380"/>
        <v>57251.265555555547</v>
      </c>
      <c r="M2059" s="9">
        <f t="shared" si="391"/>
        <v>4.7260441154504968E-3</v>
      </c>
      <c r="N2059" s="9">
        <f t="shared" si="382"/>
        <v>9.4282153411550263E-3</v>
      </c>
    </row>
    <row r="2060" spans="1:14" x14ac:dyDescent="0.35">
      <c r="A2060" s="1">
        <v>45379</v>
      </c>
      <c r="B2060" s="2" t="s">
        <v>2059</v>
      </c>
      <c r="C2060">
        <f t="shared" si="383"/>
        <v>59242.86</v>
      </c>
      <c r="D2060">
        <f t="shared" si="384"/>
        <v>2024</v>
      </c>
      <c r="E2060">
        <f t="shared" si="385"/>
        <v>3</v>
      </c>
      <c r="F2060" t="str">
        <f t="shared" si="387"/>
        <v>March</v>
      </c>
      <c r="G2060">
        <f t="shared" si="386"/>
        <v>28</v>
      </c>
      <c r="H2060" s="7">
        <f t="shared" si="388"/>
        <v>0.47523305007491884</v>
      </c>
      <c r="I2060" s="9">
        <f t="shared" si="389"/>
        <v>4.7410738276873034E-3</v>
      </c>
      <c r="J2060" s="9">
        <f t="shared" si="390"/>
        <v>59000.411428571431</v>
      </c>
      <c r="K2060" s="9">
        <f t="shared" si="381"/>
        <v>57124.721666666672</v>
      </c>
      <c r="L2060" s="9">
        <f t="shared" si="380"/>
        <v>57286.041111111103</v>
      </c>
      <c r="M2060" s="9">
        <f t="shared" si="391"/>
        <v>4.823480641342158E-3</v>
      </c>
      <c r="N2060" s="9">
        <f t="shared" si="382"/>
        <v>9.444247917280723E-3</v>
      </c>
    </row>
    <row r="2061" spans="1:14" x14ac:dyDescent="0.35">
      <c r="A2061" s="1">
        <v>45384</v>
      </c>
      <c r="B2061" s="2" t="s">
        <v>2060</v>
      </c>
      <c r="C2061">
        <f t="shared" si="383"/>
        <v>57912.4</v>
      </c>
      <c r="D2061">
        <f t="shared" si="384"/>
        <v>2024</v>
      </c>
      <c r="E2061">
        <f t="shared" si="385"/>
        <v>4</v>
      </c>
      <c r="F2061" t="str">
        <f t="shared" si="387"/>
        <v>April</v>
      </c>
      <c r="G2061">
        <f t="shared" si="386"/>
        <v>2</v>
      </c>
      <c r="H2061" s="7">
        <f t="shared" si="388"/>
        <v>-2.2457727395335052</v>
      </c>
      <c r="I2061" s="9">
        <f t="shared" si="389"/>
        <v>-2.2713742426310756E-2</v>
      </c>
      <c r="J2061" s="9">
        <f t="shared" si="390"/>
        <v>58927.444285714293</v>
      </c>
      <c r="K2061" s="9">
        <f t="shared" si="381"/>
        <v>57137.575333333334</v>
      </c>
      <c r="L2061" s="9">
        <f t="shared" si="380"/>
        <v>57313.489555555563</v>
      </c>
      <c r="M2061" s="9">
        <f t="shared" si="391"/>
        <v>1.0607151076541825E-2</v>
      </c>
      <c r="N2061" s="9">
        <f t="shared" si="382"/>
        <v>1.0384167096524314E-2</v>
      </c>
    </row>
    <row r="2062" spans="1:14" x14ac:dyDescent="0.35">
      <c r="A2062" s="1">
        <v>45385</v>
      </c>
      <c r="B2062" s="2" t="s">
        <v>2061</v>
      </c>
      <c r="C2062">
        <f t="shared" si="383"/>
        <v>57744.7</v>
      </c>
      <c r="D2062">
        <f t="shared" si="384"/>
        <v>2024</v>
      </c>
      <c r="E2062">
        <f t="shared" si="385"/>
        <v>4</v>
      </c>
      <c r="F2062" t="str">
        <f t="shared" si="387"/>
        <v>April</v>
      </c>
      <c r="G2062">
        <f t="shared" si="386"/>
        <v>3</v>
      </c>
      <c r="H2062" s="7">
        <f t="shared" si="388"/>
        <v>-0.2895752895752971</v>
      </c>
      <c r="I2062" s="9">
        <f t="shared" si="389"/>
        <v>-2.8999536997898717E-3</v>
      </c>
      <c r="J2062" s="9">
        <f t="shared" si="390"/>
        <v>58736.042857142864</v>
      </c>
      <c r="K2062" s="9">
        <f t="shared" si="381"/>
        <v>57138.622333333333</v>
      </c>
      <c r="L2062" s="9">
        <f t="shared" si="380"/>
        <v>57328.82911111111</v>
      </c>
      <c r="M2062" s="9">
        <f t="shared" si="391"/>
        <v>9.061205042759821E-3</v>
      </c>
      <c r="N2062" s="9">
        <f t="shared" si="382"/>
        <v>1.0383189499057009E-2</v>
      </c>
    </row>
    <row r="2063" spans="1:14" x14ac:dyDescent="0.35">
      <c r="A2063" s="1">
        <v>45386</v>
      </c>
      <c r="B2063" s="2" t="s">
        <v>2062</v>
      </c>
      <c r="C2063">
        <f t="shared" si="383"/>
        <v>57923.16</v>
      </c>
      <c r="D2063">
        <f t="shared" si="384"/>
        <v>2024</v>
      </c>
      <c r="E2063">
        <f t="shared" si="385"/>
        <v>4</v>
      </c>
      <c r="F2063" t="str">
        <f t="shared" si="387"/>
        <v>April</v>
      </c>
      <c r="G2063">
        <f t="shared" si="386"/>
        <v>4</v>
      </c>
      <c r="H2063" s="7">
        <f t="shared" si="388"/>
        <v>0.30905000805269817</v>
      </c>
      <c r="I2063" s="9">
        <f t="shared" si="389"/>
        <v>3.0857343017216786E-3</v>
      </c>
      <c r="J2063" s="9">
        <f t="shared" si="390"/>
        <v>58554.43</v>
      </c>
      <c r="K2063" s="9">
        <f t="shared" si="381"/>
        <v>57175.169666666661</v>
      </c>
      <c r="L2063" s="9">
        <f t="shared" si="380"/>
        <v>57340.760222222234</v>
      </c>
      <c r="M2063" s="9">
        <f t="shared" si="391"/>
        <v>9.1880624626152745E-3</v>
      </c>
      <c r="N2063" s="9">
        <f t="shared" si="382"/>
        <v>9.972757350149089E-3</v>
      </c>
    </row>
    <row r="2064" spans="1:14" x14ac:dyDescent="0.35">
      <c r="A2064" s="1">
        <v>45387</v>
      </c>
      <c r="B2064" s="2" t="s">
        <v>2063</v>
      </c>
      <c r="C2064">
        <f t="shared" si="383"/>
        <v>58325.09</v>
      </c>
      <c r="D2064">
        <f t="shared" si="384"/>
        <v>2024</v>
      </c>
      <c r="E2064">
        <f t="shared" si="385"/>
        <v>4</v>
      </c>
      <c r="F2064" t="str">
        <f t="shared" si="387"/>
        <v>April</v>
      </c>
      <c r="G2064">
        <f t="shared" si="386"/>
        <v>5</v>
      </c>
      <c r="H2064" s="7">
        <f t="shared" si="388"/>
        <v>0.6939020592108458</v>
      </c>
      <c r="I2064" s="9">
        <f t="shared" si="389"/>
        <v>6.9150563836090527E-3</v>
      </c>
      <c r="J2064" s="9">
        <f t="shared" si="390"/>
        <v>58433.838571428569</v>
      </c>
      <c r="K2064" s="9">
        <f t="shared" si="381"/>
        <v>57228.223666666658</v>
      </c>
      <c r="L2064" s="9">
        <f t="shared" si="380"/>
        <v>57352.916666666686</v>
      </c>
      <c r="M2064" s="9">
        <f t="shared" si="391"/>
        <v>9.9330907912623459E-3</v>
      </c>
      <c r="N2064" s="9">
        <f t="shared" si="382"/>
        <v>1.0027542472140332E-2</v>
      </c>
    </row>
    <row r="2065" spans="1:14" x14ac:dyDescent="0.35">
      <c r="A2065" s="1">
        <v>45390</v>
      </c>
      <c r="B2065" s="2" t="s">
        <v>2064</v>
      </c>
      <c r="C2065">
        <f t="shared" si="383"/>
        <v>59027.22</v>
      </c>
      <c r="D2065">
        <f t="shared" si="384"/>
        <v>2024</v>
      </c>
      <c r="E2065">
        <f t="shared" si="385"/>
        <v>4</v>
      </c>
      <c r="F2065" t="str">
        <f t="shared" si="387"/>
        <v>April</v>
      </c>
      <c r="G2065">
        <f t="shared" si="386"/>
        <v>8</v>
      </c>
      <c r="H2065" s="7">
        <f t="shared" si="388"/>
        <v>1.2038215457533021</v>
      </c>
      <c r="I2065" s="9">
        <f t="shared" si="389"/>
        <v>1.1966332462110867E-2</v>
      </c>
      <c r="J2065" s="9">
        <f t="shared" si="390"/>
        <v>58448.29714285714</v>
      </c>
      <c r="K2065" s="9">
        <f t="shared" si="381"/>
        <v>57310.358666666667</v>
      </c>
      <c r="L2065" s="9">
        <f t="shared" si="380"/>
        <v>57364.029000000017</v>
      </c>
      <c r="M2065" s="9">
        <f t="shared" si="391"/>
        <v>1.1160198293265181E-2</v>
      </c>
      <c r="N2065" s="9">
        <f t="shared" si="382"/>
        <v>1.0196453021598282E-2</v>
      </c>
    </row>
    <row r="2066" spans="1:14" x14ac:dyDescent="0.35">
      <c r="A2066" s="1">
        <v>45391</v>
      </c>
      <c r="B2066" s="2" t="s">
        <v>2065</v>
      </c>
      <c r="C2066">
        <f t="shared" si="383"/>
        <v>58868.93</v>
      </c>
      <c r="D2066">
        <f t="shared" si="384"/>
        <v>2024</v>
      </c>
      <c r="E2066">
        <f t="shared" si="385"/>
        <v>4</v>
      </c>
      <c r="F2066" t="str">
        <f t="shared" si="387"/>
        <v>April</v>
      </c>
      <c r="G2066">
        <f t="shared" si="386"/>
        <v>9</v>
      </c>
      <c r="H2066" s="7">
        <f t="shared" si="388"/>
        <v>-0.26816441634893334</v>
      </c>
      <c r="I2066" s="9">
        <f t="shared" si="389"/>
        <v>-2.6852462122489719E-3</v>
      </c>
      <c r="J2066" s="9">
        <f t="shared" si="390"/>
        <v>58434.908571428576</v>
      </c>
      <c r="K2066" s="9">
        <f t="shared" si="381"/>
        <v>57389.957000000002</v>
      </c>
      <c r="L2066" s="9">
        <f t="shared" si="380"/>
        <v>57371.240333333342</v>
      </c>
      <c r="M2066" s="9">
        <f t="shared" si="391"/>
        <v>1.1211478734335098E-2</v>
      </c>
      <c r="N2066" s="9">
        <f t="shared" si="382"/>
        <v>1.0210892175635448E-2</v>
      </c>
    </row>
    <row r="2067" spans="1:14" x14ac:dyDescent="0.35">
      <c r="A2067" s="1">
        <v>45392</v>
      </c>
      <c r="B2067" s="2" t="s">
        <v>2066</v>
      </c>
      <c r="C2067">
        <f t="shared" si="383"/>
        <v>58715.46</v>
      </c>
      <c r="D2067">
        <f t="shared" si="384"/>
        <v>2024</v>
      </c>
      <c r="E2067">
        <f t="shared" si="385"/>
        <v>4</v>
      </c>
      <c r="F2067" t="str">
        <f t="shared" si="387"/>
        <v>April</v>
      </c>
      <c r="G2067">
        <f t="shared" si="386"/>
        <v>10</v>
      </c>
      <c r="H2067" s="7">
        <f t="shared" si="388"/>
        <v>-0.26069779083805528</v>
      </c>
      <c r="I2067" s="9">
        <f t="shared" si="389"/>
        <v>-2.6103819928237075E-3</v>
      </c>
      <c r="J2067" s="9">
        <f t="shared" si="390"/>
        <v>58359.565714285716</v>
      </c>
      <c r="K2067" s="9">
        <f t="shared" si="381"/>
        <v>57474.80333333333</v>
      </c>
      <c r="L2067" s="9">
        <f t="shared" si="380"/>
        <v>57386.813444444451</v>
      </c>
      <c r="M2067" s="9">
        <f t="shared" si="391"/>
        <v>1.1011040377082617E-2</v>
      </c>
      <c r="N2067" s="9">
        <f t="shared" si="382"/>
        <v>1.015676753933667E-2</v>
      </c>
    </row>
    <row r="2068" spans="1:14" x14ac:dyDescent="0.35">
      <c r="A2068" s="1">
        <v>45393</v>
      </c>
      <c r="B2068" s="2" t="s">
        <v>2067</v>
      </c>
      <c r="C2068">
        <f t="shared" si="383"/>
        <v>58155.09</v>
      </c>
      <c r="D2068">
        <f t="shared" si="384"/>
        <v>2024</v>
      </c>
      <c r="E2068">
        <f t="shared" si="385"/>
        <v>4</v>
      </c>
      <c r="F2068" t="str">
        <f t="shared" si="387"/>
        <v>April</v>
      </c>
      <c r="G2068">
        <f t="shared" si="386"/>
        <v>11</v>
      </c>
      <c r="H2068" s="7">
        <f t="shared" si="388"/>
        <v>-0.95438237220657496</v>
      </c>
      <c r="I2068" s="9">
        <f t="shared" si="389"/>
        <v>-9.5896578627778818E-3</v>
      </c>
      <c r="J2068" s="9">
        <f t="shared" si="390"/>
        <v>58394.235714285714</v>
      </c>
      <c r="K2068" s="9">
        <f t="shared" si="381"/>
        <v>57521.731666666667</v>
      </c>
      <c r="L2068" s="9">
        <f t="shared" si="380"/>
        <v>57395.047777777785</v>
      </c>
      <c r="M2068" s="9">
        <f t="shared" si="391"/>
        <v>7.2160755420891242E-3</v>
      </c>
      <c r="N2068" s="9">
        <f t="shared" si="382"/>
        <v>1.0212473897526738E-2</v>
      </c>
    </row>
    <row r="2069" spans="1:14" x14ac:dyDescent="0.35">
      <c r="A2069" s="1">
        <v>45394</v>
      </c>
      <c r="B2069" s="2" t="s">
        <v>2068</v>
      </c>
      <c r="C2069">
        <f t="shared" si="383"/>
        <v>58605.97</v>
      </c>
      <c r="D2069">
        <f t="shared" si="384"/>
        <v>2024</v>
      </c>
      <c r="E2069">
        <f t="shared" si="385"/>
        <v>4</v>
      </c>
      <c r="F2069" t="str">
        <f t="shared" si="387"/>
        <v>April</v>
      </c>
      <c r="G2069">
        <f t="shared" si="386"/>
        <v>12</v>
      </c>
      <c r="H2069" s="7">
        <f t="shared" si="388"/>
        <v>0.77530616838526889</v>
      </c>
      <c r="I2069" s="9">
        <f t="shared" si="389"/>
        <v>7.7231611488038946E-3</v>
      </c>
      <c r="J2069" s="9">
        <f t="shared" si="390"/>
        <v>58517.274285714273</v>
      </c>
      <c r="K2069" s="9">
        <f t="shared" si="381"/>
        <v>57605.545333333328</v>
      </c>
      <c r="L2069" s="9">
        <f t="shared" si="380"/>
        <v>57406.225000000013</v>
      </c>
      <c r="M2069" s="9">
        <f t="shared" si="391"/>
        <v>7.470538841357191E-3</v>
      </c>
      <c r="N2069" s="9">
        <f t="shared" si="382"/>
        <v>1.0008701941645666E-2</v>
      </c>
    </row>
    <row r="2070" spans="1:14" x14ac:dyDescent="0.35">
      <c r="A2070" s="1">
        <v>45397</v>
      </c>
      <c r="B2070" s="2" t="s">
        <v>2069</v>
      </c>
      <c r="C2070">
        <f t="shared" si="383"/>
        <v>57928.78</v>
      </c>
      <c r="D2070">
        <f t="shared" si="384"/>
        <v>2024</v>
      </c>
      <c r="E2070">
        <f t="shared" si="385"/>
        <v>4</v>
      </c>
      <c r="F2070" t="str">
        <f t="shared" si="387"/>
        <v>April</v>
      </c>
      <c r="G2070">
        <f t="shared" si="386"/>
        <v>15</v>
      </c>
      <c r="H2070" s="7">
        <f t="shared" si="388"/>
        <v>-1.1554966157884639</v>
      </c>
      <c r="I2070" s="9">
        <f t="shared" si="389"/>
        <v>-1.1622243540059298E-2</v>
      </c>
      <c r="J2070" s="9">
        <f t="shared" si="390"/>
        <v>58518.077142857146</v>
      </c>
      <c r="K2070" s="9">
        <f t="shared" si="381"/>
        <v>57673.87766666666</v>
      </c>
      <c r="L2070" s="9">
        <f t="shared" si="380"/>
        <v>57411.114111111136</v>
      </c>
      <c r="M2070" s="9">
        <f t="shared" si="391"/>
        <v>9.0528054123494503E-3</v>
      </c>
      <c r="N2070" s="9">
        <f t="shared" si="382"/>
        <v>1.0249495817704207E-2</v>
      </c>
    </row>
    <row r="2071" spans="1:14" x14ac:dyDescent="0.35">
      <c r="A2071" s="1">
        <v>45398</v>
      </c>
      <c r="B2071" s="2" t="s">
        <v>2070</v>
      </c>
      <c r="C2071">
        <f t="shared" si="383"/>
        <v>58701.37</v>
      </c>
      <c r="D2071">
        <f t="shared" si="384"/>
        <v>2024</v>
      </c>
      <c r="E2071">
        <f t="shared" si="385"/>
        <v>4</v>
      </c>
      <c r="F2071" t="str">
        <f t="shared" si="387"/>
        <v>April</v>
      </c>
      <c r="G2071">
        <f t="shared" si="386"/>
        <v>16</v>
      </c>
      <c r="H2071" s="7">
        <f t="shared" si="388"/>
        <v>1.3336894027459301</v>
      </c>
      <c r="I2071" s="9">
        <f t="shared" si="389"/>
        <v>1.3248740586734684E-2</v>
      </c>
      <c r="J2071" s="9">
        <f t="shared" si="390"/>
        <v>58571.831428571422</v>
      </c>
      <c r="K2071" s="9">
        <f t="shared" si="381"/>
        <v>57771.885000000002</v>
      </c>
      <c r="L2071" s="9">
        <f t="shared" si="380"/>
        <v>57428.245000000017</v>
      </c>
      <c r="M2071" s="9">
        <f t="shared" si="391"/>
        <v>1.0112075893608213E-2</v>
      </c>
      <c r="N2071" s="9">
        <f t="shared" si="382"/>
        <v>1.0459861632721787E-2</v>
      </c>
    </row>
    <row r="2072" spans="1:14" x14ac:dyDescent="0.35">
      <c r="A2072" s="1">
        <v>45399</v>
      </c>
      <c r="B2072" s="2" t="s">
        <v>2071</v>
      </c>
      <c r="C2072">
        <f t="shared" si="383"/>
        <v>59122.34</v>
      </c>
      <c r="D2072">
        <f t="shared" si="384"/>
        <v>2024</v>
      </c>
      <c r="E2072">
        <f t="shared" si="385"/>
        <v>4</v>
      </c>
      <c r="F2072" t="str">
        <f t="shared" si="387"/>
        <v>April</v>
      </c>
      <c r="G2072">
        <f t="shared" si="386"/>
        <v>17</v>
      </c>
      <c r="H2072" s="7">
        <f t="shared" si="388"/>
        <v>0.71713828825459069</v>
      </c>
      <c r="I2072" s="9">
        <f t="shared" si="389"/>
        <v>7.1457907972414525E-3</v>
      </c>
      <c r="J2072" s="9">
        <f t="shared" si="390"/>
        <v>58585.419999999991</v>
      </c>
      <c r="K2072" s="9">
        <f t="shared" si="381"/>
        <v>57922.540333333331</v>
      </c>
      <c r="L2072" s="9">
        <f t="shared" si="380"/>
        <v>57445.03788888891</v>
      </c>
      <c r="M2072" s="9">
        <f t="shared" si="391"/>
        <v>9.3713305763921673E-3</v>
      </c>
      <c r="N2072" s="9">
        <f t="shared" si="382"/>
        <v>9.5779072861851017E-3</v>
      </c>
    </row>
    <row r="2073" spans="1:14" x14ac:dyDescent="0.35">
      <c r="A2073" s="1">
        <v>45400</v>
      </c>
      <c r="B2073" s="2" t="s">
        <v>2072</v>
      </c>
      <c r="C2073">
        <f t="shared" si="383"/>
        <v>59533.1</v>
      </c>
      <c r="D2073">
        <f t="shared" si="384"/>
        <v>2024</v>
      </c>
      <c r="E2073">
        <f t="shared" si="385"/>
        <v>4</v>
      </c>
      <c r="F2073" t="str">
        <f t="shared" si="387"/>
        <v>April</v>
      </c>
      <c r="G2073">
        <f t="shared" si="386"/>
        <v>18</v>
      </c>
      <c r="H2073" s="7">
        <f t="shared" si="388"/>
        <v>0.6947627580369824</v>
      </c>
      <c r="I2073" s="9">
        <f t="shared" si="389"/>
        <v>6.9236040228411828E-3</v>
      </c>
      <c r="J2073" s="9">
        <f t="shared" si="390"/>
        <v>58680.301428571423</v>
      </c>
      <c r="K2073" s="9">
        <f t="shared" si="381"/>
        <v>58078.150666666676</v>
      </c>
      <c r="L2073" s="9">
        <f t="shared" si="380"/>
        <v>57486.570111111127</v>
      </c>
      <c r="M2073" s="9">
        <f t="shared" si="391"/>
        <v>9.574673599931121E-3</v>
      </c>
      <c r="N2073" s="9">
        <f t="shared" si="382"/>
        <v>9.602238315881001E-3</v>
      </c>
    </row>
    <row r="2074" spans="1:14" x14ac:dyDescent="0.35">
      <c r="A2074" s="1">
        <v>45401</v>
      </c>
      <c r="B2074" s="2" t="s">
        <v>2073</v>
      </c>
      <c r="C2074">
        <f t="shared" si="383"/>
        <v>57399.55</v>
      </c>
      <c r="D2074">
        <f t="shared" si="384"/>
        <v>2024</v>
      </c>
      <c r="E2074">
        <f t="shared" si="385"/>
        <v>4</v>
      </c>
      <c r="F2074" t="str">
        <f t="shared" si="387"/>
        <v>April</v>
      </c>
      <c r="G2074">
        <f t="shared" si="386"/>
        <v>19</v>
      </c>
      <c r="H2074" s="7">
        <f t="shared" si="388"/>
        <v>-3.5838046397718171</v>
      </c>
      <c r="I2074" s="9">
        <f t="shared" si="389"/>
        <v>-3.6495996820172183E-2</v>
      </c>
      <c r="J2074" s="9">
        <f t="shared" si="390"/>
        <v>58492.314285714281</v>
      </c>
      <c r="K2074" s="9">
        <f t="shared" si="381"/>
        <v>58142.318333333344</v>
      </c>
      <c r="L2074" s="9">
        <f t="shared" si="380"/>
        <v>57509.128888888896</v>
      </c>
      <c r="M2074" s="9">
        <f t="shared" si="391"/>
        <v>1.7415387957808622E-2</v>
      </c>
      <c r="N2074" s="9">
        <f t="shared" si="382"/>
        <v>1.18426320756171E-2</v>
      </c>
    </row>
    <row r="2075" spans="1:14" x14ac:dyDescent="0.35">
      <c r="A2075" s="1">
        <v>45404</v>
      </c>
      <c r="B2075" s="2" t="s">
        <v>2074</v>
      </c>
      <c r="C2075">
        <f t="shared" si="383"/>
        <v>57208.97</v>
      </c>
      <c r="D2075">
        <f t="shared" si="384"/>
        <v>2024</v>
      </c>
      <c r="E2075">
        <f t="shared" si="385"/>
        <v>4</v>
      </c>
      <c r="F2075" t="str">
        <f t="shared" si="387"/>
        <v>April</v>
      </c>
      <c r="G2075">
        <f t="shared" si="386"/>
        <v>22</v>
      </c>
      <c r="H2075" s="7">
        <f t="shared" si="388"/>
        <v>-0.33202350889510762</v>
      </c>
      <c r="I2075" s="9">
        <f t="shared" si="389"/>
        <v>-3.3257593006509722E-3</v>
      </c>
      <c r="J2075" s="9">
        <f t="shared" si="390"/>
        <v>58357.154285714278</v>
      </c>
      <c r="K2075" s="9">
        <f t="shared" si="381"/>
        <v>58223.818333333344</v>
      </c>
      <c r="L2075" s="9">
        <f t="shared" si="380"/>
        <v>57530.843333333338</v>
      </c>
      <c r="M2075" s="9">
        <f t="shared" si="391"/>
        <v>1.7194158133945484E-2</v>
      </c>
      <c r="N2075" s="9">
        <f t="shared" si="382"/>
        <v>1.157771471719983E-2</v>
      </c>
    </row>
    <row r="2076" spans="1:14" x14ac:dyDescent="0.35">
      <c r="A2076" s="1">
        <v>45405</v>
      </c>
      <c r="B2076" s="2" t="s">
        <v>2075</v>
      </c>
      <c r="C2076">
        <f t="shared" si="383"/>
        <v>56206.76</v>
      </c>
      <c r="D2076">
        <f t="shared" si="384"/>
        <v>2024</v>
      </c>
      <c r="E2076">
        <f t="shared" si="385"/>
        <v>4</v>
      </c>
      <c r="F2076" t="str">
        <f t="shared" si="387"/>
        <v>April</v>
      </c>
      <c r="G2076">
        <f t="shared" si="386"/>
        <v>23</v>
      </c>
      <c r="H2076" s="7">
        <f t="shared" si="388"/>
        <v>-1.7518406641475963</v>
      </c>
      <c r="I2076" s="9">
        <f t="shared" si="389"/>
        <v>-1.7673669909354532E-2</v>
      </c>
      <c r="J2076" s="9">
        <f t="shared" si="390"/>
        <v>58014.409999999996</v>
      </c>
      <c r="K2076" s="9">
        <f t="shared" si="381"/>
        <v>58229.017333333344</v>
      </c>
      <c r="L2076" s="9">
        <f t="shared" ref="L2076:L2139" si="392">AVERAGE(C1987:C2076)</f>
        <v>57534.371111111104</v>
      </c>
      <c r="M2076" s="9">
        <f t="shared" si="391"/>
        <v>1.7394353522593709E-2</v>
      </c>
      <c r="N2076" s="9">
        <f t="shared" si="382"/>
        <v>1.1331250007134286E-2</v>
      </c>
    </row>
    <row r="2077" spans="1:14" x14ac:dyDescent="0.35">
      <c r="A2077" s="1">
        <v>45406</v>
      </c>
      <c r="B2077" s="2" t="s">
        <v>2076</v>
      </c>
      <c r="C2077">
        <f t="shared" si="383"/>
        <v>55902.62</v>
      </c>
      <c r="D2077">
        <f t="shared" si="384"/>
        <v>2024</v>
      </c>
      <c r="E2077">
        <f t="shared" si="385"/>
        <v>4</v>
      </c>
      <c r="F2077" t="str">
        <f t="shared" si="387"/>
        <v>April</v>
      </c>
      <c r="G2077">
        <f t="shared" si="386"/>
        <v>24</v>
      </c>
      <c r="H2077" s="7">
        <f t="shared" si="388"/>
        <v>-0.54110929005692454</v>
      </c>
      <c r="I2077" s="9">
        <f t="shared" si="389"/>
        <v>-5.4257858911530331E-3</v>
      </c>
      <c r="J2077" s="9">
        <f t="shared" si="390"/>
        <v>57724.958571428564</v>
      </c>
      <c r="K2077" s="9">
        <f t="shared" si="381"/>
        <v>58219.890333333351</v>
      </c>
      <c r="L2077" s="9">
        <f t="shared" si="392"/>
        <v>57523.770666666664</v>
      </c>
      <c r="M2077" s="9">
        <f t="shared" si="391"/>
        <v>1.7215599722692366E-2</v>
      </c>
      <c r="N2077" s="9">
        <f t="shared" si="382"/>
        <v>1.1367538609132997E-2</v>
      </c>
    </row>
    <row r="2078" spans="1:14" x14ac:dyDescent="0.35">
      <c r="A2078" s="1">
        <v>45407</v>
      </c>
      <c r="B2078" s="2" t="s">
        <v>2077</v>
      </c>
      <c r="C2078">
        <f t="shared" si="383"/>
        <v>56635.69</v>
      </c>
      <c r="D2078">
        <f t="shared" si="384"/>
        <v>2024</v>
      </c>
      <c r="E2078">
        <f t="shared" si="385"/>
        <v>4</v>
      </c>
      <c r="F2078" t="str">
        <f t="shared" si="387"/>
        <v>April</v>
      </c>
      <c r="G2078">
        <f t="shared" si="386"/>
        <v>25</v>
      </c>
      <c r="H2078" s="7">
        <f t="shared" si="388"/>
        <v>1.3113338873920393</v>
      </c>
      <c r="I2078" s="9">
        <f t="shared" si="389"/>
        <v>1.30281033849754E-2</v>
      </c>
      <c r="J2078" s="9">
        <f t="shared" si="390"/>
        <v>57429.861428571421</v>
      </c>
      <c r="K2078" s="9">
        <f t="shared" si="381"/>
        <v>58227.558666666686</v>
      </c>
      <c r="L2078" s="9">
        <f t="shared" si="392"/>
        <v>57528.229111111104</v>
      </c>
      <c r="M2078" s="9">
        <f t="shared" si="391"/>
        <v>1.7176593810917518E-2</v>
      </c>
      <c r="N2078" s="9">
        <f t="shared" si="382"/>
        <v>1.1597862346031215E-2</v>
      </c>
    </row>
    <row r="2079" spans="1:14" x14ac:dyDescent="0.35">
      <c r="A2079" s="1">
        <v>45408</v>
      </c>
      <c r="B2079" s="2" t="s">
        <v>2078</v>
      </c>
      <c r="C2079">
        <f t="shared" si="383"/>
        <v>56886.45</v>
      </c>
      <c r="D2079">
        <f t="shared" si="384"/>
        <v>2024</v>
      </c>
      <c r="E2079">
        <f t="shared" si="385"/>
        <v>4</v>
      </c>
      <c r="F2079" t="str">
        <f t="shared" si="387"/>
        <v>April</v>
      </c>
      <c r="G2079">
        <f t="shared" si="386"/>
        <v>26</v>
      </c>
      <c r="H2079" s="7">
        <f t="shared" si="388"/>
        <v>0.44275968033583551</v>
      </c>
      <c r="I2079" s="9">
        <f t="shared" si="389"/>
        <v>4.4178238331940862E-3</v>
      </c>
      <c r="J2079" s="9">
        <f t="shared" si="390"/>
        <v>57110.448571428577</v>
      </c>
      <c r="K2079" s="9">
        <f t="shared" si="381"/>
        <v>58216.287000000011</v>
      </c>
      <c r="L2079" s="9">
        <f t="shared" si="392"/>
        <v>57530.837888888884</v>
      </c>
      <c r="M2079" s="9">
        <f t="shared" si="391"/>
        <v>1.6880374641782332E-2</v>
      </c>
      <c r="N2079" s="9">
        <f t="shared" si="382"/>
        <v>1.131358082843272E-2</v>
      </c>
    </row>
    <row r="2080" spans="1:14" x14ac:dyDescent="0.35">
      <c r="A2080" s="1">
        <v>45411</v>
      </c>
      <c r="B2080" s="2" t="s">
        <v>2079</v>
      </c>
      <c r="C2080">
        <f t="shared" si="383"/>
        <v>56377.21</v>
      </c>
      <c r="D2080">
        <f t="shared" si="384"/>
        <v>2024</v>
      </c>
      <c r="E2080">
        <f t="shared" si="385"/>
        <v>4</v>
      </c>
      <c r="F2080" t="str">
        <f t="shared" si="387"/>
        <v>April</v>
      </c>
      <c r="G2080">
        <f t="shared" si="386"/>
        <v>29</v>
      </c>
      <c r="H2080" s="7">
        <f t="shared" si="388"/>
        <v>-0.89518681513787202</v>
      </c>
      <c r="I2080" s="9">
        <f t="shared" si="389"/>
        <v>-8.9921768622378724E-3</v>
      </c>
      <c r="J2080" s="9">
        <f t="shared" si="390"/>
        <v>56659.607142857145</v>
      </c>
      <c r="K2080" s="9">
        <f t="shared" ref="K2080:K2143" si="393">AVERAGE(C2051:C2080)</f>
        <v>58152.56500000001</v>
      </c>
      <c r="L2080" s="9">
        <f t="shared" si="392"/>
        <v>57532.214555555554</v>
      </c>
      <c r="M2080" s="9">
        <f t="shared" si="391"/>
        <v>1.5974506771033022E-2</v>
      </c>
      <c r="N2080" s="9">
        <f t="shared" si="382"/>
        <v>1.0855343102019136E-2</v>
      </c>
    </row>
    <row r="2081" spans="1:14" x14ac:dyDescent="0.35">
      <c r="A2081" s="1">
        <v>45412</v>
      </c>
      <c r="B2081" s="2" t="s">
        <v>2080</v>
      </c>
      <c r="C2081">
        <f t="shared" si="383"/>
        <v>57113.74</v>
      </c>
      <c r="D2081">
        <f t="shared" si="384"/>
        <v>2024</v>
      </c>
      <c r="E2081">
        <f t="shared" si="385"/>
        <v>4</v>
      </c>
      <c r="F2081" t="str">
        <f t="shared" si="387"/>
        <v>April</v>
      </c>
      <c r="G2081">
        <f t="shared" si="386"/>
        <v>30</v>
      </c>
      <c r="H2081" s="7">
        <f t="shared" si="388"/>
        <v>1.3064321558303413</v>
      </c>
      <c r="I2081" s="9">
        <f t="shared" si="389"/>
        <v>1.2979719359641697E-2</v>
      </c>
      <c r="J2081" s="9">
        <f t="shared" si="390"/>
        <v>56618.777142857143</v>
      </c>
      <c r="K2081" s="9">
        <f t="shared" si="393"/>
        <v>58120.075666666678</v>
      </c>
      <c r="L2081" s="9">
        <f t="shared" si="392"/>
        <v>57530.846777777777</v>
      </c>
      <c r="M2081" s="9">
        <f t="shared" si="391"/>
        <v>1.1459201500218638E-2</v>
      </c>
      <c r="N2081" s="9">
        <f t="shared" ref="N2081:N2144" si="394">STDEV(I2052:I2081)</f>
        <v>1.1143952805106813E-2</v>
      </c>
    </row>
    <row r="2082" spans="1:14" x14ac:dyDescent="0.35">
      <c r="A2082" s="1">
        <v>45414</v>
      </c>
      <c r="B2082" s="2" t="s">
        <v>2081</v>
      </c>
      <c r="C2082">
        <f t="shared" si="383"/>
        <v>58656.82</v>
      </c>
      <c r="D2082">
        <f t="shared" si="384"/>
        <v>2024</v>
      </c>
      <c r="E2082">
        <f t="shared" si="385"/>
        <v>5</v>
      </c>
      <c r="F2082" t="str">
        <f t="shared" si="387"/>
        <v>May</v>
      </c>
      <c r="G2082">
        <f t="shared" si="386"/>
        <v>2</v>
      </c>
      <c r="H2082" s="7">
        <f t="shared" si="388"/>
        <v>2.7017666852144542</v>
      </c>
      <c r="I2082" s="9">
        <f t="shared" si="389"/>
        <v>2.6659133186138981E-2</v>
      </c>
      <c r="J2082" s="9">
        <f t="shared" si="390"/>
        <v>56825.612857142864</v>
      </c>
      <c r="K2082" s="9">
        <f t="shared" si="393"/>
        <v>58138.602333333343</v>
      </c>
      <c r="L2082" s="9">
        <f t="shared" si="392"/>
        <v>57541.917000000001</v>
      </c>
      <c r="M2082" s="9">
        <f t="shared" si="391"/>
        <v>1.5285349062243834E-2</v>
      </c>
      <c r="N2082" s="9">
        <f t="shared" si="394"/>
        <v>1.2203205441588224E-2</v>
      </c>
    </row>
    <row r="2083" spans="1:14" x14ac:dyDescent="0.35">
      <c r="A2083" s="1">
        <v>45415</v>
      </c>
      <c r="B2083" s="2" t="s">
        <v>2082</v>
      </c>
      <c r="C2083">
        <f t="shared" si="383"/>
        <v>59258.37</v>
      </c>
      <c r="D2083">
        <f t="shared" si="384"/>
        <v>2024</v>
      </c>
      <c r="E2083">
        <f t="shared" si="385"/>
        <v>5</v>
      </c>
      <c r="F2083" t="str">
        <f t="shared" si="387"/>
        <v>May</v>
      </c>
      <c r="G2083">
        <f t="shared" si="386"/>
        <v>3</v>
      </c>
      <c r="H2083" s="7">
        <f t="shared" si="388"/>
        <v>1.0255414459904286</v>
      </c>
      <c r="I2083" s="9">
        <f t="shared" si="389"/>
        <v>1.0203184486859156E-2</v>
      </c>
      <c r="J2083" s="9">
        <f t="shared" si="390"/>
        <v>57261.557142857149</v>
      </c>
      <c r="K2083" s="9">
        <f t="shared" si="393"/>
        <v>58173.755666666679</v>
      </c>
      <c r="L2083" s="9">
        <f t="shared" si="392"/>
        <v>57550.39144444446</v>
      </c>
      <c r="M2083" s="9">
        <f t="shared" si="391"/>
        <v>1.2134763651667275E-2</v>
      </c>
      <c r="N2083" s="9">
        <f t="shared" si="394"/>
        <v>1.2334259181238013E-2</v>
      </c>
    </row>
    <row r="2084" spans="1:14" x14ac:dyDescent="0.35">
      <c r="A2084" s="1">
        <v>45418</v>
      </c>
      <c r="B2084" s="2" t="s">
        <v>2083</v>
      </c>
      <c r="C2084">
        <f t="shared" si="383"/>
        <v>59506.12</v>
      </c>
      <c r="D2084">
        <f t="shared" si="384"/>
        <v>2024</v>
      </c>
      <c r="E2084">
        <f t="shared" si="385"/>
        <v>5</v>
      </c>
      <c r="F2084" t="str">
        <f t="shared" si="387"/>
        <v>May</v>
      </c>
      <c r="G2084">
        <f t="shared" si="386"/>
        <v>6</v>
      </c>
      <c r="H2084" s="7">
        <f t="shared" si="388"/>
        <v>0.41808439887901061</v>
      </c>
      <c r="I2084" s="9">
        <f t="shared" si="389"/>
        <v>4.1721285440592991E-3</v>
      </c>
      <c r="J2084" s="9">
        <f t="shared" si="390"/>
        <v>57776.342857142852</v>
      </c>
      <c r="K2084" s="9">
        <f t="shared" si="393"/>
        <v>58209.854000000014</v>
      </c>
      <c r="L2084" s="9">
        <f t="shared" si="392"/>
        <v>57562.268000000011</v>
      </c>
      <c r="M2084" s="9">
        <f t="shared" si="391"/>
        <v>1.0903662118284693E-2</v>
      </c>
      <c r="N2084" s="9">
        <f t="shared" si="394"/>
        <v>1.2338109265869429E-2</v>
      </c>
    </row>
    <row r="2085" spans="1:14" x14ac:dyDescent="0.35">
      <c r="A2085" s="1">
        <v>45419</v>
      </c>
      <c r="B2085" s="2" t="s">
        <v>2084</v>
      </c>
      <c r="C2085">
        <f t="shared" si="383"/>
        <v>59546.23</v>
      </c>
      <c r="D2085">
        <f t="shared" si="384"/>
        <v>2024</v>
      </c>
      <c r="E2085">
        <f t="shared" si="385"/>
        <v>5</v>
      </c>
      <c r="F2085" t="str">
        <f t="shared" si="387"/>
        <v>May</v>
      </c>
      <c r="G2085">
        <f t="shared" si="386"/>
        <v>7</v>
      </c>
      <c r="H2085" s="7">
        <f t="shared" si="388"/>
        <v>6.7404831637486326E-2</v>
      </c>
      <c r="I2085" s="9">
        <f t="shared" si="389"/>
        <v>6.7382124783960703E-4</v>
      </c>
      <c r="J2085" s="9">
        <f t="shared" si="390"/>
        <v>58192.134285714288</v>
      </c>
      <c r="K2085" s="9">
        <f t="shared" si="393"/>
        <v>58225.24466666668</v>
      </c>
      <c r="L2085" s="9">
        <f t="shared" si="392"/>
        <v>57577.139222222249</v>
      </c>
      <c r="M2085" s="9">
        <f t="shared" si="391"/>
        <v>1.1126219278713186E-2</v>
      </c>
      <c r="N2085" s="9">
        <f t="shared" si="394"/>
        <v>1.2173480381355626E-2</v>
      </c>
    </row>
    <row r="2086" spans="1:14" x14ac:dyDescent="0.35">
      <c r="A2086" s="1">
        <v>45420</v>
      </c>
      <c r="B2086" s="2" t="s">
        <v>2085</v>
      </c>
      <c r="C2086">
        <f t="shared" si="383"/>
        <v>60806.9</v>
      </c>
      <c r="D2086">
        <f t="shared" si="384"/>
        <v>2024</v>
      </c>
      <c r="E2086">
        <f t="shared" si="385"/>
        <v>5</v>
      </c>
      <c r="F2086" t="str">
        <f t="shared" si="387"/>
        <v>May</v>
      </c>
      <c r="G2086">
        <f t="shared" si="386"/>
        <v>8</v>
      </c>
      <c r="H2086" s="7">
        <f t="shared" si="388"/>
        <v>2.1171281540409832</v>
      </c>
      <c r="I2086" s="9">
        <f t="shared" si="389"/>
        <v>2.0950283722234651E-2</v>
      </c>
      <c r="J2086" s="9">
        <f t="shared" si="390"/>
        <v>58752.198571428577</v>
      </c>
      <c r="K2086" s="9">
        <f t="shared" si="393"/>
        <v>58278.993000000002</v>
      </c>
      <c r="L2086" s="9">
        <f t="shared" si="392"/>
        <v>57606.70366666669</v>
      </c>
      <c r="M2086" s="9">
        <f t="shared" si="391"/>
        <v>1.2154511960119027E-2</v>
      </c>
      <c r="N2086" s="9">
        <f t="shared" si="394"/>
        <v>1.2745542887768387E-2</v>
      </c>
    </row>
    <row r="2087" spans="1:14" x14ac:dyDescent="0.35">
      <c r="A2087" s="1">
        <v>45421</v>
      </c>
      <c r="B2087" s="2" t="s">
        <v>2086</v>
      </c>
      <c r="C2087">
        <f t="shared" si="383"/>
        <v>61595.86</v>
      </c>
      <c r="D2087">
        <f t="shared" si="384"/>
        <v>2024</v>
      </c>
      <c r="E2087">
        <f t="shared" si="385"/>
        <v>5</v>
      </c>
      <c r="F2087" t="str">
        <f t="shared" si="387"/>
        <v>May</v>
      </c>
      <c r="G2087">
        <f t="shared" si="386"/>
        <v>9</v>
      </c>
      <c r="H2087" s="7">
        <f t="shared" si="388"/>
        <v>1.2974843315478986</v>
      </c>
      <c r="I2087" s="9">
        <f t="shared" si="389"/>
        <v>1.2891391113639397E-2</v>
      </c>
      <c r="J2087" s="9">
        <f t="shared" si="390"/>
        <v>59497.719999999994</v>
      </c>
      <c r="K2087" s="9">
        <f t="shared" si="393"/>
        <v>58359.880666666671</v>
      </c>
      <c r="L2087" s="9">
        <f t="shared" si="392"/>
        <v>57644.171888888915</v>
      </c>
      <c r="M2087" s="9">
        <f t="shared" si="391"/>
        <v>9.0056233914552856E-3</v>
      </c>
      <c r="N2087" s="9">
        <f t="shared" si="394"/>
        <v>1.2928517668363964E-2</v>
      </c>
    </row>
    <row r="2088" spans="1:14" x14ac:dyDescent="0.35">
      <c r="A2088" s="1">
        <v>45422</v>
      </c>
      <c r="B2088" s="2" t="s">
        <v>2087</v>
      </c>
      <c r="C2088">
        <f t="shared" si="383"/>
        <v>61684.77</v>
      </c>
      <c r="D2088">
        <f t="shared" si="384"/>
        <v>2024</v>
      </c>
      <c r="E2088">
        <f t="shared" si="385"/>
        <v>5</v>
      </c>
      <c r="F2088" t="str">
        <f t="shared" si="387"/>
        <v>May</v>
      </c>
      <c r="G2088">
        <f t="shared" si="386"/>
        <v>10</v>
      </c>
      <c r="H2088" s="7">
        <f t="shared" si="388"/>
        <v>0.14434411663380659</v>
      </c>
      <c r="I2088" s="9">
        <f t="shared" si="389"/>
        <v>1.4424004065343025E-3</v>
      </c>
      <c r="J2088" s="9">
        <f t="shared" si="390"/>
        <v>60150.724285714285</v>
      </c>
      <c r="K2088" s="9">
        <f t="shared" si="393"/>
        <v>58451.839333333337</v>
      </c>
      <c r="L2088" s="9">
        <f t="shared" si="392"/>
        <v>57680.762222222242</v>
      </c>
      <c r="M2088" s="9">
        <f t="shared" si="391"/>
        <v>9.9417165809370552E-3</v>
      </c>
      <c r="N2088" s="9">
        <f t="shared" si="394"/>
        <v>1.2887351877502916E-2</v>
      </c>
    </row>
    <row r="2089" spans="1:14" x14ac:dyDescent="0.35">
      <c r="A2089" s="1">
        <v>45425</v>
      </c>
      <c r="B2089" s="2" t="s">
        <v>2088</v>
      </c>
      <c r="C2089">
        <f t="shared" si="383"/>
        <v>61623.13</v>
      </c>
      <c r="D2089">
        <f t="shared" si="384"/>
        <v>2024</v>
      </c>
      <c r="E2089">
        <f t="shared" si="385"/>
        <v>5</v>
      </c>
      <c r="F2089" t="str">
        <f t="shared" si="387"/>
        <v>May</v>
      </c>
      <c r="G2089">
        <f t="shared" si="386"/>
        <v>13</v>
      </c>
      <c r="H2089" s="7">
        <f t="shared" si="388"/>
        <v>-9.9927421306749489E-2</v>
      </c>
      <c r="I2089" s="9">
        <f t="shared" si="389"/>
        <v>-9.9977382040144537E-4</v>
      </c>
      <c r="J2089" s="9">
        <f t="shared" si="390"/>
        <v>60574.482857142859</v>
      </c>
      <c r="K2089" s="9">
        <f t="shared" si="393"/>
        <v>58540.522000000004</v>
      </c>
      <c r="L2089" s="9">
        <f t="shared" si="392"/>
        <v>57720.109555555573</v>
      </c>
      <c r="M2089" s="9">
        <f t="shared" si="391"/>
        <v>7.9839850353629841E-3</v>
      </c>
      <c r="N2089" s="9">
        <f t="shared" si="394"/>
        <v>1.2894669476265263E-2</v>
      </c>
    </row>
    <row r="2090" spans="1:14" x14ac:dyDescent="0.35">
      <c r="A2090" s="1">
        <v>45426</v>
      </c>
      <c r="B2090" s="2" t="s">
        <v>2089</v>
      </c>
      <c r="C2090">
        <f t="shared" si="383"/>
        <v>61475.44</v>
      </c>
      <c r="D2090">
        <f t="shared" si="384"/>
        <v>2024</v>
      </c>
      <c r="E2090">
        <f t="shared" si="385"/>
        <v>5</v>
      </c>
      <c r="F2090" t="str">
        <f t="shared" si="387"/>
        <v>May</v>
      </c>
      <c r="G2090">
        <f t="shared" si="386"/>
        <v>14</v>
      </c>
      <c r="H2090" s="7">
        <f t="shared" si="388"/>
        <v>-0.23966650184759369</v>
      </c>
      <c r="I2090" s="9">
        <f t="shared" si="389"/>
        <v>-2.3995416171627274E-3</v>
      </c>
      <c r="J2090" s="9">
        <f t="shared" si="390"/>
        <v>60891.207142857143</v>
      </c>
      <c r="K2090" s="9">
        <f t="shared" si="393"/>
        <v>58614.941333333336</v>
      </c>
      <c r="L2090" s="9">
        <f t="shared" si="392"/>
        <v>57761.179888888917</v>
      </c>
      <c r="M2090" s="9">
        <f t="shared" si="391"/>
        <v>8.5543936783056933E-3</v>
      </c>
      <c r="N2090" s="9">
        <f t="shared" si="394"/>
        <v>1.2898131508448081E-2</v>
      </c>
    </row>
    <row r="2091" spans="1:14" x14ac:dyDescent="0.35">
      <c r="A2091" s="1">
        <v>45427</v>
      </c>
      <c r="B2091" s="2" t="s">
        <v>2090</v>
      </c>
      <c r="C2091">
        <f t="shared" si="383"/>
        <v>61060.28</v>
      </c>
      <c r="D2091">
        <f t="shared" si="384"/>
        <v>2024</v>
      </c>
      <c r="E2091">
        <f t="shared" si="385"/>
        <v>5</v>
      </c>
      <c r="F2091" t="str">
        <f t="shared" si="387"/>
        <v>May</v>
      </c>
      <c r="G2091">
        <f t="shared" si="386"/>
        <v>15</v>
      </c>
      <c r="H2091" s="7">
        <f t="shared" si="388"/>
        <v>-0.67532660197308625</v>
      </c>
      <c r="I2091" s="9">
        <f t="shared" si="389"/>
        <v>-6.7761725080182147E-3</v>
      </c>
      <c r="J2091" s="9">
        <f t="shared" si="390"/>
        <v>61113.229999999996</v>
      </c>
      <c r="K2091" s="9">
        <f t="shared" si="393"/>
        <v>58719.870666666669</v>
      </c>
      <c r="L2091" s="9">
        <f t="shared" si="392"/>
        <v>57796.617555555589</v>
      </c>
      <c r="M2091" s="9">
        <f t="shared" si="391"/>
        <v>9.7069474243382716E-3</v>
      </c>
      <c r="N2091" s="9">
        <f t="shared" si="394"/>
        <v>1.2186373059693993E-2</v>
      </c>
    </row>
    <row r="2092" spans="1:14" x14ac:dyDescent="0.35">
      <c r="A2092" s="1">
        <v>45428</v>
      </c>
      <c r="B2092" s="2" t="s">
        <v>2091</v>
      </c>
      <c r="C2092">
        <f t="shared" si="383"/>
        <v>60912.88</v>
      </c>
      <c r="D2092">
        <f t="shared" si="384"/>
        <v>2024</v>
      </c>
      <c r="E2092">
        <f t="shared" si="385"/>
        <v>5</v>
      </c>
      <c r="F2092" t="str">
        <f t="shared" si="387"/>
        <v>May</v>
      </c>
      <c r="G2092">
        <f t="shared" si="386"/>
        <v>16</v>
      </c>
      <c r="H2092" s="7">
        <f t="shared" si="388"/>
        <v>-0.24140079279034005</v>
      </c>
      <c r="I2092" s="9">
        <f t="shared" si="389"/>
        <v>-2.4169263427050412E-3</v>
      </c>
      <c r="J2092" s="9">
        <f t="shared" si="390"/>
        <v>61308.465714285718</v>
      </c>
      <c r="K2092" s="9">
        <f t="shared" si="393"/>
        <v>58825.476666666662</v>
      </c>
      <c r="L2092" s="9">
        <f t="shared" si="392"/>
        <v>57836.959111111144</v>
      </c>
      <c r="M2092" s="9">
        <f t="shared" si="391"/>
        <v>9.9342797413849611E-3</v>
      </c>
      <c r="N2092" s="9">
        <f t="shared" si="394"/>
        <v>1.2180315581587579E-2</v>
      </c>
    </row>
    <row r="2093" spans="1:14" x14ac:dyDescent="0.35">
      <c r="A2093" s="1">
        <v>45429</v>
      </c>
      <c r="B2093" s="2" t="s">
        <v>2092</v>
      </c>
      <c r="C2093">
        <f t="shared" si="383"/>
        <v>60922.55</v>
      </c>
      <c r="D2093">
        <f t="shared" si="384"/>
        <v>2024</v>
      </c>
      <c r="E2093">
        <f t="shared" si="385"/>
        <v>5</v>
      </c>
      <c r="F2093" t="str">
        <f t="shared" si="387"/>
        <v>May</v>
      </c>
      <c r="G2093">
        <f t="shared" si="386"/>
        <v>17</v>
      </c>
      <c r="H2093" s="7">
        <f t="shared" si="388"/>
        <v>1.5875131827629115E-2</v>
      </c>
      <c r="I2093" s="9">
        <f t="shared" si="389"/>
        <v>1.5873871861929215E-4</v>
      </c>
      <c r="J2093" s="9">
        <f t="shared" si="390"/>
        <v>61324.987142857142</v>
      </c>
      <c r="K2093" s="9">
        <f t="shared" si="393"/>
        <v>58925.456333333328</v>
      </c>
      <c r="L2093" s="9">
        <f t="shared" si="392"/>
        <v>57889.899777777813</v>
      </c>
      <c r="M2093" s="9">
        <f t="shared" si="391"/>
        <v>6.1412987089475412E-3</v>
      </c>
      <c r="N2093" s="9">
        <f t="shared" si="394"/>
        <v>1.2181222212712664E-2</v>
      </c>
    </row>
    <row r="2094" spans="1:14" x14ac:dyDescent="0.35">
      <c r="A2094" s="1">
        <v>45432</v>
      </c>
      <c r="B2094" s="2" t="s">
        <v>2093</v>
      </c>
      <c r="C2094">
        <f t="shared" si="383"/>
        <v>60924.46</v>
      </c>
      <c r="D2094">
        <f t="shared" si="384"/>
        <v>2024</v>
      </c>
      <c r="E2094">
        <f t="shared" si="385"/>
        <v>5</v>
      </c>
      <c r="F2094" t="str">
        <f t="shared" si="387"/>
        <v>May</v>
      </c>
      <c r="G2094">
        <f t="shared" si="386"/>
        <v>20</v>
      </c>
      <c r="H2094" s="7">
        <f t="shared" si="388"/>
        <v>3.135128125786292E-3</v>
      </c>
      <c r="I2094" s="9">
        <f t="shared" si="389"/>
        <v>3.135078981660537E-5</v>
      </c>
      <c r="J2094" s="9">
        <f t="shared" si="390"/>
        <v>61229.072857142855</v>
      </c>
      <c r="K2094" s="9">
        <f t="shared" si="393"/>
        <v>59012.101999999984</v>
      </c>
      <c r="L2094" s="9">
        <f t="shared" si="392"/>
        <v>57949.04233333336</v>
      </c>
      <c r="M2094" s="9">
        <f t="shared" si="391"/>
        <v>2.6914092498735785E-3</v>
      </c>
      <c r="N2094" s="9">
        <f t="shared" si="394"/>
        <v>1.2144042504737145E-2</v>
      </c>
    </row>
    <row r="2095" spans="1:14" x14ac:dyDescent="0.35">
      <c r="A2095" s="1">
        <v>45433</v>
      </c>
      <c r="B2095" s="2" t="s">
        <v>2094</v>
      </c>
      <c r="C2095">
        <f t="shared" si="383"/>
        <v>60649.599999999999</v>
      </c>
      <c r="D2095">
        <f t="shared" si="384"/>
        <v>2024</v>
      </c>
      <c r="E2095">
        <f t="shared" si="385"/>
        <v>5</v>
      </c>
      <c r="F2095" t="str">
        <f t="shared" si="387"/>
        <v>May</v>
      </c>
      <c r="G2095">
        <f t="shared" si="386"/>
        <v>21</v>
      </c>
      <c r="H2095" s="7">
        <f t="shared" si="388"/>
        <v>-0.45114884891880963</v>
      </c>
      <c r="I2095" s="9">
        <f t="shared" si="389"/>
        <v>-4.5216959655602585E-3</v>
      </c>
      <c r="J2095" s="9">
        <f t="shared" si="390"/>
        <v>61081.19142857143</v>
      </c>
      <c r="K2095" s="9">
        <f t="shared" si="393"/>
        <v>59066.181333333327</v>
      </c>
      <c r="L2095" s="9">
        <f t="shared" si="392"/>
        <v>58001.418444444469</v>
      </c>
      <c r="M2095" s="9">
        <f t="shared" si="391"/>
        <v>2.5189221518428419E-3</v>
      </c>
      <c r="N2095" s="9">
        <f t="shared" si="394"/>
        <v>1.2024363029213695E-2</v>
      </c>
    </row>
    <row r="2096" spans="1:14" x14ac:dyDescent="0.35">
      <c r="A2096" s="1">
        <v>45434</v>
      </c>
      <c r="B2096" s="2" t="s">
        <v>2095</v>
      </c>
      <c r="C2096">
        <f t="shared" si="383"/>
        <v>60240.959999999999</v>
      </c>
      <c r="D2096">
        <f t="shared" si="384"/>
        <v>2024</v>
      </c>
      <c r="E2096">
        <f t="shared" si="385"/>
        <v>5</v>
      </c>
      <c r="F2096" t="str">
        <f t="shared" si="387"/>
        <v>May</v>
      </c>
      <c r="G2096">
        <f t="shared" si="386"/>
        <v>22</v>
      </c>
      <c r="H2096" s="7">
        <f t="shared" si="388"/>
        <v>-0.67377196222233848</v>
      </c>
      <c r="I2096" s="9">
        <f t="shared" si="389"/>
        <v>-6.7605205302064863E-3</v>
      </c>
      <c r="J2096" s="9">
        <f t="shared" si="390"/>
        <v>60883.738571428577</v>
      </c>
      <c r="K2096" s="9">
        <f t="shared" si="393"/>
        <v>59111.91566666666</v>
      </c>
      <c r="L2096" s="9">
        <f t="shared" si="392"/>
        <v>58039.015333333351</v>
      </c>
      <c r="M2096" s="9">
        <f t="shared" si="391"/>
        <v>2.891893944498011E-3</v>
      </c>
      <c r="N2096" s="9">
        <f t="shared" si="394"/>
        <v>1.2089152927746387E-2</v>
      </c>
    </row>
    <row r="2097" spans="1:14" x14ac:dyDescent="0.35">
      <c r="A2097" s="1">
        <v>45435</v>
      </c>
      <c r="B2097" s="2" t="s">
        <v>2096</v>
      </c>
      <c r="C2097">
        <f t="shared" si="383"/>
        <v>60083.13</v>
      </c>
      <c r="D2097">
        <f t="shared" si="384"/>
        <v>2024</v>
      </c>
      <c r="E2097">
        <f t="shared" si="385"/>
        <v>5</v>
      </c>
      <c r="F2097" t="str">
        <f t="shared" si="387"/>
        <v>May</v>
      </c>
      <c r="G2097">
        <f t="shared" si="386"/>
        <v>23</v>
      </c>
      <c r="H2097" s="7">
        <f t="shared" si="388"/>
        <v>-0.26199781676786316</v>
      </c>
      <c r="I2097" s="9">
        <f t="shared" si="389"/>
        <v>-2.6234163170420449E-3</v>
      </c>
      <c r="J2097" s="9">
        <f t="shared" si="390"/>
        <v>60684.837142857148</v>
      </c>
      <c r="K2097" s="9">
        <f t="shared" si="393"/>
        <v>59157.504666666653</v>
      </c>
      <c r="L2097" s="9">
        <f t="shared" si="392"/>
        <v>58074.194888888909</v>
      </c>
      <c r="M2097" s="9">
        <f t="shared" si="391"/>
        <v>2.882263107717619E-3</v>
      </c>
      <c r="N2097" s="9">
        <f t="shared" si="394"/>
        <v>1.2089278764145872E-2</v>
      </c>
    </row>
    <row r="2098" spans="1:14" x14ac:dyDescent="0.35">
      <c r="A2098" s="1">
        <v>45436</v>
      </c>
      <c r="B2098" s="2" t="s">
        <v>2097</v>
      </c>
      <c r="C2098">
        <f t="shared" si="383"/>
        <v>59606.02</v>
      </c>
      <c r="D2098">
        <f t="shared" si="384"/>
        <v>2024</v>
      </c>
      <c r="E2098">
        <f t="shared" si="385"/>
        <v>5</v>
      </c>
      <c r="F2098" t="str">
        <f t="shared" si="387"/>
        <v>May</v>
      </c>
      <c r="G2098">
        <f t="shared" si="386"/>
        <v>24</v>
      </c>
      <c r="H2098" s="7">
        <f t="shared" si="388"/>
        <v>-0.79408313115511897</v>
      </c>
      <c r="I2098" s="9">
        <f t="shared" si="389"/>
        <v>-7.9725276207164384E-3</v>
      </c>
      <c r="J2098" s="9">
        <f t="shared" si="390"/>
        <v>60477.08571428572</v>
      </c>
      <c r="K2098" s="9">
        <f t="shared" si="393"/>
        <v>59205.868999999984</v>
      </c>
      <c r="L2098" s="9">
        <f t="shared" si="392"/>
        <v>58106.492888888904</v>
      </c>
      <c r="M2098" s="9">
        <f t="shared" si="391"/>
        <v>3.1478650280828955E-3</v>
      </c>
      <c r="N2098" s="9">
        <f t="shared" si="394"/>
        <v>1.2045029382084779E-2</v>
      </c>
    </row>
    <row r="2099" spans="1:14" x14ac:dyDescent="0.35">
      <c r="A2099" s="1">
        <v>45439</v>
      </c>
      <c r="B2099" s="2" t="s">
        <v>2098</v>
      </c>
      <c r="C2099">
        <f t="shared" si="383"/>
        <v>59979.63</v>
      </c>
      <c r="D2099">
        <f t="shared" si="384"/>
        <v>2024</v>
      </c>
      <c r="E2099">
        <f t="shared" si="385"/>
        <v>5</v>
      </c>
      <c r="F2099" t="str">
        <f t="shared" si="387"/>
        <v>May</v>
      </c>
      <c r="G2099">
        <f t="shared" si="386"/>
        <v>27</v>
      </c>
      <c r="H2099" s="7">
        <f t="shared" si="388"/>
        <v>0.62679910519105386</v>
      </c>
      <c r="I2099" s="9">
        <f t="shared" si="389"/>
        <v>6.2484288970497022E-3</v>
      </c>
      <c r="J2099" s="9">
        <f t="shared" si="390"/>
        <v>60343.764285714293</v>
      </c>
      <c r="K2099" s="9">
        <f t="shared" si="393"/>
        <v>59251.657666666651</v>
      </c>
      <c r="L2099" s="9">
        <f t="shared" si="392"/>
        <v>58139.117444444448</v>
      </c>
      <c r="M2099" s="9">
        <f t="shared" si="391"/>
        <v>4.8581251046093208E-3</v>
      </c>
      <c r="N2099" s="9">
        <f t="shared" si="394"/>
        <v>1.2018871953053175E-2</v>
      </c>
    </row>
    <row r="2100" spans="1:14" x14ac:dyDescent="0.35">
      <c r="A2100" s="1">
        <v>45440</v>
      </c>
      <c r="B2100" s="2" t="s">
        <v>2099</v>
      </c>
      <c r="C2100">
        <f t="shared" si="383"/>
        <v>60113.65</v>
      </c>
      <c r="D2100">
        <f t="shared" si="384"/>
        <v>2024</v>
      </c>
      <c r="E2100">
        <f t="shared" si="385"/>
        <v>5</v>
      </c>
      <c r="F2100" t="str">
        <f t="shared" si="387"/>
        <v>May</v>
      </c>
      <c r="G2100">
        <f t="shared" si="386"/>
        <v>28</v>
      </c>
      <c r="H2100" s="7">
        <f t="shared" si="388"/>
        <v>0.22344252540404813</v>
      </c>
      <c r="I2100" s="9">
        <f t="shared" si="389"/>
        <v>2.2319326382843909E-3</v>
      </c>
      <c r="J2100" s="9">
        <f t="shared" si="390"/>
        <v>60228.207142857143</v>
      </c>
      <c r="K2100" s="9">
        <f t="shared" si="393"/>
        <v>59324.486666666649</v>
      </c>
      <c r="L2100" s="9">
        <f t="shared" si="392"/>
        <v>58161.248666666674</v>
      </c>
      <c r="M2100" s="9">
        <f t="shared" si="391"/>
        <v>5.0842259056647658E-3</v>
      </c>
      <c r="N2100" s="9">
        <f t="shared" si="394"/>
        <v>1.1790196989543152E-2</v>
      </c>
    </row>
    <row r="2101" spans="1:14" x14ac:dyDescent="0.35">
      <c r="A2101" s="1">
        <v>45442</v>
      </c>
      <c r="B2101" s="2" t="s">
        <v>2100</v>
      </c>
      <c r="C2101">
        <f t="shared" si="383"/>
        <v>60038.39</v>
      </c>
      <c r="D2101">
        <f t="shared" si="384"/>
        <v>2024</v>
      </c>
      <c r="E2101">
        <f t="shared" si="385"/>
        <v>5</v>
      </c>
      <c r="F2101" t="str">
        <f t="shared" si="387"/>
        <v>May</v>
      </c>
      <c r="G2101">
        <f t="shared" si="386"/>
        <v>30</v>
      </c>
      <c r="H2101" s="7">
        <f t="shared" si="388"/>
        <v>-0.12519619088177483</v>
      </c>
      <c r="I2101" s="9">
        <f t="shared" si="389"/>
        <v>-1.2527462678550479E-3</v>
      </c>
      <c r="J2101" s="9">
        <f t="shared" si="390"/>
        <v>60101.625714285714</v>
      </c>
      <c r="K2101" s="9">
        <f t="shared" si="393"/>
        <v>59369.053999999982</v>
      </c>
      <c r="L2101" s="9">
        <f t="shared" si="392"/>
        <v>58185.884111111118</v>
      </c>
      <c r="M2101" s="9">
        <f t="shared" si="391"/>
        <v>5.0253524450238505E-3</v>
      </c>
      <c r="N2101" s="9">
        <f t="shared" si="394"/>
        <v>1.1575950511154162E-2</v>
      </c>
    </row>
    <row r="2102" spans="1:14" x14ac:dyDescent="0.35">
      <c r="A2102" s="1">
        <v>45443</v>
      </c>
      <c r="B2102" s="2" t="s">
        <v>2101</v>
      </c>
      <c r="C2102">
        <f t="shared" si="383"/>
        <v>59717.2</v>
      </c>
      <c r="D2102">
        <f t="shared" si="384"/>
        <v>2024</v>
      </c>
      <c r="E2102">
        <f t="shared" si="385"/>
        <v>5</v>
      </c>
      <c r="F2102" t="str">
        <f t="shared" si="387"/>
        <v>May</v>
      </c>
      <c r="G2102">
        <f t="shared" si="386"/>
        <v>31</v>
      </c>
      <c r="H2102" s="7">
        <f t="shared" si="388"/>
        <v>-0.53497437223083821</v>
      </c>
      <c r="I2102" s="9">
        <f t="shared" si="389"/>
        <v>-5.3641048430318524E-3</v>
      </c>
      <c r="J2102" s="9">
        <f t="shared" si="390"/>
        <v>59968.425714285717</v>
      </c>
      <c r="K2102" s="9">
        <f t="shared" si="393"/>
        <v>59388.88266666665</v>
      </c>
      <c r="L2102" s="9">
        <f t="shared" si="392"/>
        <v>58207.138222222216</v>
      </c>
      <c r="M2102" s="9">
        <f t="shared" si="391"/>
        <v>5.1027002083024733E-3</v>
      </c>
      <c r="N2102" s="9">
        <f t="shared" si="394"/>
        <v>1.1562951315218912E-2</v>
      </c>
    </row>
    <row r="2103" spans="1:14" x14ac:dyDescent="0.35">
      <c r="A2103" s="1">
        <v>45446</v>
      </c>
      <c r="B2103" s="2" t="s">
        <v>2102</v>
      </c>
      <c r="C2103">
        <f t="shared" si="383"/>
        <v>59476.77</v>
      </c>
      <c r="D2103">
        <f t="shared" si="384"/>
        <v>2024</v>
      </c>
      <c r="E2103">
        <f t="shared" si="385"/>
        <v>6</v>
      </c>
      <c r="F2103" t="str">
        <f t="shared" si="387"/>
        <v>June</v>
      </c>
      <c r="G2103">
        <f t="shared" si="386"/>
        <v>3</v>
      </c>
      <c r="H2103" s="7">
        <f t="shared" si="388"/>
        <v>-0.40261432217183712</v>
      </c>
      <c r="I2103" s="9">
        <f t="shared" si="389"/>
        <v>-4.0342699566058857E-3</v>
      </c>
      <c r="J2103" s="9">
        <f t="shared" si="390"/>
        <v>59859.255714285719</v>
      </c>
      <c r="K2103" s="9">
        <f t="shared" si="393"/>
        <v>59387.00499999999</v>
      </c>
      <c r="L2103" s="9">
        <f t="shared" si="392"/>
        <v>58221.499555555543</v>
      </c>
      <c r="M2103" s="9">
        <f t="shared" si="391"/>
        <v>4.7923919285670887E-3</v>
      </c>
      <c r="N2103" s="9">
        <f t="shared" si="394"/>
        <v>1.1520601404160715E-2</v>
      </c>
    </row>
    <row r="2104" spans="1:14" x14ac:dyDescent="0.35">
      <c r="A2104" s="1">
        <v>45447</v>
      </c>
      <c r="B2104" s="2" t="s">
        <v>2103</v>
      </c>
      <c r="C2104">
        <f t="shared" si="383"/>
        <v>59629.64</v>
      </c>
      <c r="D2104">
        <f t="shared" si="384"/>
        <v>2024</v>
      </c>
      <c r="E2104">
        <f t="shared" si="385"/>
        <v>6</v>
      </c>
      <c r="F2104" t="str">
        <f t="shared" si="387"/>
        <v>June</v>
      </c>
      <c r="G2104">
        <f t="shared" si="386"/>
        <v>4</v>
      </c>
      <c r="H2104" s="7">
        <f t="shared" si="388"/>
        <v>0.25702471738126098</v>
      </c>
      <c r="I2104" s="9">
        <f t="shared" si="389"/>
        <v>2.5669497374878614E-3</v>
      </c>
      <c r="J2104" s="9">
        <f t="shared" si="390"/>
        <v>59794.471428571436</v>
      </c>
      <c r="K2104" s="9">
        <f t="shared" si="393"/>
        <v>59461.341333333316</v>
      </c>
      <c r="L2104" s="9">
        <f t="shared" si="392"/>
        <v>58232.698111111094</v>
      </c>
      <c r="M2104" s="9">
        <f t="shared" si="391"/>
        <v>5.0430317553900742E-3</v>
      </c>
      <c r="N2104" s="9">
        <f t="shared" si="394"/>
        <v>9.2386675151173089E-3</v>
      </c>
    </row>
    <row r="2105" spans="1:14" x14ac:dyDescent="0.35">
      <c r="A2105" s="1">
        <v>45448</v>
      </c>
      <c r="B2105" s="2" t="s">
        <v>2104</v>
      </c>
      <c r="C2105">
        <f t="shared" si="383"/>
        <v>59731.16</v>
      </c>
      <c r="D2105">
        <f t="shared" si="384"/>
        <v>2024</v>
      </c>
      <c r="E2105">
        <f t="shared" si="385"/>
        <v>6</v>
      </c>
      <c r="F2105" t="str">
        <f t="shared" si="387"/>
        <v>June</v>
      </c>
      <c r="G2105">
        <f t="shared" si="386"/>
        <v>5</v>
      </c>
      <c r="H2105" s="7">
        <f t="shared" si="388"/>
        <v>0.17025090206817295</v>
      </c>
      <c r="I2105" s="9">
        <f t="shared" si="389"/>
        <v>1.7010613950298671E-3</v>
      </c>
      <c r="J2105" s="9">
        <f t="shared" si="390"/>
        <v>59812.348571428578</v>
      </c>
      <c r="K2105" s="9">
        <f t="shared" si="393"/>
        <v>59545.414333333312</v>
      </c>
      <c r="L2105" s="9">
        <f t="shared" si="392"/>
        <v>58253.135777777752</v>
      </c>
      <c r="M2105" s="9">
        <f t="shared" si="391"/>
        <v>4.0722066874094749E-3</v>
      </c>
      <c r="N2105" s="9">
        <f t="shared" si="394"/>
        <v>9.1979259201997576E-3</v>
      </c>
    </row>
    <row r="2106" spans="1:14" x14ac:dyDescent="0.35">
      <c r="A2106" s="1">
        <v>45449</v>
      </c>
      <c r="B2106" s="2" t="s">
        <v>2105</v>
      </c>
      <c r="C2106">
        <f t="shared" si="383"/>
        <v>59504.67</v>
      </c>
      <c r="D2106">
        <f t="shared" si="384"/>
        <v>2024</v>
      </c>
      <c r="E2106">
        <f t="shared" si="385"/>
        <v>6</v>
      </c>
      <c r="F2106" t="str">
        <f t="shared" si="387"/>
        <v>June</v>
      </c>
      <c r="G2106">
        <f t="shared" si="386"/>
        <v>6</v>
      </c>
      <c r="H2106" s="7">
        <f t="shared" si="388"/>
        <v>-0.37918232292827603</v>
      </c>
      <c r="I2106" s="9">
        <f t="shared" si="389"/>
        <v>-3.7990304156702171E-3</v>
      </c>
      <c r="J2106" s="9">
        <f t="shared" si="390"/>
        <v>59744.49714285713</v>
      </c>
      <c r="K2106" s="9">
        <f t="shared" si="393"/>
        <v>59655.344666666657</v>
      </c>
      <c r="L2106" s="9">
        <f t="shared" si="392"/>
        <v>58263.027111111092</v>
      </c>
      <c r="M2106" s="9">
        <f t="shared" si="391"/>
        <v>3.3288116975263276E-3</v>
      </c>
      <c r="N2106" s="9">
        <f t="shared" si="394"/>
        <v>8.5282577229384825E-3</v>
      </c>
    </row>
    <row r="2107" spans="1:14" x14ac:dyDescent="0.35">
      <c r="A2107" s="1">
        <v>45450</v>
      </c>
      <c r="B2107" s="2" t="s">
        <v>2106</v>
      </c>
      <c r="C2107">
        <f t="shared" si="383"/>
        <v>58952.89</v>
      </c>
      <c r="D2107">
        <f t="shared" si="384"/>
        <v>2024</v>
      </c>
      <c r="E2107">
        <f t="shared" si="385"/>
        <v>6</v>
      </c>
      <c r="F2107" t="str">
        <f t="shared" si="387"/>
        <v>June</v>
      </c>
      <c r="G2107">
        <f t="shared" si="386"/>
        <v>7</v>
      </c>
      <c r="H2107" s="7">
        <f t="shared" si="388"/>
        <v>-0.9272885640740447</v>
      </c>
      <c r="I2107" s="9">
        <f t="shared" si="389"/>
        <v>-9.3161464877377902E-3</v>
      </c>
      <c r="J2107" s="9">
        <f t="shared" si="390"/>
        <v>59578.674285714289</v>
      </c>
      <c r="K2107" s="9">
        <f t="shared" si="393"/>
        <v>59757.020333333305</v>
      </c>
      <c r="L2107" s="9">
        <f t="shared" si="392"/>
        <v>58268.916333333313</v>
      </c>
      <c r="M2107" s="9">
        <f t="shared" si="391"/>
        <v>4.1435190786926262E-3</v>
      </c>
      <c r="N2107" s="9">
        <f t="shared" si="394"/>
        <v>8.6718711479087975E-3</v>
      </c>
    </row>
    <row r="2108" spans="1:14" x14ac:dyDescent="0.35">
      <c r="A2108" s="1">
        <v>45453</v>
      </c>
      <c r="B2108" s="2" t="s">
        <v>2107</v>
      </c>
      <c r="C2108">
        <f t="shared" si="383"/>
        <v>58844.01</v>
      </c>
      <c r="D2108">
        <f t="shared" si="384"/>
        <v>2024</v>
      </c>
      <c r="E2108">
        <f t="shared" si="385"/>
        <v>6</v>
      </c>
      <c r="F2108" t="str">
        <f t="shared" si="387"/>
        <v>June</v>
      </c>
      <c r="G2108">
        <f t="shared" si="386"/>
        <v>10</v>
      </c>
      <c r="H2108" s="7">
        <f t="shared" si="388"/>
        <v>-0.18468984302550287</v>
      </c>
      <c r="I2108" s="9">
        <f t="shared" si="389"/>
        <v>-1.8486060500182463E-3</v>
      </c>
      <c r="J2108" s="9">
        <f t="shared" si="390"/>
        <v>59408.048571428575</v>
      </c>
      <c r="K2108" s="9">
        <f t="shared" si="393"/>
        <v>59830.630999999972</v>
      </c>
      <c r="L2108" s="9">
        <f t="shared" si="392"/>
        <v>58278.23177777775</v>
      </c>
      <c r="M2108" s="9">
        <f t="shared" si="391"/>
        <v>4.1127900794212264E-3</v>
      </c>
      <c r="N2108" s="9">
        <f t="shared" si="394"/>
        <v>8.4278653276518879E-3</v>
      </c>
    </row>
    <row r="2109" spans="1:14" x14ac:dyDescent="0.35">
      <c r="A2109" s="1">
        <v>45454</v>
      </c>
      <c r="B2109" s="2" t="s">
        <v>2108</v>
      </c>
      <c r="C2109">
        <f t="shared" si="383"/>
        <v>58800.23</v>
      </c>
      <c r="D2109">
        <f t="shared" si="384"/>
        <v>2024</v>
      </c>
      <c r="E2109">
        <f t="shared" si="385"/>
        <v>6</v>
      </c>
      <c r="F2109" t="str">
        <f t="shared" si="387"/>
        <v>June</v>
      </c>
      <c r="G2109">
        <f t="shared" si="386"/>
        <v>11</v>
      </c>
      <c r="H2109" s="7">
        <f t="shared" si="388"/>
        <v>-7.4400096118532419E-2</v>
      </c>
      <c r="I2109" s="9">
        <f t="shared" si="389"/>
        <v>-7.4427786725454943E-4</v>
      </c>
      <c r="J2109" s="9">
        <f t="shared" si="390"/>
        <v>59277.052857142859</v>
      </c>
      <c r="K2109" s="9">
        <f t="shared" si="393"/>
        <v>59894.42366666664</v>
      </c>
      <c r="L2109" s="9">
        <f t="shared" si="392"/>
        <v>58288.066222222202</v>
      </c>
      <c r="M2109" s="9">
        <f t="shared" si="391"/>
        <v>4.0154885706007379E-3</v>
      </c>
      <c r="N2109" s="9">
        <f t="shared" si="394"/>
        <v>8.4141724490818925E-3</v>
      </c>
    </row>
    <row r="2110" spans="1:14" x14ac:dyDescent="0.35">
      <c r="A2110" s="1">
        <v>45455</v>
      </c>
      <c r="B2110" s="2" t="s">
        <v>2109</v>
      </c>
      <c r="C2110">
        <f t="shared" si="383"/>
        <v>58771.79</v>
      </c>
      <c r="D2110">
        <f t="shared" si="384"/>
        <v>2024</v>
      </c>
      <c r="E2110">
        <f t="shared" si="385"/>
        <v>6</v>
      </c>
      <c r="F2110" t="str">
        <f t="shared" si="387"/>
        <v>June</v>
      </c>
      <c r="G2110">
        <f t="shared" si="386"/>
        <v>12</v>
      </c>
      <c r="H2110" s="7">
        <f t="shared" si="388"/>
        <v>-4.8367157747516168E-2</v>
      </c>
      <c r="I2110" s="9">
        <f t="shared" si="389"/>
        <v>-4.8378858430273193E-4</v>
      </c>
      <c r="J2110" s="9">
        <f t="shared" si="390"/>
        <v>59176.341428571424</v>
      </c>
      <c r="K2110" s="9">
        <f t="shared" si="393"/>
        <v>59974.242999999973</v>
      </c>
      <c r="L2110" s="9">
        <f t="shared" si="392"/>
        <v>58300.3612222222</v>
      </c>
      <c r="M2110" s="9">
        <f t="shared" si="391"/>
        <v>3.9707319279937018E-3</v>
      </c>
      <c r="N2110" s="9">
        <f t="shared" si="394"/>
        <v>8.2029087661130932E-3</v>
      </c>
    </row>
    <row r="2111" spans="1:14" x14ac:dyDescent="0.35">
      <c r="A2111" s="1">
        <v>45456</v>
      </c>
      <c r="B2111" s="2" t="s">
        <v>2110</v>
      </c>
      <c r="C2111">
        <f t="shared" si="383"/>
        <v>58032.09</v>
      </c>
      <c r="D2111">
        <f t="shared" si="384"/>
        <v>2024</v>
      </c>
      <c r="E2111">
        <f t="shared" si="385"/>
        <v>6</v>
      </c>
      <c r="F2111" t="str">
        <f t="shared" si="387"/>
        <v>June</v>
      </c>
      <c r="G2111">
        <f t="shared" si="386"/>
        <v>13</v>
      </c>
      <c r="H2111" s="7">
        <f t="shared" si="388"/>
        <v>-1.2585970241845694</v>
      </c>
      <c r="I2111" s="9">
        <f t="shared" si="389"/>
        <v>-1.2665844469424066E-2</v>
      </c>
      <c r="J2111" s="9">
        <f t="shared" si="390"/>
        <v>58948.119999999995</v>
      </c>
      <c r="K2111" s="9">
        <f t="shared" si="393"/>
        <v>60004.854666666644</v>
      </c>
      <c r="L2111" s="9">
        <f t="shared" si="392"/>
        <v>58302.043111111088</v>
      </c>
      <c r="M2111" s="9">
        <f t="shared" si="391"/>
        <v>5.2184148148588403E-3</v>
      </c>
      <c r="N2111" s="9">
        <f t="shared" si="394"/>
        <v>8.2889405405977279E-3</v>
      </c>
    </row>
    <row r="2112" spans="1:14" x14ac:dyDescent="0.35">
      <c r="A2112" s="1">
        <v>45457</v>
      </c>
      <c r="B2112" s="2" t="s">
        <v>2111</v>
      </c>
      <c r="C2112">
        <f t="shared" si="383"/>
        <v>58170.44</v>
      </c>
      <c r="D2112">
        <f t="shared" si="384"/>
        <v>2024</v>
      </c>
      <c r="E2112">
        <f t="shared" si="385"/>
        <v>6</v>
      </c>
      <c r="F2112" t="str">
        <f t="shared" si="387"/>
        <v>June</v>
      </c>
      <c r="G2112">
        <f t="shared" si="386"/>
        <v>14</v>
      </c>
      <c r="H2112" s="7">
        <f t="shared" si="388"/>
        <v>0.23840258036545958</v>
      </c>
      <c r="I2112" s="9">
        <f t="shared" si="389"/>
        <v>2.3811885226775373E-3</v>
      </c>
      <c r="J2112" s="9">
        <f t="shared" si="390"/>
        <v>58725.160000000011</v>
      </c>
      <c r="K2112" s="9">
        <f t="shared" si="393"/>
        <v>59988.641999999985</v>
      </c>
      <c r="L2112" s="9">
        <f t="shared" si="392"/>
        <v>58307.838333333311</v>
      </c>
      <c r="M2112" s="9">
        <f t="shared" si="391"/>
        <v>5.3444459998726488E-3</v>
      </c>
      <c r="N2112" s="9">
        <f t="shared" si="394"/>
        <v>6.6788930314913651E-3</v>
      </c>
    </row>
    <row r="2113" spans="1:14" x14ac:dyDescent="0.35">
      <c r="A2113" s="1">
        <v>45461</v>
      </c>
      <c r="B2113" s="2" t="s">
        <v>2112</v>
      </c>
      <c r="C2113">
        <f t="shared" si="383"/>
        <v>57707.42</v>
      </c>
      <c r="D2113">
        <f t="shared" si="384"/>
        <v>2024</v>
      </c>
      <c r="E2113">
        <f t="shared" si="385"/>
        <v>6</v>
      </c>
      <c r="F2113" t="str">
        <f t="shared" si="387"/>
        <v>June</v>
      </c>
      <c r="G2113">
        <f t="shared" si="386"/>
        <v>18</v>
      </c>
      <c r="H2113" s="7">
        <f t="shared" si="388"/>
        <v>-0.79597128713484733</v>
      </c>
      <c r="I2113" s="9">
        <f t="shared" si="389"/>
        <v>-7.9915604970598568E-3</v>
      </c>
      <c r="J2113" s="9">
        <f t="shared" si="390"/>
        <v>58468.409999999996</v>
      </c>
      <c r="K2113" s="9">
        <f t="shared" si="393"/>
        <v>59936.943666666652</v>
      </c>
      <c r="L2113" s="9">
        <f t="shared" si="392"/>
        <v>58312.655444444426</v>
      </c>
      <c r="M2113" s="9">
        <f t="shared" si="391"/>
        <v>5.5765085055171177E-3</v>
      </c>
      <c r="N2113" s="9">
        <f t="shared" si="394"/>
        <v>6.5185304043470201E-3</v>
      </c>
    </row>
    <row r="2114" spans="1:14" x14ac:dyDescent="0.35">
      <c r="A2114" s="1">
        <v>45462</v>
      </c>
      <c r="B2114" s="2" t="s">
        <v>2113</v>
      </c>
      <c r="C2114">
        <f t="shared" si="383"/>
        <v>57412.76</v>
      </c>
      <c r="D2114">
        <f t="shared" si="384"/>
        <v>2024</v>
      </c>
      <c r="E2114">
        <f t="shared" si="385"/>
        <v>6</v>
      </c>
      <c r="F2114" t="str">
        <f t="shared" si="387"/>
        <v>June</v>
      </c>
      <c r="G2114">
        <f t="shared" si="386"/>
        <v>19</v>
      </c>
      <c r="H2114" s="7">
        <f t="shared" si="388"/>
        <v>-0.51061024734773486</v>
      </c>
      <c r="I2114" s="9">
        <f t="shared" si="389"/>
        <v>-5.1191831612656096E-3</v>
      </c>
      <c r="J2114" s="9">
        <f t="shared" si="390"/>
        <v>58248.391428571427</v>
      </c>
      <c r="K2114" s="9">
        <f t="shared" si="393"/>
        <v>59867.164999999994</v>
      </c>
      <c r="L2114" s="9">
        <f t="shared" si="392"/>
        <v>58301.125666666652</v>
      </c>
      <c r="M2114" s="9">
        <f t="shared" si="391"/>
        <v>5.1681719792305934E-3</v>
      </c>
      <c r="N2114" s="9">
        <f t="shared" si="394"/>
        <v>6.4906825944487595E-3</v>
      </c>
    </row>
    <row r="2115" spans="1:14" x14ac:dyDescent="0.35">
      <c r="A2115" s="1">
        <v>45463</v>
      </c>
      <c r="B2115" s="2" t="s">
        <v>2114</v>
      </c>
      <c r="C2115">
        <f t="shared" ref="C2115:C2178" si="395">_xlfn.NUMBERVALUE(B2115,".",",")</f>
        <v>57845.57</v>
      </c>
      <c r="D2115">
        <f t="shared" ref="D2115:D2178" si="396">YEAR(A2115)</f>
        <v>2024</v>
      </c>
      <c r="E2115">
        <f t="shared" ref="E2115:E2178" si="397">MONTH(A2115)</f>
        <v>6</v>
      </c>
      <c r="F2115" t="str">
        <f t="shared" si="387"/>
        <v>June</v>
      </c>
      <c r="G2115">
        <f t="shared" ref="G2115:G2178" si="398">DAY(A2115)</f>
        <v>20</v>
      </c>
      <c r="H2115" s="7">
        <f t="shared" si="388"/>
        <v>0.75385680813811717</v>
      </c>
      <c r="I2115" s="9">
        <f t="shared" si="389"/>
        <v>7.5102950800787311E-3</v>
      </c>
      <c r="J2115" s="9">
        <f t="shared" si="390"/>
        <v>58105.757142857139</v>
      </c>
      <c r="K2115" s="9">
        <f t="shared" si="393"/>
        <v>59810.476333333318</v>
      </c>
      <c r="L2115" s="9">
        <f t="shared" si="392"/>
        <v>58296.608444444435</v>
      </c>
      <c r="M2115" s="9">
        <f t="shared" si="391"/>
        <v>6.7270604265599028E-3</v>
      </c>
      <c r="N2115" s="9">
        <f t="shared" si="394"/>
        <v>6.675881863170266E-3</v>
      </c>
    </row>
    <row r="2116" spans="1:14" x14ac:dyDescent="0.35">
      <c r="A2116" s="1">
        <v>45464</v>
      </c>
      <c r="B2116" s="2" t="s">
        <v>2115</v>
      </c>
      <c r="C2116">
        <f t="shared" si="395"/>
        <v>57344.41</v>
      </c>
      <c r="D2116">
        <f t="shared" si="396"/>
        <v>2024</v>
      </c>
      <c r="E2116">
        <f t="shared" si="397"/>
        <v>6</v>
      </c>
      <c r="F2116" t="str">
        <f t="shared" ref="F2116:F2179" si="399">TEXT(A2116,"mmmm")</f>
        <v>June</v>
      </c>
      <c r="G2116">
        <f t="shared" si="398"/>
        <v>21</v>
      </c>
      <c r="H2116" s="7">
        <f t="shared" ref="H2116:H2179" si="400">((C2116-C2115)/C2115)*100</f>
        <v>-0.86637576568092622</v>
      </c>
      <c r="I2116" s="9">
        <f t="shared" ref="I2116:I2179" si="401">LN(C2116/C2115)</f>
        <v>-8.701506192766488E-3</v>
      </c>
      <c r="J2116" s="9">
        <f t="shared" si="390"/>
        <v>57897.782857142854</v>
      </c>
      <c r="K2116" s="9">
        <f t="shared" si="393"/>
        <v>59695.059999999983</v>
      </c>
      <c r="L2116" s="9">
        <f t="shared" si="392"/>
        <v>58295.401444444433</v>
      </c>
      <c r="M2116" s="9">
        <f t="shared" si="391"/>
        <v>7.0560880270835657E-3</v>
      </c>
      <c r="N2116" s="9">
        <f t="shared" si="394"/>
        <v>5.390506304632863E-3</v>
      </c>
    </row>
    <row r="2117" spans="1:14" x14ac:dyDescent="0.35">
      <c r="A2117" s="1">
        <v>45467</v>
      </c>
      <c r="B2117" s="2" t="s">
        <v>2116</v>
      </c>
      <c r="C2117">
        <f t="shared" si="395"/>
        <v>57523.62</v>
      </c>
      <c r="D2117">
        <f t="shared" si="396"/>
        <v>2024</v>
      </c>
      <c r="E2117">
        <f t="shared" si="397"/>
        <v>6</v>
      </c>
      <c r="F2117" t="str">
        <f t="shared" si="399"/>
        <v>June</v>
      </c>
      <c r="G2117">
        <f t="shared" si="398"/>
        <v>24</v>
      </c>
      <c r="H2117" s="7">
        <f t="shared" si="400"/>
        <v>0.31251520418467837</v>
      </c>
      <c r="I2117" s="9">
        <f t="shared" si="401"/>
        <v>3.1202789044282469E-3</v>
      </c>
      <c r="J2117" s="9">
        <f t="shared" si="390"/>
        <v>57719.472857142864</v>
      </c>
      <c r="K2117" s="9">
        <f t="shared" si="393"/>
        <v>59559.318666666659</v>
      </c>
      <c r="L2117" s="9">
        <f t="shared" si="392"/>
        <v>58301.361777777762</v>
      </c>
      <c r="M2117" s="9">
        <f t="shared" si="391"/>
        <v>7.4407949352980852E-3</v>
      </c>
      <c r="N2117" s="9">
        <f t="shared" si="394"/>
        <v>4.7155071476092641E-3</v>
      </c>
    </row>
    <row r="2118" spans="1:14" x14ac:dyDescent="0.35">
      <c r="A2118" s="1">
        <v>45468</v>
      </c>
      <c r="B2118" s="2" t="s">
        <v>2117</v>
      </c>
      <c r="C2118">
        <f t="shared" si="395"/>
        <v>57997.33</v>
      </c>
      <c r="D2118">
        <f t="shared" si="396"/>
        <v>2024</v>
      </c>
      <c r="E2118">
        <f t="shared" si="397"/>
        <v>6</v>
      </c>
      <c r="F2118" t="str">
        <f t="shared" si="399"/>
        <v>June</v>
      </c>
      <c r="G2118">
        <f t="shared" si="398"/>
        <v>25</v>
      </c>
      <c r="H2118" s="7">
        <f t="shared" si="400"/>
        <v>0.82350519664791455</v>
      </c>
      <c r="I2118" s="9">
        <f t="shared" si="401"/>
        <v>8.2013289401183832E-3</v>
      </c>
      <c r="J2118" s="9">
        <f t="shared" si="390"/>
        <v>57714.507142857139</v>
      </c>
      <c r="K2118" s="9">
        <f t="shared" si="393"/>
        <v>59436.404000000002</v>
      </c>
      <c r="L2118" s="9">
        <f t="shared" si="392"/>
        <v>58304.940888888872</v>
      </c>
      <c r="M2118" s="9">
        <f t="shared" si="391"/>
        <v>7.1275115905010391E-3</v>
      </c>
      <c r="N2118" s="9">
        <f t="shared" si="394"/>
        <v>5.0491480984657571E-3</v>
      </c>
    </row>
    <row r="2119" spans="1:14" x14ac:dyDescent="0.35">
      <c r="A2119" s="1">
        <v>45469</v>
      </c>
      <c r="B2119" s="2" t="s">
        <v>2118</v>
      </c>
      <c r="C2119">
        <f t="shared" si="395"/>
        <v>58012.31</v>
      </c>
      <c r="D2119">
        <f t="shared" si="396"/>
        <v>2024</v>
      </c>
      <c r="E2119">
        <f t="shared" si="397"/>
        <v>6</v>
      </c>
      <c r="F2119" t="str">
        <f t="shared" si="399"/>
        <v>June</v>
      </c>
      <c r="G2119">
        <f t="shared" si="398"/>
        <v>26</v>
      </c>
      <c r="H2119" s="7">
        <f t="shared" si="400"/>
        <v>2.5828775221197121E-2</v>
      </c>
      <c r="I2119" s="9">
        <f t="shared" si="401"/>
        <v>2.582544016730231E-4</v>
      </c>
      <c r="J2119" s="9">
        <f t="shared" si="390"/>
        <v>57691.91714285715</v>
      </c>
      <c r="K2119" s="9">
        <f t="shared" si="393"/>
        <v>59316.043333333342</v>
      </c>
      <c r="L2119" s="9">
        <f t="shared" si="392"/>
        <v>58308.638666666651</v>
      </c>
      <c r="M2119" s="9">
        <f t="shared" si="391"/>
        <v>7.0497979721508598E-3</v>
      </c>
      <c r="N2119" s="9">
        <f t="shared" si="394"/>
        <v>5.0634152871751083E-3</v>
      </c>
    </row>
    <row r="2120" spans="1:14" x14ac:dyDescent="0.35">
      <c r="A2120" s="1">
        <v>45470</v>
      </c>
      <c r="B2120" s="2" t="s">
        <v>2119</v>
      </c>
      <c r="C2120">
        <f t="shared" si="395"/>
        <v>58013.18</v>
      </c>
      <c r="D2120">
        <f t="shared" si="396"/>
        <v>2024</v>
      </c>
      <c r="E2120">
        <f t="shared" si="397"/>
        <v>6</v>
      </c>
      <c r="F2120" t="str">
        <f t="shared" si="399"/>
        <v>June</v>
      </c>
      <c r="G2120">
        <f t="shared" si="398"/>
        <v>27</v>
      </c>
      <c r="H2120" s="7">
        <f t="shared" si="400"/>
        <v>1.4996817054908165E-3</v>
      </c>
      <c r="I2120" s="9">
        <f t="shared" si="401"/>
        <v>1.4996704603720942E-5</v>
      </c>
      <c r="J2120" s="9">
        <f t="shared" si="390"/>
        <v>57735.597142857143</v>
      </c>
      <c r="K2120" s="9">
        <f t="shared" si="393"/>
        <v>59200.634666666672</v>
      </c>
      <c r="L2120" s="9">
        <f t="shared" si="392"/>
        <v>58313.432555555533</v>
      </c>
      <c r="M2120" s="9">
        <f t="shared" si="391"/>
        <v>6.2102370970674578E-3</v>
      </c>
      <c r="N2120" s="9">
        <f t="shared" si="394"/>
        <v>5.0762285800341816E-3</v>
      </c>
    </row>
    <row r="2121" spans="1:14" x14ac:dyDescent="0.35">
      <c r="A2121" s="1">
        <v>45471</v>
      </c>
      <c r="B2121" s="2" t="s">
        <v>2120</v>
      </c>
      <c r="C2121">
        <f t="shared" si="395"/>
        <v>58010.18</v>
      </c>
      <c r="D2121">
        <f t="shared" si="396"/>
        <v>2024</v>
      </c>
      <c r="E2121">
        <f t="shared" si="397"/>
        <v>6</v>
      </c>
      <c r="F2121" t="str">
        <f t="shared" si="399"/>
        <v>June</v>
      </c>
      <c r="G2121">
        <f t="shared" si="398"/>
        <v>28</v>
      </c>
      <c r="H2121" s="7">
        <f t="shared" si="400"/>
        <v>-5.171238673694495E-3</v>
      </c>
      <c r="I2121" s="9">
        <f t="shared" si="401"/>
        <v>-5.1713723868526051E-5</v>
      </c>
      <c r="J2121" s="9">
        <f t="shared" ref="J2121:J2184" si="402">AVERAGE(C2115:C2121)</f>
        <v>57820.942857142851</v>
      </c>
      <c r="K2121" s="9">
        <f t="shared" si="393"/>
        <v>59098.964666666674</v>
      </c>
      <c r="L2121" s="9">
        <f t="shared" si="392"/>
        <v>58318.80355555554</v>
      </c>
      <c r="M2121" s="9">
        <f t="shared" si="391"/>
        <v>5.6844721143379795E-3</v>
      </c>
      <c r="N2121" s="9">
        <f t="shared" si="394"/>
        <v>5.0028969649093067E-3</v>
      </c>
    </row>
    <row r="2122" spans="1:14" x14ac:dyDescent="0.35">
      <c r="A2122" s="1">
        <v>45474</v>
      </c>
      <c r="B2122" s="2" t="s">
        <v>2121</v>
      </c>
      <c r="C2122">
        <f t="shared" si="395"/>
        <v>58977.23</v>
      </c>
      <c r="D2122">
        <f t="shared" si="396"/>
        <v>2024</v>
      </c>
      <c r="E2122">
        <f t="shared" si="397"/>
        <v>7</v>
      </c>
      <c r="F2122" t="str">
        <f t="shared" si="399"/>
        <v>July</v>
      </c>
      <c r="G2122">
        <f t="shared" si="398"/>
        <v>1</v>
      </c>
      <c r="H2122" s="7">
        <f t="shared" si="400"/>
        <v>1.6670349928236783</v>
      </c>
      <c r="I2122" s="9">
        <f t="shared" si="401"/>
        <v>1.6532924824880862E-2</v>
      </c>
      <c r="J2122" s="9">
        <f t="shared" si="402"/>
        <v>57982.608571428565</v>
      </c>
      <c r="K2122" s="9">
        <f t="shared" si="393"/>
        <v>59034.442999999999</v>
      </c>
      <c r="L2122" s="9">
        <f t="shared" si="392"/>
        <v>58332.847333333324</v>
      </c>
      <c r="M2122" s="9">
        <f t="shared" ref="M2122:M2185" si="403">STDEV(I2116:I2122)</f>
        <v>7.8792610360075149E-3</v>
      </c>
      <c r="N2122" s="9">
        <f t="shared" si="394"/>
        <v>6.0060403396485582E-3</v>
      </c>
    </row>
    <row r="2123" spans="1:14" x14ac:dyDescent="0.35">
      <c r="A2123" s="1">
        <v>45475</v>
      </c>
      <c r="B2123" s="2" t="s">
        <v>2122</v>
      </c>
      <c r="C2123">
        <f t="shared" si="395"/>
        <v>59607.34</v>
      </c>
      <c r="D2123">
        <f t="shared" si="396"/>
        <v>2024</v>
      </c>
      <c r="E2123">
        <f t="shared" si="397"/>
        <v>7</v>
      </c>
      <c r="F2123" t="str">
        <f t="shared" si="399"/>
        <v>July</v>
      </c>
      <c r="G2123">
        <f t="shared" si="398"/>
        <v>2</v>
      </c>
      <c r="H2123" s="7">
        <f t="shared" si="400"/>
        <v>1.068395379030167</v>
      </c>
      <c r="I2123" s="9">
        <f t="shared" si="401"/>
        <v>1.062728363951356E-2</v>
      </c>
      <c r="J2123" s="9">
        <f t="shared" si="402"/>
        <v>58305.884285714281</v>
      </c>
      <c r="K2123" s="9">
        <f t="shared" si="393"/>
        <v>58990.60266666668</v>
      </c>
      <c r="L2123" s="9">
        <f t="shared" si="392"/>
        <v>58363.742888888883</v>
      </c>
      <c r="M2123" s="9">
        <f t="shared" si="403"/>
        <v>6.4465946314680393E-3</v>
      </c>
      <c r="N2123" s="9">
        <f t="shared" si="394"/>
        <v>6.3731699712156736E-3</v>
      </c>
    </row>
    <row r="2124" spans="1:14" x14ac:dyDescent="0.35">
      <c r="A2124" s="1">
        <v>45476</v>
      </c>
      <c r="B2124" s="2" t="s">
        <v>2123</v>
      </c>
      <c r="C2124">
        <f t="shared" si="395"/>
        <v>59449.38</v>
      </c>
      <c r="D2124">
        <f t="shared" si="396"/>
        <v>2024</v>
      </c>
      <c r="E2124">
        <f t="shared" si="397"/>
        <v>7</v>
      </c>
      <c r="F2124" t="str">
        <f t="shared" si="399"/>
        <v>July</v>
      </c>
      <c r="G2124">
        <f t="shared" si="398"/>
        <v>3</v>
      </c>
      <c r="H2124" s="7">
        <f t="shared" si="400"/>
        <v>-0.26500092102750961</v>
      </c>
      <c r="I2124" s="9">
        <f t="shared" si="401"/>
        <v>-2.6535267003106669E-3</v>
      </c>
      <c r="J2124" s="9">
        <f t="shared" si="402"/>
        <v>58580.992857142854</v>
      </c>
      <c r="K2124" s="9">
        <f t="shared" si="393"/>
        <v>58941.433333333334</v>
      </c>
      <c r="L2124" s="9">
        <f t="shared" si="392"/>
        <v>58393.919666666661</v>
      </c>
      <c r="M2124" s="9">
        <f t="shared" si="403"/>
        <v>7.1384111089033732E-3</v>
      </c>
      <c r="N2124" s="9">
        <f t="shared" si="394"/>
        <v>6.3809929715666382E-3</v>
      </c>
    </row>
    <row r="2125" spans="1:14" x14ac:dyDescent="0.35">
      <c r="A2125" s="1">
        <v>45477</v>
      </c>
      <c r="B2125" s="2" t="s">
        <v>2124</v>
      </c>
      <c r="C2125">
        <f t="shared" si="395"/>
        <v>59772.83</v>
      </c>
      <c r="D2125">
        <f t="shared" si="396"/>
        <v>2024</v>
      </c>
      <c r="E2125">
        <f t="shared" si="397"/>
        <v>7</v>
      </c>
      <c r="F2125" t="str">
        <f t="shared" si="399"/>
        <v>July</v>
      </c>
      <c r="G2125">
        <f t="shared" si="398"/>
        <v>4</v>
      </c>
      <c r="H2125" s="7">
        <f t="shared" si="400"/>
        <v>0.54407632173792964</v>
      </c>
      <c r="I2125" s="9">
        <f t="shared" si="401"/>
        <v>5.4260157327172742E-3</v>
      </c>
      <c r="J2125" s="9">
        <f t="shared" si="402"/>
        <v>58834.635714285716</v>
      </c>
      <c r="K2125" s="9">
        <f t="shared" si="393"/>
        <v>58912.207666666676</v>
      </c>
      <c r="L2125" s="9">
        <f t="shared" si="392"/>
        <v>58429.582555555549</v>
      </c>
      <c r="M2125" s="9">
        <f t="shared" si="403"/>
        <v>6.9872785102976041E-3</v>
      </c>
      <c r="N2125" s="9">
        <f t="shared" si="394"/>
        <v>6.4400328540414288E-3</v>
      </c>
    </row>
    <row r="2126" spans="1:14" x14ac:dyDescent="0.35">
      <c r="A2126" s="1">
        <v>45478</v>
      </c>
      <c r="B2126" s="2" t="s">
        <v>2125</v>
      </c>
      <c r="C2126">
        <f t="shared" si="395"/>
        <v>60418.39</v>
      </c>
      <c r="D2126">
        <f t="shared" si="396"/>
        <v>2024</v>
      </c>
      <c r="E2126">
        <f t="shared" si="397"/>
        <v>7</v>
      </c>
      <c r="F2126" t="str">
        <f t="shared" si="399"/>
        <v>July</v>
      </c>
      <c r="G2126">
        <f t="shared" si="398"/>
        <v>5</v>
      </c>
      <c r="H2126" s="7">
        <f t="shared" si="400"/>
        <v>1.0800224784404515</v>
      </c>
      <c r="I2126" s="9">
        <f t="shared" si="401"/>
        <v>1.0742318914549093E-2</v>
      </c>
      <c r="J2126" s="9">
        <f t="shared" si="402"/>
        <v>59178.361428571436</v>
      </c>
      <c r="K2126" s="9">
        <f t="shared" si="393"/>
        <v>58918.122000000003</v>
      </c>
      <c r="L2126" s="9">
        <f t="shared" si="392"/>
        <v>58473.331555555553</v>
      </c>
      <c r="M2126" s="9">
        <f t="shared" si="403"/>
        <v>7.0973638753625079E-3</v>
      </c>
      <c r="N2126" s="9">
        <f t="shared" si="394"/>
        <v>6.6416121892158954E-3</v>
      </c>
    </row>
    <row r="2127" spans="1:14" x14ac:dyDescent="0.35">
      <c r="A2127" s="1">
        <v>45481</v>
      </c>
      <c r="B2127" s="2" t="s">
        <v>2126</v>
      </c>
      <c r="C2127">
        <f t="shared" si="395"/>
        <v>60082.79</v>
      </c>
      <c r="D2127">
        <f t="shared" si="396"/>
        <v>2024</v>
      </c>
      <c r="E2127">
        <f t="shared" si="397"/>
        <v>7</v>
      </c>
      <c r="F2127" t="str">
        <f t="shared" si="399"/>
        <v>July</v>
      </c>
      <c r="G2127">
        <f t="shared" si="398"/>
        <v>8</v>
      </c>
      <c r="H2127" s="7">
        <f t="shared" si="400"/>
        <v>-0.55546001805079304</v>
      </c>
      <c r="I2127" s="9">
        <f t="shared" si="401"/>
        <v>-5.5700843375784464E-3</v>
      </c>
      <c r="J2127" s="9">
        <f t="shared" si="402"/>
        <v>59474.020000000004</v>
      </c>
      <c r="K2127" s="9">
        <f t="shared" si="393"/>
        <v>58918.110666666667</v>
      </c>
      <c r="L2127" s="9">
        <f t="shared" si="392"/>
        <v>58516.806222222214</v>
      </c>
      <c r="M2127" s="9">
        <f t="shared" si="403"/>
        <v>8.0999274986636501E-3</v>
      </c>
      <c r="N2127" s="9">
        <f t="shared" si="394"/>
        <v>6.7047363722170039E-3</v>
      </c>
    </row>
    <row r="2128" spans="1:14" x14ac:dyDescent="0.35">
      <c r="A2128" s="1">
        <v>45482</v>
      </c>
      <c r="B2128" s="2" t="s">
        <v>2127</v>
      </c>
      <c r="C2128">
        <f t="shared" si="395"/>
        <v>60157.56</v>
      </c>
      <c r="D2128">
        <f t="shared" si="396"/>
        <v>2024</v>
      </c>
      <c r="E2128">
        <f t="shared" si="397"/>
        <v>7</v>
      </c>
      <c r="F2128" t="str">
        <f t="shared" si="399"/>
        <v>July</v>
      </c>
      <c r="G2128">
        <f t="shared" si="398"/>
        <v>9</v>
      </c>
      <c r="H2128" s="7">
        <f t="shared" si="400"/>
        <v>0.12444495337183377</v>
      </c>
      <c r="I2128" s="9">
        <f t="shared" si="401"/>
        <v>1.243675848205816E-3</v>
      </c>
      <c r="J2128" s="9">
        <f t="shared" si="402"/>
        <v>59780.788571428573</v>
      </c>
      <c r="K2128" s="9">
        <f t="shared" si="393"/>
        <v>58936.49533333334</v>
      </c>
      <c r="L2128" s="9">
        <f t="shared" si="392"/>
        <v>58554.698666666656</v>
      </c>
      <c r="M2128" s="9">
        <f t="shared" si="403"/>
        <v>7.9789691962759788E-3</v>
      </c>
      <c r="N2128" s="9">
        <f t="shared" si="394"/>
        <v>6.5358663895940042E-3</v>
      </c>
    </row>
    <row r="2129" spans="1:14" x14ac:dyDescent="0.35">
      <c r="A2129" s="1">
        <v>45483</v>
      </c>
      <c r="B2129" s="2" t="s">
        <v>2128</v>
      </c>
      <c r="C2129">
        <f t="shared" si="395"/>
        <v>60323.95</v>
      </c>
      <c r="D2129">
        <f t="shared" si="396"/>
        <v>2024</v>
      </c>
      <c r="E2129">
        <f t="shared" si="397"/>
        <v>7</v>
      </c>
      <c r="F2129" t="str">
        <f t="shared" si="399"/>
        <v>July</v>
      </c>
      <c r="G2129">
        <f t="shared" si="398"/>
        <v>10</v>
      </c>
      <c r="H2129" s="7">
        <f t="shared" si="400"/>
        <v>0.27659034043268943</v>
      </c>
      <c r="I2129" s="9">
        <f t="shared" si="401"/>
        <v>2.7620853321646309E-3</v>
      </c>
      <c r="J2129" s="9">
        <f t="shared" si="402"/>
        <v>59973.177142857145</v>
      </c>
      <c r="K2129" s="9">
        <f t="shared" si="393"/>
        <v>58947.972666666661</v>
      </c>
      <c r="L2129" s="9">
        <f t="shared" si="392"/>
        <v>58601.725222222216</v>
      </c>
      <c r="M2129" s="9">
        <f t="shared" si="403"/>
        <v>6.220917348740914E-3</v>
      </c>
      <c r="N2129" s="9">
        <f t="shared" si="394"/>
        <v>6.4571018763381911E-3</v>
      </c>
    </row>
    <row r="2130" spans="1:14" x14ac:dyDescent="0.35">
      <c r="A2130" s="1">
        <v>45484</v>
      </c>
      <c r="B2130" s="2" t="s">
        <v>2129</v>
      </c>
      <c r="C2130">
        <f t="shared" si="395"/>
        <v>60298.16</v>
      </c>
      <c r="D2130">
        <f t="shared" si="396"/>
        <v>2024</v>
      </c>
      <c r="E2130">
        <f t="shared" si="397"/>
        <v>7</v>
      </c>
      <c r="F2130" t="str">
        <f t="shared" si="399"/>
        <v>July</v>
      </c>
      <c r="G2130">
        <f t="shared" si="398"/>
        <v>11</v>
      </c>
      <c r="H2130" s="7">
        <f t="shared" si="400"/>
        <v>-4.275250543108268E-2</v>
      </c>
      <c r="I2130" s="9">
        <f t="shared" si="401"/>
        <v>-4.2761646920260452E-4</v>
      </c>
      <c r="J2130" s="9">
        <f t="shared" si="402"/>
        <v>60071.865714285705</v>
      </c>
      <c r="K2130" s="9">
        <f t="shared" si="393"/>
        <v>58954.123</v>
      </c>
      <c r="L2130" s="9">
        <f t="shared" si="392"/>
        <v>58650.829111111103</v>
      </c>
      <c r="M2130" s="9">
        <f t="shared" si="403"/>
        <v>5.3742710528022573E-3</v>
      </c>
      <c r="N2130" s="9">
        <f t="shared" si="394"/>
        <v>6.4463602490361788E-3</v>
      </c>
    </row>
    <row r="2131" spans="1:14" x14ac:dyDescent="0.35">
      <c r="A2131" s="1">
        <v>45485</v>
      </c>
      <c r="B2131" s="2" t="s">
        <v>2130</v>
      </c>
      <c r="C2131">
        <f t="shared" si="395"/>
        <v>60751.18</v>
      </c>
      <c r="D2131">
        <f t="shared" si="396"/>
        <v>2024</v>
      </c>
      <c r="E2131">
        <f t="shared" si="397"/>
        <v>7</v>
      </c>
      <c r="F2131" t="str">
        <f t="shared" si="399"/>
        <v>July</v>
      </c>
      <c r="G2131">
        <f t="shared" si="398"/>
        <v>12</v>
      </c>
      <c r="H2131" s="7">
        <f t="shared" si="400"/>
        <v>0.75129987382699037</v>
      </c>
      <c r="I2131" s="9">
        <f t="shared" si="401"/>
        <v>7.4849167289400623E-3</v>
      </c>
      <c r="J2131" s="9">
        <f t="shared" si="402"/>
        <v>60257.837142857148</v>
      </c>
      <c r="K2131" s="9">
        <f t="shared" si="393"/>
        <v>58977.88266666665</v>
      </c>
      <c r="L2131" s="9">
        <f t="shared" si="392"/>
        <v>58706.273888888885</v>
      </c>
      <c r="M2131" s="9">
        <f t="shared" si="403"/>
        <v>5.3885253784969143E-3</v>
      </c>
      <c r="N2131" s="9">
        <f t="shared" si="394"/>
        <v>6.5790570902101242E-3</v>
      </c>
    </row>
    <row r="2132" spans="1:14" x14ac:dyDescent="0.35">
      <c r="A2132" s="1">
        <v>45488</v>
      </c>
      <c r="B2132" s="2" t="s">
        <v>2131</v>
      </c>
      <c r="C2132">
        <f t="shared" si="395"/>
        <v>61211.519999999997</v>
      </c>
      <c r="D2132">
        <f t="shared" si="396"/>
        <v>2024</v>
      </c>
      <c r="E2132">
        <f t="shared" si="397"/>
        <v>7</v>
      </c>
      <c r="F2132" t="str">
        <f t="shared" si="399"/>
        <v>July</v>
      </c>
      <c r="G2132">
        <f t="shared" si="398"/>
        <v>15</v>
      </c>
      <c r="H2132" s="7">
        <f t="shared" si="400"/>
        <v>0.75774659850227855</v>
      </c>
      <c r="I2132" s="9">
        <f t="shared" si="401"/>
        <v>7.5489011980281583E-3</v>
      </c>
      <c r="J2132" s="9">
        <f t="shared" si="402"/>
        <v>60463.364285714284</v>
      </c>
      <c r="K2132" s="9">
        <f t="shared" si="393"/>
        <v>59027.693333333322</v>
      </c>
      <c r="L2132" s="9">
        <f t="shared" si="392"/>
        <v>58779.705444444429</v>
      </c>
      <c r="M2132" s="9">
        <f t="shared" si="403"/>
        <v>5.5973098751471786E-3</v>
      </c>
      <c r="N2132" s="9">
        <f t="shared" si="394"/>
        <v>6.6117180382537352E-3</v>
      </c>
    </row>
    <row r="2133" spans="1:14" x14ac:dyDescent="0.35">
      <c r="A2133" s="1">
        <v>45489</v>
      </c>
      <c r="B2133" s="2" t="s">
        <v>2132</v>
      </c>
      <c r="C2133">
        <f t="shared" si="395"/>
        <v>60500.61</v>
      </c>
      <c r="D2133">
        <f t="shared" si="396"/>
        <v>2024</v>
      </c>
      <c r="E2133">
        <f t="shared" si="397"/>
        <v>7</v>
      </c>
      <c r="F2133" t="str">
        <f t="shared" si="399"/>
        <v>July</v>
      </c>
      <c r="G2133">
        <f t="shared" si="398"/>
        <v>16</v>
      </c>
      <c r="H2133" s="7">
        <f t="shared" si="400"/>
        <v>-1.1613990307706723</v>
      </c>
      <c r="I2133" s="9">
        <f t="shared" si="401"/>
        <v>-1.168195946776354E-2</v>
      </c>
      <c r="J2133" s="9">
        <f t="shared" si="402"/>
        <v>60475.11</v>
      </c>
      <c r="K2133" s="9">
        <f t="shared" si="393"/>
        <v>59061.821333333333</v>
      </c>
      <c r="L2133" s="9">
        <f t="shared" si="392"/>
        <v>58842.325666666649</v>
      </c>
      <c r="M2133" s="9">
        <f t="shared" si="403"/>
        <v>6.9474024891820162E-3</v>
      </c>
      <c r="N2133" s="9">
        <f t="shared" si="394"/>
        <v>6.9445436903291698E-3</v>
      </c>
    </row>
    <row r="2134" spans="1:14" x14ac:dyDescent="0.35">
      <c r="A2134" s="1">
        <v>45490</v>
      </c>
      <c r="B2134" s="2" t="s">
        <v>2133</v>
      </c>
      <c r="C2134">
        <f t="shared" si="395"/>
        <v>60128.41</v>
      </c>
      <c r="D2134">
        <f t="shared" si="396"/>
        <v>2024</v>
      </c>
      <c r="E2134">
        <f t="shared" si="397"/>
        <v>7</v>
      </c>
      <c r="F2134" t="str">
        <f t="shared" si="399"/>
        <v>July</v>
      </c>
      <c r="G2134">
        <f t="shared" si="398"/>
        <v>17</v>
      </c>
      <c r="H2134" s="7">
        <f t="shared" si="400"/>
        <v>-0.61520040872314696</v>
      </c>
      <c r="I2134" s="9">
        <f t="shared" si="401"/>
        <v>-6.1710056361987276E-3</v>
      </c>
      <c r="J2134" s="9">
        <f t="shared" si="402"/>
        <v>60481.627142857142</v>
      </c>
      <c r="K2134" s="9">
        <f t="shared" si="393"/>
        <v>59078.447</v>
      </c>
      <c r="L2134" s="9">
        <f t="shared" si="392"/>
        <v>58894.035555555529</v>
      </c>
      <c r="M2134" s="9">
        <f t="shared" si="403"/>
        <v>7.0336782624331072E-3</v>
      </c>
      <c r="N2134" s="9">
        <f t="shared" si="394"/>
        <v>7.0404333621782731E-3</v>
      </c>
    </row>
    <row r="2135" spans="1:14" x14ac:dyDescent="0.35">
      <c r="A2135" s="1">
        <v>45491</v>
      </c>
      <c r="B2135" s="2" t="s">
        <v>2134</v>
      </c>
      <c r="C2135">
        <f t="shared" si="395"/>
        <v>59549.22</v>
      </c>
      <c r="D2135">
        <f t="shared" si="396"/>
        <v>2024</v>
      </c>
      <c r="E2135">
        <f t="shared" si="397"/>
        <v>7</v>
      </c>
      <c r="F2135" t="str">
        <f t="shared" si="399"/>
        <v>July</v>
      </c>
      <c r="G2135">
        <f t="shared" si="398"/>
        <v>18</v>
      </c>
      <c r="H2135" s="7">
        <f t="shared" si="400"/>
        <v>-0.96325514012428115</v>
      </c>
      <c r="I2135" s="9">
        <f t="shared" si="401"/>
        <v>-9.679244515645051E-3</v>
      </c>
      <c r="J2135" s="9">
        <f t="shared" si="402"/>
        <v>60394.721428571422</v>
      </c>
      <c r="K2135" s="9">
        <f t="shared" si="393"/>
        <v>59072.382333333335</v>
      </c>
      <c r="L2135" s="9">
        <f t="shared" si="392"/>
        <v>58947.204999999973</v>
      </c>
      <c r="M2135" s="9">
        <f t="shared" si="403"/>
        <v>7.8983248965369089E-3</v>
      </c>
      <c r="N2135" s="9">
        <f t="shared" si="394"/>
        <v>7.2641303261812892E-3</v>
      </c>
    </row>
    <row r="2136" spans="1:14" x14ac:dyDescent="0.35">
      <c r="A2136" s="1">
        <v>45492</v>
      </c>
      <c r="B2136" s="2" t="s">
        <v>2135</v>
      </c>
      <c r="C2136">
        <f t="shared" si="395"/>
        <v>59185.21</v>
      </c>
      <c r="D2136">
        <f t="shared" si="396"/>
        <v>2024</v>
      </c>
      <c r="E2136">
        <f t="shared" si="397"/>
        <v>7</v>
      </c>
      <c r="F2136" t="str">
        <f t="shared" si="399"/>
        <v>July</v>
      </c>
      <c r="G2136">
        <f t="shared" si="398"/>
        <v>19</v>
      </c>
      <c r="H2136" s="7">
        <f t="shared" si="400"/>
        <v>-0.61127584878526042</v>
      </c>
      <c r="I2136" s="9">
        <f t="shared" si="401"/>
        <v>-6.1315178828550915E-3</v>
      </c>
      <c r="J2136" s="9">
        <f t="shared" si="402"/>
        <v>60232.044285714284</v>
      </c>
      <c r="K2136" s="9">
        <f t="shared" si="393"/>
        <v>59061.73366666666</v>
      </c>
      <c r="L2136" s="9">
        <f t="shared" si="392"/>
        <v>58982.031888888858</v>
      </c>
      <c r="M2136" s="9">
        <f t="shared" si="403"/>
        <v>7.8224179076112552E-3</v>
      </c>
      <c r="N2136" s="9">
        <f t="shared" si="394"/>
        <v>7.3173559658868785E-3</v>
      </c>
    </row>
    <row r="2137" spans="1:14" x14ac:dyDescent="0.35">
      <c r="A2137" s="1">
        <v>45495</v>
      </c>
      <c r="B2137" s="2" t="s">
        <v>2136</v>
      </c>
      <c r="C2137">
        <f t="shared" si="395"/>
        <v>59518.9</v>
      </c>
      <c r="D2137">
        <f t="shared" si="396"/>
        <v>2024</v>
      </c>
      <c r="E2137">
        <f t="shared" si="397"/>
        <v>7</v>
      </c>
      <c r="F2137" t="str">
        <f t="shared" si="399"/>
        <v>July</v>
      </c>
      <c r="G2137">
        <f t="shared" si="398"/>
        <v>22</v>
      </c>
      <c r="H2137" s="7">
        <f t="shared" si="400"/>
        <v>0.56380639690220302</v>
      </c>
      <c r="I2137" s="9">
        <f t="shared" si="401"/>
        <v>5.6222295753660615E-3</v>
      </c>
      <c r="J2137" s="9">
        <f t="shared" si="402"/>
        <v>60120.721428571436</v>
      </c>
      <c r="K2137" s="9">
        <f t="shared" si="393"/>
        <v>59080.600666666658</v>
      </c>
      <c r="L2137" s="9">
        <f t="shared" si="392"/>
        <v>59019.170444444419</v>
      </c>
      <c r="M2137" s="9">
        <f t="shared" si="403"/>
        <v>8.4289257457191777E-3</v>
      </c>
      <c r="N2137" s="9">
        <f t="shared" si="394"/>
        <v>7.181174217200945E-3</v>
      </c>
    </row>
    <row r="2138" spans="1:14" x14ac:dyDescent="0.35">
      <c r="A2138" s="1">
        <v>45496</v>
      </c>
      <c r="B2138" s="2" t="s">
        <v>2137</v>
      </c>
      <c r="C2138">
        <f t="shared" si="395"/>
        <v>59821.49</v>
      </c>
      <c r="D2138">
        <f t="shared" si="396"/>
        <v>2024</v>
      </c>
      <c r="E2138">
        <f t="shared" si="397"/>
        <v>7</v>
      </c>
      <c r="F2138" t="str">
        <f t="shared" si="399"/>
        <v>July</v>
      </c>
      <c r="G2138">
        <f t="shared" si="398"/>
        <v>23</v>
      </c>
      <c r="H2138" s="7">
        <f t="shared" si="400"/>
        <v>0.50839313226554339</v>
      </c>
      <c r="I2138" s="9">
        <f t="shared" si="401"/>
        <v>5.0710517778456326E-3</v>
      </c>
      <c r="J2138" s="9">
        <f t="shared" si="402"/>
        <v>59987.908571428576</v>
      </c>
      <c r="K2138" s="9">
        <f t="shared" si="393"/>
        <v>59113.183333333327</v>
      </c>
      <c r="L2138" s="9">
        <f t="shared" si="392"/>
        <v>59057.124333333326</v>
      </c>
      <c r="M2138" s="9">
        <f t="shared" si="403"/>
        <v>8.0225603793476815E-3</v>
      </c>
      <c r="N2138" s="9">
        <f t="shared" si="394"/>
        <v>7.2201892608194894E-3</v>
      </c>
    </row>
    <row r="2139" spans="1:14" x14ac:dyDescent="0.35">
      <c r="A2139" s="1">
        <v>45497</v>
      </c>
      <c r="B2139" s="2" t="s">
        <v>2138</v>
      </c>
      <c r="C2139">
        <f t="shared" si="395"/>
        <v>59776.12</v>
      </c>
      <c r="D2139">
        <f t="shared" si="396"/>
        <v>2024</v>
      </c>
      <c r="E2139">
        <f t="shared" si="397"/>
        <v>7</v>
      </c>
      <c r="F2139" t="str">
        <f t="shared" si="399"/>
        <v>July</v>
      </c>
      <c r="G2139">
        <f t="shared" si="398"/>
        <v>24</v>
      </c>
      <c r="H2139" s="7">
        <f t="shared" si="400"/>
        <v>-7.5842310179828926E-2</v>
      </c>
      <c r="I2139" s="9">
        <f t="shared" si="401"/>
        <v>-7.5871085009814184E-4</v>
      </c>
      <c r="J2139" s="9">
        <f t="shared" si="402"/>
        <v>59782.851428571426</v>
      </c>
      <c r="K2139" s="9">
        <f t="shared" si="393"/>
        <v>59145.712999999996</v>
      </c>
      <c r="L2139" s="9">
        <f t="shared" si="392"/>
        <v>59085.474555555556</v>
      </c>
      <c r="M2139" s="9">
        <f t="shared" si="403"/>
        <v>6.871371316781746E-3</v>
      </c>
      <c r="N2139" s="9">
        <f t="shared" si="394"/>
        <v>7.2202788983102397E-3</v>
      </c>
    </row>
    <row r="2140" spans="1:14" x14ac:dyDescent="0.35">
      <c r="A2140" s="1">
        <v>45498</v>
      </c>
      <c r="B2140" s="2" t="s">
        <v>2139</v>
      </c>
      <c r="C2140">
        <f t="shared" si="395"/>
        <v>59862.11</v>
      </c>
      <c r="D2140">
        <f t="shared" si="396"/>
        <v>2024</v>
      </c>
      <c r="E2140">
        <f t="shared" si="397"/>
        <v>7</v>
      </c>
      <c r="F2140" t="str">
        <f t="shared" si="399"/>
        <v>July</v>
      </c>
      <c r="G2140">
        <f t="shared" si="398"/>
        <v>25</v>
      </c>
      <c r="H2140" s="7">
        <f t="shared" si="400"/>
        <v>0.14385343177174759</v>
      </c>
      <c r="I2140" s="9">
        <f t="shared" si="401"/>
        <v>1.4375006184483292E-3</v>
      </c>
      <c r="J2140" s="9">
        <f t="shared" si="402"/>
        <v>59691.637142857136</v>
      </c>
      <c r="K2140" s="9">
        <f t="shared" si="393"/>
        <v>59182.057000000001</v>
      </c>
      <c r="L2140" s="9">
        <f t="shared" ref="L2140:L2203" si="404">AVERAGE(C2051:C2140)</f>
        <v>59102.955000000002</v>
      </c>
      <c r="M2140" s="9">
        <f t="shared" si="403"/>
        <v>5.9616953463877166E-3</v>
      </c>
      <c r="N2140" s="9">
        <f t="shared" si="394"/>
        <v>7.2193259515338434E-3</v>
      </c>
    </row>
    <row r="2141" spans="1:14" x14ac:dyDescent="0.35">
      <c r="A2141" s="1">
        <v>45499</v>
      </c>
      <c r="B2141" s="2" t="s">
        <v>2140</v>
      </c>
      <c r="C2141">
        <f t="shared" si="395"/>
        <v>60078.03</v>
      </c>
      <c r="D2141">
        <f t="shared" si="396"/>
        <v>2024</v>
      </c>
      <c r="E2141">
        <f t="shared" si="397"/>
        <v>7</v>
      </c>
      <c r="F2141" t="str">
        <f t="shared" si="399"/>
        <v>July</v>
      </c>
      <c r="G2141">
        <f t="shared" si="398"/>
        <v>26</v>
      </c>
      <c r="H2141" s="7">
        <f t="shared" si="400"/>
        <v>0.36069560528353956</v>
      </c>
      <c r="I2141" s="9">
        <f t="shared" si="401"/>
        <v>3.6004665869824037E-3</v>
      </c>
      <c r="J2141" s="9">
        <f t="shared" si="402"/>
        <v>59684.439999999995</v>
      </c>
      <c r="K2141" s="9">
        <f t="shared" si="393"/>
        <v>59250.254999999997</v>
      </c>
      <c r="L2141" s="9">
        <f t="shared" si="404"/>
        <v>59125.061777777781</v>
      </c>
      <c r="M2141" s="9">
        <f t="shared" si="403"/>
        <v>5.8325716587020399E-3</v>
      </c>
      <c r="N2141" s="9">
        <f t="shared" si="394"/>
        <v>6.7854503420675958E-3</v>
      </c>
    </row>
    <row r="2142" spans="1:14" x14ac:dyDescent="0.35">
      <c r="A2142" s="1">
        <v>45502</v>
      </c>
      <c r="B2142" s="2" t="s">
        <v>2141</v>
      </c>
      <c r="C2142">
        <f t="shared" si="395"/>
        <v>60182.6</v>
      </c>
      <c r="D2142">
        <f t="shared" si="396"/>
        <v>2024</v>
      </c>
      <c r="E2142">
        <f t="shared" si="397"/>
        <v>7</v>
      </c>
      <c r="F2142" t="str">
        <f t="shared" si="399"/>
        <v>July</v>
      </c>
      <c r="G2142">
        <f t="shared" si="398"/>
        <v>29</v>
      </c>
      <c r="H2142" s="7">
        <f t="shared" si="400"/>
        <v>0.17405697224093353</v>
      </c>
      <c r="I2142" s="9">
        <f t="shared" si="401"/>
        <v>1.7390566863720938E-3</v>
      </c>
      <c r="J2142" s="9">
        <f t="shared" si="402"/>
        <v>59774.922857142854</v>
      </c>
      <c r="K2142" s="9">
        <f t="shared" si="393"/>
        <v>59317.327000000005</v>
      </c>
      <c r="L2142" s="9">
        <f t="shared" si="404"/>
        <v>59148.190444444437</v>
      </c>
      <c r="M2142" s="9">
        <f t="shared" si="403"/>
        <v>4.032350958030782E-3</v>
      </c>
      <c r="N2142" s="9">
        <f t="shared" si="394"/>
        <v>6.7824609292462448E-3</v>
      </c>
    </row>
    <row r="2143" spans="1:14" x14ac:dyDescent="0.35">
      <c r="A2143" s="1">
        <v>45503</v>
      </c>
      <c r="B2143" s="2" t="s">
        <v>2142</v>
      </c>
      <c r="C2143">
        <f t="shared" si="395"/>
        <v>59975.67</v>
      </c>
      <c r="D2143">
        <f t="shared" si="396"/>
        <v>2024</v>
      </c>
      <c r="E2143">
        <f t="shared" si="397"/>
        <v>7</v>
      </c>
      <c r="F2143" t="str">
        <f t="shared" si="399"/>
        <v>July</v>
      </c>
      <c r="G2143">
        <f t="shared" si="398"/>
        <v>30</v>
      </c>
      <c r="H2143" s="7">
        <f t="shared" si="400"/>
        <v>-0.3438369229644454</v>
      </c>
      <c r="I2143" s="9">
        <f t="shared" si="401"/>
        <v>-3.4442940060686556E-3</v>
      </c>
      <c r="J2143" s="9">
        <f t="shared" si="402"/>
        <v>59887.845714285715</v>
      </c>
      <c r="K2143" s="9">
        <f t="shared" si="393"/>
        <v>59392.935333333335</v>
      </c>
      <c r="L2143" s="9">
        <f t="shared" si="404"/>
        <v>59167.878222222222</v>
      </c>
      <c r="M2143" s="9">
        <f t="shared" si="403"/>
        <v>3.2319247744633057E-3</v>
      </c>
      <c r="N2143" s="9">
        <f t="shared" si="394"/>
        <v>6.6203746047169918E-3</v>
      </c>
    </row>
    <row r="2144" spans="1:14" x14ac:dyDescent="0.35">
      <c r="A2144" s="1">
        <v>45504</v>
      </c>
      <c r="B2144" s="2" t="s">
        <v>2143</v>
      </c>
      <c r="C2144">
        <f t="shared" si="395"/>
        <v>59638.21</v>
      </c>
      <c r="D2144">
        <f t="shared" si="396"/>
        <v>2024</v>
      </c>
      <c r="E2144">
        <f t="shared" si="397"/>
        <v>7</v>
      </c>
      <c r="F2144" t="str">
        <f t="shared" si="399"/>
        <v>July</v>
      </c>
      <c r="G2144">
        <f t="shared" si="398"/>
        <v>31</v>
      </c>
      <c r="H2144" s="7">
        <f t="shared" si="400"/>
        <v>-0.56266149256856846</v>
      </c>
      <c r="I2144" s="9">
        <f t="shared" si="401"/>
        <v>-5.6425039524335393E-3</v>
      </c>
      <c r="J2144" s="9">
        <f t="shared" si="402"/>
        <v>59904.89</v>
      </c>
      <c r="K2144" s="9">
        <f t="shared" ref="K2144:K2207" si="405">AVERAGE(C2115:C2144)</f>
        <v>59467.116999999998</v>
      </c>
      <c r="L2144" s="9">
        <f t="shared" si="404"/>
        <v>59181.378666666671</v>
      </c>
      <c r="M2144" s="9">
        <f t="shared" si="403"/>
        <v>3.8182327910767852E-3</v>
      </c>
      <c r="N2144" s="9">
        <f t="shared" si="394"/>
        <v>6.638495804415224E-3</v>
      </c>
    </row>
    <row r="2145" spans="1:14" x14ac:dyDescent="0.35">
      <c r="A2145" s="1">
        <v>45505</v>
      </c>
      <c r="B2145" s="2" t="s">
        <v>2144</v>
      </c>
      <c r="C2145">
        <f t="shared" si="395"/>
        <v>59331.199999999997</v>
      </c>
      <c r="D2145">
        <f t="shared" si="396"/>
        <v>2024</v>
      </c>
      <c r="E2145">
        <f t="shared" si="397"/>
        <v>8</v>
      </c>
      <c r="F2145" t="str">
        <f t="shared" si="399"/>
        <v>August</v>
      </c>
      <c r="G2145">
        <f t="shared" si="398"/>
        <v>1</v>
      </c>
      <c r="H2145" s="7">
        <f t="shared" si="400"/>
        <v>-0.51478741565181463</v>
      </c>
      <c r="I2145" s="9">
        <f t="shared" si="401"/>
        <v>-5.1611701109128393E-3</v>
      </c>
      <c r="J2145" s="9">
        <f t="shared" si="402"/>
        <v>59834.848571428578</v>
      </c>
      <c r="K2145" s="9">
        <f t="shared" si="405"/>
        <v>59516.638000000006</v>
      </c>
      <c r="L2145" s="9">
        <f t="shared" si="404"/>
        <v>59184.119666666673</v>
      </c>
      <c r="M2145" s="9">
        <f t="shared" si="403"/>
        <v>3.6353151981867548E-3</v>
      </c>
      <c r="N2145" s="9">
        <f t="shared" ref="N2145:N2208" si="406">STDEV(I2116:I2145)</f>
        <v>6.6307185215408807E-3</v>
      </c>
    </row>
    <row r="2146" spans="1:14" x14ac:dyDescent="0.35">
      <c r="A2146" s="1">
        <v>45506</v>
      </c>
      <c r="B2146" s="2" t="s">
        <v>2145</v>
      </c>
      <c r="C2146">
        <f t="shared" si="395"/>
        <v>59514.11</v>
      </c>
      <c r="D2146">
        <f t="shared" si="396"/>
        <v>2024</v>
      </c>
      <c r="E2146">
        <f t="shared" si="397"/>
        <v>8</v>
      </c>
      <c r="F2146" t="str">
        <f t="shared" si="399"/>
        <v>August</v>
      </c>
      <c r="G2146">
        <f t="shared" si="398"/>
        <v>2</v>
      </c>
      <c r="H2146" s="7">
        <f t="shared" si="400"/>
        <v>0.30828636535246801</v>
      </c>
      <c r="I2146" s="9">
        <f t="shared" si="401"/>
        <v>3.0781213734071256E-3</v>
      </c>
      <c r="J2146" s="9">
        <f t="shared" si="402"/>
        <v>59797.41857142857</v>
      </c>
      <c r="K2146" s="9">
        <f t="shared" si="405"/>
        <v>59588.961333333333</v>
      </c>
      <c r="L2146" s="9">
        <f t="shared" si="404"/>
        <v>59187.671444444451</v>
      </c>
      <c r="M2146" s="9">
        <f t="shared" si="403"/>
        <v>3.9814341449395359E-3</v>
      </c>
      <c r="N2146" s="9">
        <f t="shared" si="406"/>
        <v>6.3903092656356006E-3</v>
      </c>
    </row>
    <row r="2147" spans="1:14" x14ac:dyDescent="0.35">
      <c r="A2147" s="1">
        <v>45509</v>
      </c>
      <c r="B2147" s="2" t="s">
        <v>2146</v>
      </c>
      <c r="C2147">
        <f t="shared" si="395"/>
        <v>58980.11</v>
      </c>
      <c r="D2147">
        <f t="shared" si="396"/>
        <v>2024</v>
      </c>
      <c r="E2147">
        <f t="shared" si="397"/>
        <v>8</v>
      </c>
      <c r="F2147" t="str">
        <f t="shared" si="399"/>
        <v>August</v>
      </c>
      <c r="G2147">
        <f t="shared" si="398"/>
        <v>5</v>
      </c>
      <c r="H2147" s="7">
        <f t="shared" si="400"/>
        <v>-0.89726621132366757</v>
      </c>
      <c r="I2147" s="9">
        <f t="shared" si="401"/>
        <v>-9.0131588704168899E-3</v>
      </c>
      <c r="J2147" s="9">
        <f t="shared" si="402"/>
        <v>59671.418571428563</v>
      </c>
      <c r="K2147" s="9">
        <f t="shared" si="405"/>
        <v>59637.511000000013</v>
      </c>
      <c r="L2147" s="9">
        <f t="shared" si="404"/>
        <v>59185.570111111127</v>
      </c>
      <c r="M2147" s="9">
        <f t="shared" si="403"/>
        <v>4.925489216438054E-3</v>
      </c>
      <c r="N2147" s="9">
        <f t="shared" si="406"/>
        <v>6.6459214722039564E-3</v>
      </c>
    </row>
    <row r="2148" spans="1:14" x14ac:dyDescent="0.35">
      <c r="A2148" s="1">
        <v>45510</v>
      </c>
      <c r="B2148" s="2" t="s">
        <v>2147</v>
      </c>
      <c r="C2148">
        <f t="shared" si="395"/>
        <v>58879.14</v>
      </c>
      <c r="D2148">
        <f t="shared" si="396"/>
        <v>2024</v>
      </c>
      <c r="E2148">
        <f t="shared" si="397"/>
        <v>8</v>
      </c>
      <c r="F2148" t="str">
        <f t="shared" si="399"/>
        <v>August</v>
      </c>
      <c r="G2148">
        <f t="shared" si="398"/>
        <v>6</v>
      </c>
      <c r="H2148" s="7">
        <f t="shared" si="400"/>
        <v>-0.17119330567542373</v>
      </c>
      <c r="I2148" s="9">
        <f t="shared" si="401"/>
        <v>-1.7134000886956759E-3</v>
      </c>
      <c r="J2148" s="9">
        <f t="shared" si="402"/>
        <v>59500.148571428566</v>
      </c>
      <c r="K2148" s="9">
        <f t="shared" si="405"/>
        <v>59666.904666666669</v>
      </c>
      <c r="L2148" s="9">
        <f t="shared" si="404"/>
        <v>59185.049333333351</v>
      </c>
      <c r="M2148" s="9">
        <f t="shared" si="403"/>
        <v>4.2615544882593599E-3</v>
      </c>
      <c r="N2148" s="9">
        <f t="shared" si="406"/>
        <v>6.5120702598140739E-3</v>
      </c>
    </row>
    <row r="2149" spans="1:14" x14ac:dyDescent="0.35">
      <c r="A2149" s="1">
        <v>45511</v>
      </c>
      <c r="B2149" s="2" t="s">
        <v>2148</v>
      </c>
      <c r="C2149">
        <f t="shared" si="395"/>
        <v>58714.04</v>
      </c>
      <c r="D2149">
        <f t="shared" si="396"/>
        <v>2024</v>
      </c>
      <c r="E2149">
        <f t="shared" si="397"/>
        <v>8</v>
      </c>
      <c r="F2149" t="str">
        <f t="shared" si="399"/>
        <v>August</v>
      </c>
      <c r="G2149">
        <f t="shared" si="398"/>
        <v>7</v>
      </c>
      <c r="H2149" s="7">
        <f t="shared" si="400"/>
        <v>-0.28040491080542029</v>
      </c>
      <c r="I2149" s="9">
        <f t="shared" si="401"/>
        <v>-2.807987818368897E-3</v>
      </c>
      <c r="J2149" s="9">
        <f t="shared" si="402"/>
        <v>59290.354285714282</v>
      </c>
      <c r="K2149" s="9">
        <f t="shared" si="405"/>
        <v>59690.29566666668</v>
      </c>
      <c r="L2149" s="9">
        <f t="shared" si="404"/>
        <v>59182.287000000018</v>
      </c>
      <c r="M2149" s="9">
        <f t="shared" si="403"/>
        <v>3.7568685102271023E-3</v>
      </c>
      <c r="N2149" s="9">
        <f t="shared" si="406"/>
        <v>6.5400464946225451E-3</v>
      </c>
    </row>
    <row r="2150" spans="1:14" x14ac:dyDescent="0.35">
      <c r="A2150" s="1">
        <v>45512</v>
      </c>
      <c r="B2150" s="2" t="s">
        <v>2149</v>
      </c>
      <c r="C2150">
        <f t="shared" si="395"/>
        <v>58576.29</v>
      </c>
      <c r="D2150">
        <f t="shared" si="396"/>
        <v>2024</v>
      </c>
      <c r="E2150">
        <f t="shared" si="397"/>
        <v>8</v>
      </c>
      <c r="F2150" t="str">
        <f t="shared" si="399"/>
        <v>August</v>
      </c>
      <c r="G2150">
        <f t="shared" si="398"/>
        <v>8</v>
      </c>
      <c r="H2150" s="7">
        <f t="shared" si="400"/>
        <v>-0.23461168742603986</v>
      </c>
      <c r="I2150" s="9">
        <f t="shared" si="401"/>
        <v>-2.348873318591958E-3</v>
      </c>
      <c r="J2150" s="9">
        <f t="shared" si="402"/>
        <v>59090.442857142851</v>
      </c>
      <c r="K2150" s="9">
        <f t="shared" si="405"/>
        <v>59709.066000000013</v>
      </c>
      <c r="L2150" s="9">
        <f t="shared" si="404"/>
        <v>59174.880666666693</v>
      </c>
      <c r="M2150" s="9">
        <f t="shared" si="403"/>
        <v>3.7837130153929813E-3</v>
      </c>
      <c r="N2150" s="9">
        <f t="shared" si="406"/>
        <v>6.5590673692623612E-3</v>
      </c>
    </row>
    <row r="2151" spans="1:14" x14ac:dyDescent="0.35">
      <c r="A2151" s="1">
        <v>45516</v>
      </c>
      <c r="B2151" s="2" t="s">
        <v>2150</v>
      </c>
      <c r="C2151">
        <f t="shared" si="395"/>
        <v>58123.13</v>
      </c>
      <c r="D2151">
        <f t="shared" si="396"/>
        <v>2024</v>
      </c>
      <c r="E2151">
        <f t="shared" si="397"/>
        <v>8</v>
      </c>
      <c r="F2151" t="str">
        <f t="shared" si="399"/>
        <v>August</v>
      </c>
      <c r="G2151">
        <f t="shared" si="398"/>
        <v>12</v>
      </c>
      <c r="H2151" s="7">
        <f t="shared" si="400"/>
        <v>-0.7736235941197428</v>
      </c>
      <c r="I2151" s="9">
        <f t="shared" si="401"/>
        <v>-7.7663158517524769E-3</v>
      </c>
      <c r="J2151" s="9">
        <f t="shared" si="402"/>
        <v>58874.002857142848</v>
      </c>
      <c r="K2151" s="9">
        <f t="shared" si="405"/>
        <v>59712.831000000006</v>
      </c>
      <c r="L2151" s="9">
        <f t="shared" si="404"/>
        <v>59177.222111111136</v>
      </c>
      <c r="M2151" s="9">
        <f t="shared" si="403"/>
        <v>4.0703468947188917E-3</v>
      </c>
      <c r="N2151" s="9">
        <f t="shared" si="406"/>
        <v>6.7233941050530727E-3</v>
      </c>
    </row>
    <row r="2152" spans="1:14" x14ac:dyDescent="0.35">
      <c r="A2152" s="1">
        <v>45517</v>
      </c>
      <c r="B2152" s="2" t="s">
        <v>2151</v>
      </c>
      <c r="C2152">
        <f t="shared" si="395"/>
        <v>57904.72</v>
      </c>
      <c r="D2152">
        <f t="shared" si="396"/>
        <v>2024</v>
      </c>
      <c r="E2152">
        <f t="shared" si="397"/>
        <v>8</v>
      </c>
      <c r="F2152" t="str">
        <f t="shared" si="399"/>
        <v>August</v>
      </c>
      <c r="G2152">
        <f t="shared" si="398"/>
        <v>13</v>
      </c>
      <c r="H2152" s="7">
        <f t="shared" si="400"/>
        <v>-0.37577122911308497</v>
      </c>
      <c r="I2152" s="9">
        <f t="shared" si="401"/>
        <v>-3.7647902287613719E-3</v>
      </c>
      <c r="J2152" s="9">
        <f t="shared" si="402"/>
        <v>58670.220000000008</v>
      </c>
      <c r="K2152" s="9">
        <f t="shared" si="405"/>
        <v>59677.080666666669</v>
      </c>
      <c r="L2152" s="9">
        <f t="shared" si="404"/>
        <v>59179.000111111127</v>
      </c>
      <c r="M2152" s="9">
        <f t="shared" si="403"/>
        <v>4.0193336044660188E-3</v>
      </c>
      <c r="N2152" s="9">
        <f t="shared" si="406"/>
        <v>5.9903710111054182E-3</v>
      </c>
    </row>
    <row r="2153" spans="1:14" x14ac:dyDescent="0.35">
      <c r="A2153" s="1">
        <v>45518</v>
      </c>
      <c r="B2153" s="2" t="s">
        <v>2152</v>
      </c>
      <c r="C2153">
        <f t="shared" si="395"/>
        <v>57999.6</v>
      </c>
      <c r="D2153">
        <f t="shared" si="396"/>
        <v>2024</v>
      </c>
      <c r="E2153">
        <f t="shared" si="397"/>
        <v>8</v>
      </c>
      <c r="F2153" t="str">
        <f t="shared" si="399"/>
        <v>August</v>
      </c>
      <c r="G2153">
        <f t="shared" si="398"/>
        <v>14</v>
      </c>
      <c r="H2153" s="7">
        <f t="shared" si="400"/>
        <v>0.16385538173744277</v>
      </c>
      <c r="I2153" s="9">
        <f t="shared" si="401"/>
        <v>1.6372128526969023E-3</v>
      </c>
      <c r="J2153" s="9">
        <f t="shared" si="402"/>
        <v>58453.861428571436</v>
      </c>
      <c r="K2153" s="9">
        <f t="shared" si="405"/>
        <v>59623.489333333331</v>
      </c>
      <c r="L2153" s="9">
        <f t="shared" si="404"/>
        <v>59179.849444444459</v>
      </c>
      <c r="M2153" s="9">
        <f t="shared" si="403"/>
        <v>3.6473798485484148E-3</v>
      </c>
      <c r="N2153" s="9">
        <f t="shared" si="406"/>
        <v>5.6223068343334605E-3</v>
      </c>
    </row>
    <row r="2154" spans="1:14" x14ac:dyDescent="0.35">
      <c r="A2154" s="1">
        <v>45519</v>
      </c>
      <c r="B2154" s="2" t="s">
        <v>2153</v>
      </c>
      <c r="C2154">
        <f t="shared" si="395"/>
        <v>57948.66</v>
      </c>
      <c r="D2154">
        <f t="shared" si="396"/>
        <v>2024</v>
      </c>
      <c r="E2154">
        <f t="shared" si="397"/>
        <v>8</v>
      </c>
      <c r="F2154" t="str">
        <f t="shared" si="399"/>
        <v>August</v>
      </c>
      <c r="G2154">
        <f t="shared" si="398"/>
        <v>15</v>
      </c>
      <c r="H2154" s="7">
        <f t="shared" si="400"/>
        <v>-8.7828191918556425E-2</v>
      </c>
      <c r="I2154" s="9">
        <f t="shared" si="401"/>
        <v>-8.7866783472868989E-4</v>
      </c>
      <c r="J2154" s="9">
        <f t="shared" si="402"/>
        <v>58306.511428571423</v>
      </c>
      <c r="K2154" s="9">
        <f t="shared" si="405"/>
        <v>59573.465333333334</v>
      </c>
      <c r="L2154" s="9">
        <f t="shared" si="404"/>
        <v>59175.666888888903</v>
      </c>
      <c r="M2154" s="9">
        <f t="shared" si="403"/>
        <v>2.8813349427243172E-3</v>
      </c>
      <c r="N2154" s="9">
        <f t="shared" si="406"/>
        <v>5.612672925444216E-3</v>
      </c>
    </row>
    <row r="2155" spans="1:14" x14ac:dyDescent="0.35">
      <c r="A2155" s="1">
        <v>45520</v>
      </c>
      <c r="B2155" s="2" t="s">
        <v>2154</v>
      </c>
      <c r="C2155">
        <f t="shared" si="395"/>
        <v>57896.83</v>
      </c>
      <c r="D2155">
        <f t="shared" si="396"/>
        <v>2024</v>
      </c>
      <c r="E2155">
        <f t="shared" si="397"/>
        <v>8</v>
      </c>
      <c r="F2155" t="str">
        <f t="shared" si="399"/>
        <v>August</v>
      </c>
      <c r="G2155">
        <f t="shared" si="398"/>
        <v>16</v>
      </c>
      <c r="H2155" s="7">
        <f t="shared" si="400"/>
        <v>-8.9441239883720769E-2</v>
      </c>
      <c r="I2155" s="9">
        <f t="shared" si="401"/>
        <v>-8.94812624269037E-4</v>
      </c>
      <c r="J2155" s="9">
        <f t="shared" si="402"/>
        <v>58166.181428571421</v>
      </c>
      <c r="K2155" s="9">
        <f t="shared" si="405"/>
        <v>59510.932000000001</v>
      </c>
      <c r="L2155" s="9">
        <f t="shared" si="404"/>
        <v>59163.107000000018</v>
      </c>
      <c r="M2155" s="9">
        <f t="shared" si="403"/>
        <v>2.9356461666357699E-3</v>
      </c>
      <c r="N2155" s="9">
        <f t="shared" si="406"/>
        <v>5.4860768840633402E-3</v>
      </c>
    </row>
    <row r="2156" spans="1:14" x14ac:dyDescent="0.35">
      <c r="A2156" s="1">
        <v>45523</v>
      </c>
      <c r="B2156" s="2" t="s">
        <v>2155</v>
      </c>
      <c r="C2156">
        <f t="shared" si="395"/>
        <v>58152.41</v>
      </c>
      <c r="D2156">
        <f t="shared" si="396"/>
        <v>2024</v>
      </c>
      <c r="E2156">
        <f t="shared" si="397"/>
        <v>8</v>
      </c>
      <c r="F2156" t="str">
        <f t="shared" si="399"/>
        <v>August</v>
      </c>
      <c r="G2156">
        <f t="shared" si="398"/>
        <v>19</v>
      </c>
      <c r="H2156" s="7">
        <f t="shared" si="400"/>
        <v>0.4414404035592307</v>
      </c>
      <c r="I2156" s="9">
        <f t="shared" si="401"/>
        <v>4.4046891339388017E-3</v>
      </c>
      <c r="J2156" s="9">
        <f t="shared" si="402"/>
        <v>58085.948571428577</v>
      </c>
      <c r="K2156" s="9">
        <f t="shared" si="405"/>
        <v>59435.399333333335</v>
      </c>
      <c r="L2156" s="9">
        <f t="shared" si="404"/>
        <v>59155.145666666678</v>
      </c>
      <c r="M2156" s="9">
        <f t="shared" si="403"/>
        <v>3.8829451316205392E-3</v>
      </c>
      <c r="N2156" s="9">
        <f t="shared" si="406"/>
        <v>5.1260187123331894E-3</v>
      </c>
    </row>
    <row r="2157" spans="1:14" x14ac:dyDescent="0.35">
      <c r="A2157" s="1">
        <v>45524</v>
      </c>
      <c r="B2157" s="2" t="s">
        <v>2156</v>
      </c>
      <c r="C2157">
        <f t="shared" si="395"/>
        <v>57882.67</v>
      </c>
      <c r="D2157">
        <f t="shared" si="396"/>
        <v>2024</v>
      </c>
      <c r="E2157">
        <f t="shared" si="397"/>
        <v>8</v>
      </c>
      <c r="F2157" t="str">
        <f t="shared" si="399"/>
        <v>August</v>
      </c>
      <c r="G2157">
        <f t="shared" si="398"/>
        <v>20</v>
      </c>
      <c r="H2157" s="7">
        <f t="shared" si="400"/>
        <v>-0.46385007947220974</v>
      </c>
      <c r="I2157" s="9">
        <f t="shared" si="401"/>
        <v>-4.6492920225435263E-3</v>
      </c>
      <c r="J2157" s="9">
        <f t="shared" si="402"/>
        <v>57986.859999999993</v>
      </c>
      <c r="K2157" s="9">
        <f t="shared" si="405"/>
        <v>59362.061999999998</v>
      </c>
      <c r="L2157" s="9">
        <f t="shared" si="404"/>
        <v>59145.892444444449</v>
      </c>
      <c r="M2157" s="9">
        <f t="shared" si="403"/>
        <v>4.0720384315278395E-3</v>
      </c>
      <c r="N2157" s="9">
        <f t="shared" si="406"/>
        <v>5.1021102529368945E-3</v>
      </c>
    </row>
    <row r="2158" spans="1:14" x14ac:dyDescent="0.35">
      <c r="A2158" s="1">
        <v>45525</v>
      </c>
      <c r="B2158" s="2" t="s">
        <v>2157</v>
      </c>
      <c r="C2158">
        <f t="shared" si="395"/>
        <v>58163.56</v>
      </c>
      <c r="D2158">
        <f t="shared" si="396"/>
        <v>2024</v>
      </c>
      <c r="E2158">
        <f t="shared" si="397"/>
        <v>8</v>
      </c>
      <c r="F2158" t="str">
        <f t="shared" si="399"/>
        <v>August</v>
      </c>
      <c r="G2158">
        <f t="shared" si="398"/>
        <v>21</v>
      </c>
      <c r="H2158" s="7">
        <f t="shared" si="400"/>
        <v>0.4852747808627339</v>
      </c>
      <c r="I2158" s="9">
        <f t="shared" si="401"/>
        <v>4.8410111825891895E-3</v>
      </c>
      <c r="J2158" s="9">
        <f t="shared" si="402"/>
        <v>57992.635714285709</v>
      </c>
      <c r="K2158" s="9">
        <f t="shared" si="405"/>
        <v>59295.595333333331</v>
      </c>
      <c r="L2158" s="9">
        <f t="shared" si="404"/>
        <v>59145.986555555559</v>
      </c>
      <c r="M2158" s="9">
        <f t="shared" si="403"/>
        <v>3.715067898781186E-3</v>
      </c>
      <c r="N2158" s="9">
        <f t="shared" si="406"/>
        <v>5.2038391435360876E-3</v>
      </c>
    </row>
    <row r="2159" spans="1:14" x14ac:dyDescent="0.35">
      <c r="A2159" s="1">
        <v>45526</v>
      </c>
      <c r="B2159" s="2" t="s">
        <v>2158</v>
      </c>
      <c r="C2159">
        <f t="shared" si="395"/>
        <v>57876.6</v>
      </c>
      <c r="D2159">
        <f t="shared" si="396"/>
        <v>2024</v>
      </c>
      <c r="E2159">
        <f t="shared" si="397"/>
        <v>8</v>
      </c>
      <c r="F2159" t="str">
        <f t="shared" si="399"/>
        <v>August</v>
      </c>
      <c r="G2159">
        <f t="shared" si="398"/>
        <v>22</v>
      </c>
      <c r="H2159" s="7">
        <f t="shared" si="400"/>
        <v>-0.49336732483362289</v>
      </c>
      <c r="I2159" s="9">
        <f t="shared" si="401"/>
        <v>-4.9458839933034628E-3</v>
      </c>
      <c r="J2159" s="9">
        <f t="shared" si="402"/>
        <v>57988.618571428575</v>
      </c>
      <c r="K2159" s="9">
        <f t="shared" si="405"/>
        <v>59214.017</v>
      </c>
      <c r="L2159" s="9">
        <f t="shared" si="404"/>
        <v>59137.882444444433</v>
      </c>
      <c r="M2159" s="9">
        <f t="shared" si="403"/>
        <v>3.9398364283471888E-3</v>
      </c>
      <c r="N2159" s="9">
        <f t="shared" si="406"/>
        <v>5.1956518652340813E-3</v>
      </c>
    </row>
    <row r="2160" spans="1:14" x14ac:dyDescent="0.35">
      <c r="A2160" s="1">
        <v>45527</v>
      </c>
      <c r="B2160" s="2" t="s">
        <v>2159</v>
      </c>
      <c r="C2160">
        <f t="shared" si="395"/>
        <v>57747.34</v>
      </c>
      <c r="D2160">
        <f t="shared" si="396"/>
        <v>2024</v>
      </c>
      <c r="E2160">
        <f t="shared" si="397"/>
        <v>8</v>
      </c>
      <c r="F2160" t="str">
        <f t="shared" si="399"/>
        <v>August</v>
      </c>
      <c r="G2160">
        <f t="shared" si="398"/>
        <v>23</v>
      </c>
      <c r="H2160" s="7">
        <f t="shared" si="400"/>
        <v>-0.22333723819298654</v>
      </c>
      <c r="I2160" s="9">
        <f t="shared" si="401"/>
        <v>-2.2358700775773478E-3</v>
      </c>
      <c r="J2160" s="9">
        <f t="shared" si="402"/>
        <v>57952.581428571422</v>
      </c>
      <c r="K2160" s="9">
        <f t="shared" si="405"/>
        <v>59128.989666666668</v>
      </c>
      <c r="L2160" s="9">
        <f t="shared" si="404"/>
        <v>59135.866444444429</v>
      </c>
      <c r="M2160" s="9">
        <f t="shared" si="403"/>
        <v>3.9321755441035951E-3</v>
      </c>
      <c r="N2160" s="9">
        <f t="shared" si="406"/>
        <v>5.1947045409435743E-3</v>
      </c>
    </row>
    <row r="2161" spans="1:14" x14ac:dyDescent="0.35">
      <c r="A2161" s="1">
        <v>45530</v>
      </c>
      <c r="B2161" s="2" t="s">
        <v>2160</v>
      </c>
      <c r="C2161">
        <f t="shared" si="395"/>
        <v>57770.73</v>
      </c>
      <c r="D2161">
        <f t="shared" si="396"/>
        <v>2024</v>
      </c>
      <c r="E2161">
        <f t="shared" si="397"/>
        <v>8</v>
      </c>
      <c r="F2161" t="str">
        <f t="shared" si="399"/>
        <v>August</v>
      </c>
      <c r="G2161">
        <f t="shared" si="398"/>
        <v>26</v>
      </c>
      <c r="H2161" s="7">
        <f t="shared" si="400"/>
        <v>4.0504030142352355E-2</v>
      </c>
      <c r="I2161" s="9">
        <f t="shared" si="401"/>
        <v>4.0495829474389137E-4</v>
      </c>
      <c r="J2161" s="9">
        <f t="shared" si="402"/>
        <v>57927.162857142859</v>
      </c>
      <c r="K2161" s="9">
        <f t="shared" si="405"/>
        <v>59029.641333333333</v>
      </c>
      <c r="L2161" s="9">
        <f t="shared" si="404"/>
        <v>59125.525999999991</v>
      </c>
      <c r="M2161" s="9">
        <f t="shared" si="403"/>
        <v>3.9481467571211969E-3</v>
      </c>
      <c r="N2161" s="9">
        <f t="shared" si="406"/>
        <v>4.9292620440291954E-3</v>
      </c>
    </row>
    <row r="2162" spans="1:14" x14ac:dyDescent="0.35">
      <c r="A2162" s="1">
        <v>45531</v>
      </c>
      <c r="B2162" s="2" t="s">
        <v>2161</v>
      </c>
      <c r="C2162">
        <f t="shared" si="395"/>
        <v>57629.93</v>
      </c>
      <c r="D2162">
        <f t="shared" si="396"/>
        <v>2024</v>
      </c>
      <c r="E2162">
        <f t="shared" si="397"/>
        <v>8</v>
      </c>
      <c r="F2162" t="str">
        <f t="shared" si="399"/>
        <v>August</v>
      </c>
      <c r="G2162">
        <f t="shared" si="398"/>
        <v>27</v>
      </c>
      <c r="H2162" s="7">
        <f t="shared" si="400"/>
        <v>-0.24372203709387591</v>
      </c>
      <c r="I2162" s="9">
        <f t="shared" si="401"/>
        <v>-2.4401952270766422E-3</v>
      </c>
      <c r="J2162" s="9">
        <f t="shared" si="402"/>
        <v>57889.034285714282</v>
      </c>
      <c r="K2162" s="9">
        <f t="shared" si="405"/>
        <v>58910.254999999997</v>
      </c>
      <c r="L2162" s="9">
        <f t="shared" si="404"/>
        <v>59108.943666666666</v>
      </c>
      <c r="M2162" s="9">
        <f t="shared" si="403"/>
        <v>4.020407321166603E-3</v>
      </c>
      <c r="N2162" s="9">
        <f t="shared" si="406"/>
        <v>4.6117319397359748E-3</v>
      </c>
    </row>
    <row r="2163" spans="1:14" x14ac:dyDescent="0.35">
      <c r="A2163" s="1">
        <v>45532</v>
      </c>
      <c r="B2163" s="2" t="s">
        <v>2162</v>
      </c>
      <c r="C2163">
        <f t="shared" si="395"/>
        <v>57530.11</v>
      </c>
      <c r="D2163">
        <f t="shared" si="396"/>
        <v>2024</v>
      </c>
      <c r="E2163">
        <f t="shared" si="397"/>
        <v>8</v>
      </c>
      <c r="F2163" t="str">
        <f t="shared" si="399"/>
        <v>August</v>
      </c>
      <c r="G2163">
        <f t="shared" si="398"/>
        <v>28</v>
      </c>
      <c r="H2163" s="7">
        <f t="shared" si="400"/>
        <v>-0.17320860879060535</v>
      </c>
      <c r="I2163" s="9">
        <f t="shared" si="401"/>
        <v>-1.7335878834240084E-3</v>
      </c>
      <c r="J2163" s="9">
        <f t="shared" si="402"/>
        <v>57800.134285714281</v>
      </c>
      <c r="K2163" s="9">
        <f t="shared" si="405"/>
        <v>58811.238333333335</v>
      </c>
      <c r="L2163" s="9">
        <f t="shared" si="404"/>
        <v>59086.688222222227</v>
      </c>
      <c r="M2163" s="9">
        <f t="shared" si="403"/>
        <v>3.3441468312508642E-3</v>
      </c>
      <c r="N2163" s="9">
        <f t="shared" si="406"/>
        <v>4.2345063109995246E-3</v>
      </c>
    </row>
    <row r="2164" spans="1:14" x14ac:dyDescent="0.35">
      <c r="A2164" s="1">
        <v>45533</v>
      </c>
      <c r="B2164" s="2" t="s">
        <v>2163</v>
      </c>
      <c r="C2164">
        <f t="shared" si="395"/>
        <v>57231.87</v>
      </c>
      <c r="D2164">
        <f t="shared" si="396"/>
        <v>2024</v>
      </c>
      <c r="E2164">
        <f t="shared" si="397"/>
        <v>8</v>
      </c>
      <c r="F2164" t="str">
        <f t="shared" si="399"/>
        <v>August</v>
      </c>
      <c r="G2164">
        <f t="shared" si="398"/>
        <v>29</v>
      </c>
      <c r="H2164" s="7">
        <f t="shared" si="400"/>
        <v>-0.51840679602385242</v>
      </c>
      <c r="I2164" s="9">
        <f t="shared" si="401"/>
        <v>-5.1975518617088275E-3</v>
      </c>
      <c r="J2164" s="9">
        <f t="shared" si="402"/>
        <v>57707.162857142859</v>
      </c>
      <c r="K2164" s="9">
        <f t="shared" si="405"/>
        <v>58714.687000000013</v>
      </c>
      <c r="L2164" s="9">
        <f t="shared" si="404"/>
        <v>59084.825111111109</v>
      </c>
      <c r="M2164" s="9">
        <f t="shared" si="403"/>
        <v>3.4343914352041507E-3</v>
      </c>
      <c r="N2164" s="9">
        <f t="shared" si="406"/>
        <v>4.2024998689887448E-3</v>
      </c>
    </row>
    <row r="2165" spans="1:14" x14ac:dyDescent="0.35">
      <c r="A2165" s="1">
        <v>45534</v>
      </c>
      <c r="B2165" s="2" t="s">
        <v>2164</v>
      </c>
      <c r="C2165">
        <f t="shared" si="395"/>
        <v>56999.79</v>
      </c>
      <c r="D2165">
        <f t="shared" si="396"/>
        <v>2024</v>
      </c>
      <c r="E2165">
        <f t="shared" si="397"/>
        <v>8</v>
      </c>
      <c r="F2165" t="str">
        <f t="shared" si="399"/>
        <v>August</v>
      </c>
      <c r="G2165">
        <f t="shared" si="398"/>
        <v>30</v>
      </c>
      <c r="H2165" s="7">
        <f t="shared" si="400"/>
        <v>-0.40550832953737448</v>
      </c>
      <c r="I2165" s="9">
        <f t="shared" si="401"/>
        <v>-4.0633274403172577E-3</v>
      </c>
      <c r="J2165" s="9">
        <f t="shared" si="402"/>
        <v>57540.909999999996</v>
      </c>
      <c r="K2165" s="9">
        <f t="shared" si="405"/>
        <v>58629.706000000006</v>
      </c>
      <c r="L2165" s="9">
        <f t="shared" si="404"/>
        <v>59082.500888888891</v>
      </c>
      <c r="M2165" s="9">
        <f t="shared" si="403"/>
        <v>1.9896545844738851E-3</v>
      </c>
      <c r="N2165" s="9">
        <f t="shared" si="406"/>
        <v>3.9497933114783449E-3</v>
      </c>
    </row>
    <row r="2166" spans="1:14" x14ac:dyDescent="0.35">
      <c r="A2166" s="1">
        <v>45537</v>
      </c>
      <c r="B2166" s="2" t="s">
        <v>2165</v>
      </c>
      <c r="C2166">
        <f t="shared" si="395"/>
        <v>56750.03</v>
      </c>
      <c r="D2166">
        <f t="shared" si="396"/>
        <v>2024</v>
      </c>
      <c r="E2166">
        <f t="shared" si="397"/>
        <v>9</v>
      </c>
      <c r="F2166" t="str">
        <f t="shared" si="399"/>
        <v>September</v>
      </c>
      <c r="G2166">
        <f t="shared" si="398"/>
        <v>2</v>
      </c>
      <c r="H2166" s="7">
        <f t="shared" si="400"/>
        <v>-0.43817705293300557</v>
      </c>
      <c r="I2166" s="9">
        <f t="shared" si="401"/>
        <v>-4.3913986215036198E-3</v>
      </c>
      <c r="J2166" s="9">
        <f t="shared" si="402"/>
        <v>57379.971428571422</v>
      </c>
      <c r="K2166" s="9">
        <f t="shared" si="405"/>
        <v>58548.53333333334</v>
      </c>
      <c r="L2166" s="9">
        <f t="shared" si="404"/>
        <v>59088.537222222221</v>
      </c>
      <c r="M2166" s="9">
        <f t="shared" si="403"/>
        <v>1.9032004422690435E-3</v>
      </c>
      <c r="N2166" s="9">
        <f t="shared" si="406"/>
        <v>3.8911441649802378E-3</v>
      </c>
    </row>
    <row r="2167" spans="1:14" x14ac:dyDescent="0.35">
      <c r="A2167" s="1">
        <v>45538</v>
      </c>
      <c r="B2167" s="2" t="s">
        <v>2166</v>
      </c>
      <c r="C2167">
        <f t="shared" si="395"/>
        <v>56358.26</v>
      </c>
      <c r="D2167">
        <f t="shared" si="396"/>
        <v>2024</v>
      </c>
      <c r="E2167">
        <f t="shared" si="397"/>
        <v>9</v>
      </c>
      <c r="F2167" t="str">
        <f t="shared" si="399"/>
        <v>September</v>
      </c>
      <c r="G2167">
        <f t="shared" si="398"/>
        <v>3</v>
      </c>
      <c r="H2167" s="7">
        <f t="shared" si="400"/>
        <v>-0.69034324739563446</v>
      </c>
      <c r="I2167" s="9">
        <f t="shared" si="401"/>
        <v>-6.9273714013794001E-3</v>
      </c>
      <c r="J2167" s="9">
        <f t="shared" si="402"/>
        <v>57181.531428571427</v>
      </c>
      <c r="K2167" s="9">
        <f t="shared" si="405"/>
        <v>58443.178666666681</v>
      </c>
      <c r="L2167" s="9">
        <f t="shared" si="404"/>
        <v>59093.599888888879</v>
      </c>
      <c r="M2167" s="9">
        <f t="shared" si="403"/>
        <v>2.4231282655316909E-3</v>
      </c>
      <c r="N2167" s="9">
        <f t="shared" si="406"/>
        <v>3.7832047078082873E-3</v>
      </c>
    </row>
    <row r="2168" spans="1:14" x14ac:dyDescent="0.35">
      <c r="A2168" s="1">
        <v>45539</v>
      </c>
      <c r="B2168" s="2" t="s">
        <v>2167</v>
      </c>
      <c r="C2168">
        <f t="shared" si="395"/>
        <v>55778.27</v>
      </c>
      <c r="D2168">
        <f t="shared" si="396"/>
        <v>2024</v>
      </c>
      <c r="E2168">
        <f t="shared" si="397"/>
        <v>9</v>
      </c>
      <c r="F2168" t="str">
        <f t="shared" si="399"/>
        <v>September</v>
      </c>
      <c r="G2168">
        <f t="shared" si="398"/>
        <v>4</v>
      </c>
      <c r="H2168" s="7">
        <f t="shared" si="400"/>
        <v>-1.0291126801998594</v>
      </c>
      <c r="I2168" s="9">
        <f t="shared" si="401"/>
        <v>-1.03444465765866E-2</v>
      </c>
      <c r="J2168" s="9">
        <f t="shared" si="402"/>
        <v>56896.89428571429</v>
      </c>
      <c r="K2168" s="9">
        <f t="shared" si="405"/>
        <v>58308.404666666676</v>
      </c>
      <c r="L2168" s="9">
        <f t="shared" si="404"/>
        <v>59084.072999999989</v>
      </c>
      <c r="M2168" s="9">
        <f t="shared" si="403"/>
        <v>2.9093334736455534E-3</v>
      </c>
      <c r="N2168" s="9">
        <f t="shared" si="406"/>
        <v>3.8612161345535486E-3</v>
      </c>
    </row>
    <row r="2169" spans="1:14" x14ac:dyDescent="0.35">
      <c r="A2169" s="1">
        <v>45540</v>
      </c>
      <c r="B2169" s="2" t="s">
        <v>2168</v>
      </c>
      <c r="C2169">
        <f t="shared" si="395"/>
        <v>55579.92</v>
      </c>
      <c r="D2169">
        <f t="shared" si="396"/>
        <v>2024</v>
      </c>
      <c r="E2169">
        <f t="shared" si="397"/>
        <v>9</v>
      </c>
      <c r="F2169" t="str">
        <f t="shared" si="399"/>
        <v>September</v>
      </c>
      <c r="G2169">
        <f t="shared" si="398"/>
        <v>5</v>
      </c>
      <c r="H2169" s="7">
        <f t="shared" si="400"/>
        <v>-0.35560443161826022</v>
      </c>
      <c r="I2169" s="9">
        <f t="shared" si="401"/>
        <v>-3.5623820711244646E-3</v>
      </c>
      <c r="J2169" s="9">
        <f t="shared" si="402"/>
        <v>56604.035714285717</v>
      </c>
      <c r="K2169" s="9">
        <f t="shared" si="405"/>
        <v>58168.531333333347</v>
      </c>
      <c r="L2169" s="9">
        <f t="shared" si="404"/>
        <v>59069.55599999999</v>
      </c>
      <c r="M2169" s="9">
        <f t="shared" si="403"/>
        <v>2.7715275416886885E-3</v>
      </c>
      <c r="N2169" s="9">
        <f t="shared" si="406"/>
        <v>3.8557321594097005E-3</v>
      </c>
    </row>
    <row r="2170" spans="1:14" x14ac:dyDescent="0.35">
      <c r="A2170" s="1">
        <v>45541</v>
      </c>
      <c r="B2170" s="2" t="s">
        <v>2169</v>
      </c>
      <c r="C2170">
        <f t="shared" si="395"/>
        <v>54994.35</v>
      </c>
      <c r="D2170">
        <f t="shared" si="396"/>
        <v>2024</v>
      </c>
      <c r="E2170">
        <f t="shared" si="397"/>
        <v>9</v>
      </c>
      <c r="F2170" t="str">
        <f t="shared" si="399"/>
        <v>September</v>
      </c>
      <c r="G2170">
        <f t="shared" si="398"/>
        <v>6</v>
      </c>
      <c r="H2170" s="7">
        <f t="shared" si="400"/>
        <v>-1.0535639489945285</v>
      </c>
      <c r="I2170" s="9">
        <f t="shared" si="401"/>
        <v>-1.0591532263707132E-2</v>
      </c>
      <c r="J2170" s="9">
        <f t="shared" si="402"/>
        <v>56241.784285714282</v>
      </c>
      <c r="K2170" s="9">
        <f t="shared" si="405"/>
        <v>58006.272666666679</v>
      </c>
      <c r="L2170" s="9">
        <f t="shared" si="404"/>
        <v>59054.190888888872</v>
      </c>
      <c r="M2170" s="9">
        <f t="shared" si="403"/>
        <v>2.9548591593104088E-3</v>
      </c>
      <c r="N2170" s="9">
        <f t="shared" si="406"/>
        <v>4.0601344015850655E-3</v>
      </c>
    </row>
    <row r="2171" spans="1:14" x14ac:dyDescent="0.35">
      <c r="A2171" s="1">
        <v>45544</v>
      </c>
      <c r="B2171" s="2" t="s">
        <v>2170</v>
      </c>
      <c r="C2171">
        <f t="shared" si="395"/>
        <v>55214.07</v>
      </c>
      <c r="D2171">
        <f t="shared" si="396"/>
        <v>2024</v>
      </c>
      <c r="E2171">
        <f t="shared" si="397"/>
        <v>9</v>
      </c>
      <c r="F2171" t="str">
        <f t="shared" si="399"/>
        <v>September</v>
      </c>
      <c r="G2171">
        <f t="shared" si="398"/>
        <v>9</v>
      </c>
      <c r="H2171" s="7">
        <f t="shared" si="400"/>
        <v>0.39953195191869928</v>
      </c>
      <c r="I2171" s="9">
        <f t="shared" si="401"/>
        <v>3.9873594251920693E-3</v>
      </c>
      <c r="J2171" s="9">
        <f t="shared" si="402"/>
        <v>55953.527142857143</v>
      </c>
      <c r="K2171" s="9">
        <f t="shared" si="405"/>
        <v>57844.140666666681</v>
      </c>
      <c r="L2171" s="9">
        <f t="shared" si="404"/>
        <v>59033.083444444441</v>
      </c>
      <c r="M2171" s="9">
        <f t="shared" si="403"/>
        <v>4.9584319114103041E-3</v>
      </c>
      <c r="N2171" s="9">
        <f t="shared" si="406"/>
        <v>4.081811263727763E-3</v>
      </c>
    </row>
    <row r="2172" spans="1:14" x14ac:dyDescent="0.35">
      <c r="A2172" s="1">
        <v>45545</v>
      </c>
      <c r="B2172" s="2" t="s">
        <v>2171</v>
      </c>
      <c r="C2172">
        <f t="shared" si="395"/>
        <v>55070.38</v>
      </c>
      <c r="D2172">
        <f t="shared" si="396"/>
        <v>2024</v>
      </c>
      <c r="E2172">
        <f t="shared" si="397"/>
        <v>9</v>
      </c>
      <c r="F2172" t="str">
        <f t="shared" si="399"/>
        <v>September</v>
      </c>
      <c r="G2172">
        <f t="shared" si="398"/>
        <v>10</v>
      </c>
      <c r="H2172" s="7">
        <f t="shared" si="400"/>
        <v>-0.26024163768402209</v>
      </c>
      <c r="I2172" s="9">
        <f t="shared" si="401"/>
        <v>-2.6058085488468597E-3</v>
      </c>
      <c r="J2172" s="9">
        <f t="shared" si="402"/>
        <v>55677.897142857139</v>
      </c>
      <c r="K2172" s="9">
        <f t="shared" si="405"/>
        <v>57673.73333333333</v>
      </c>
      <c r="L2172" s="9">
        <f t="shared" si="404"/>
        <v>58993.234111111116</v>
      </c>
      <c r="M2172" s="9">
        <f t="shared" si="403"/>
        <v>5.0404946168183529E-3</v>
      </c>
      <c r="N2172" s="9">
        <f t="shared" si="406"/>
        <v>3.9907488449808914E-3</v>
      </c>
    </row>
    <row r="2173" spans="1:14" x14ac:dyDescent="0.35">
      <c r="A2173" s="1">
        <v>45546</v>
      </c>
      <c r="B2173" s="2" t="s">
        <v>2172</v>
      </c>
      <c r="C2173">
        <f t="shared" si="395"/>
        <v>55839.73</v>
      </c>
      <c r="D2173">
        <f t="shared" si="396"/>
        <v>2024</v>
      </c>
      <c r="E2173">
        <f t="shared" si="397"/>
        <v>9</v>
      </c>
      <c r="F2173" t="str">
        <f t="shared" si="399"/>
        <v>September</v>
      </c>
      <c r="G2173">
        <f t="shared" si="398"/>
        <v>11</v>
      </c>
      <c r="H2173" s="7">
        <f t="shared" si="400"/>
        <v>1.3970304908010547</v>
      </c>
      <c r="I2173" s="9">
        <f t="shared" si="401"/>
        <v>1.3873619639593283E-2</v>
      </c>
      <c r="J2173" s="9">
        <f t="shared" si="402"/>
        <v>55547.854285714282</v>
      </c>
      <c r="K2173" s="9">
        <f t="shared" si="405"/>
        <v>57535.868666666669</v>
      </c>
      <c r="L2173" s="9">
        <f t="shared" si="404"/>
        <v>58955.249222222228</v>
      </c>
      <c r="M2173" s="9">
        <f t="shared" si="403"/>
        <v>8.733827635109024E-3</v>
      </c>
      <c r="N2173" s="9">
        <f t="shared" si="406"/>
        <v>5.0342353798774478E-3</v>
      </c>
    </row>
    <row r="2174" spans="1:14" x14ac:dyDescent="0.35">
      <c r="A2174" s="1">
        <v>45547</v>
      </c>
      <c r="B2174" s="2" t="s">
        <v>2173</v>
      </c>
      <c r="C2174">
        <f t="shared" si="395"/>
        <v>55867.34</v>
      </c>
      <c r="D2174">
        <f t="shared" si="396"/>
        <v>2024</v>
      </c>
      <c r="E2174">
        <f t="shared" si="397"/>
        <v>9</v>
      </c>
      <c r="F2174" t="str">
        <f t="shared" si="399"/>
        <v>September</v>
      </c>
      <c r="G2174">
        <f t="shared" si="398"/>
        <v>12</v>
      </c>
      <c r="H2174" s="7">
        <f t="shared" si="400"/>
        <v>4.9445081485876285E-2</v>
      </c>
      <c r="I2174" s="9">
        <f t="shared" si="401"/>
        <v>4.9432861433438722E-4</v>
      </c>
      <c r="J2174" s="9">
        <f t="shared" si="402"/>
        <v>55477.72285714285</v>
      </c>
      <c r="K2174" s="9">
        <f t="shared" si="405"/>
        <v>57410.173000000003</v>
      </c>
      <c r="L2174" s="9">
        <f t="shared" si="404"/>
        <v>58914.818333333336</v>
      </c>
      <c r="M2174" s="9">
        <f t="shared" si="403"/>
        <v>8.5279442434240977E-3</v>
      </c>
      <c r="N2174" s="9">
        <f t="shared" si="406"/>
        <v>5.0218369876870459E-3</v>
      </c>
    </row>
    <row r="2175" spans="1:14" x14ac:dyDescent="0.35">
      <c r="A2175" s="1">
        <v>45548</v>
      </c>
      <c r="B2175" s="2" t="s">
        <v>2174</v>
      </c>
      <c r="C2175">
        <f t="shared" si="395"/>
        <v>55867.46</v>
      </c>
      <c r="D2175">
        <f t="shared" si="396"/>
        <v>2024</v>
      </c>
      <c r="E2175">
        <f t="shared" si="397"/>
        <v>9</v>
      </c>
      <c r="F2175" t="str">
        <f t="shared" si="399"/>
        <v>September</v>
      </c>
      <c r="G2175">
        <f t="shared" si="398"/>
        <v>13</v>
      </c>
      <c r="H2175" s="7">
        <f t="shared" si="400"/>
        <v>2.1479454723031264E-4</v>
      </c>
      <c r="I2175" s="9">
        <f t="shared" si="401"/>
        <v>2.1479431655433839E-6</v>
      </c>
      <c r="J2175" s="9">
        <f t="shared" si="402"/>
        <v>55490.464285714297</v>
      </c>
      <c r="K2175" s="9">
        <f t="shared" si="405"/>
        <v>57294.715000000004</v>
      </c>
      <c r="L2175" s="9">
        <f t="shared" si="404"/>
        <v>58873.943111111112</v>
      </c>
      <c r="M2175" s="9">
        <f t="shared" si="403"/>
        <v>7.5268121166016787E-3</v>
      </c>
      <c r="N2175" s="9">
        <f t="shared" si="406"/>
        <v>5.0044929940606178E-3</v>
      </c>
    </row>
    <row r="2176" spans="1:14" x14ac:dyDescent="0.35">
      <c r="A2176" s="1">
        <v>45551</v>
      </c>
      <c r="B2176" s="2" t="s">
        <v>2175</v>
      </c>
      <c r="C2176">
        <f t="shared" si="395"/>
        <v>56011.16</v>
      </c>
      <c r="D2176">
        <f t="shared" si="396"/>
        <v>2024</v>
      </c>
      <c r="E2176">
        <f t="shared" si="397"/>
        <v>9</v>
      </c>
      <c r="F2176" t="str">
        <f t="shared" si="399"/>
        <v>September</v>
      </c>
      <c r="G2176">
        <f t="shared" si="398"/>
        <v>16</v>
      </c>
      <c r="H2176" s="7">
        <f t="shared" si="400"/>
        <v>0.25721591781692665</v>
      </c>
      <c r="I2176" s="9">
        <f t="shared" si="401"/>
        <v>2.5688568383008138E-3</v>
      </c>
      <c r="J2176" s="9">
        <f t="shared" si="402"/>
        <v>55552.07</v>
      </c>
      <c r="K2176" s="9">
        <f t="shared" si="405"/>
        <v>57177.95</v>
      </c>
      <c r="L2176" s="9">
        <f t="shared" si="404"/>
        <v>58820.657111111119</v>
      </c>
      <c r="M2176" s="9">
        <f t="shared" si="403"/>
        <v>7.3672324551663348E-3</v>
      </c>
      <c r="N2176" s="9">
        <f t="shared" si="406"/>
        <v>4.9874907080245372E-3</v>
      </c>
    </row>
    <row r="2177" spans="1:14" x14ac:dyDescent="0.35">
      <c r="A2177" s="1">
        <v>45552</v>
      </c>
      <c r="B2177" s="2" t="s">
        <v>2176</v>
      </c>
      <c r="C2177">
        <f t="shared" si="395"/>
        <v>56050.1</v>
      </c>
      <c r="D2177">
        <f t="shared" si="396"/>
        <v>2024</v>
      </c>
      <c r="E2177">
        <f t="shared" si="397"/>
        <v>9</v>
      </c>
      <c r="F2177" t="str">
        <f t="shared" si="399"/>
        <v>September</v>
      </c>
      <c r="G2177">
        <f t="shared" si="398"/>
        <v>17</v>
      </c>
      <c r="H2177" s="7">
        <f t="shared" si="400"/>
        <v>6.9521859572262118E-2</v>
      </c>
      <c r="I2177" s="9">
        <f t="shared" si="401"/>
        <v>6.9497704322264795E-4</v>
      </c>
      <c r="J2177" s="9">
        <f t="shared" si="402"/>
        <v>55702.891428571427</v>
      </c>
      <c r="K2177" s="9">
        <f t="shared" si="405"/>
        <v>57080.283000000003</v>
      </c>
      <c r="L2177" s="9">
        <f t="shared" si="404"/>
        <v>58759.037555555566</v>
      </c>
      <c r="M2177" s="9">
        <f t="shared" si="403"/>
        <v>5.3360015764546817E-3</v>
      </c>
      <c r="N2177" s="9">
        <f t="shared" si="406"/>
        <v>4.8307296068980463E-3</v>
      </c>
    </row>
    <row r="2178" spans="1:14" x14ac:dyDescent="0.35">
      <c r="A2178" s="1">
        <v>45553</v>
      </c>
      <c r="B2178" s="2" t="s">
        <v>2177</v>
      </c>
      <c r="C2178">
        <f t="shared" si="395"/>
        <v>55645.15</v>
      </c>
      <c r="D2178">
        <f t="shared" si="396"/>
        <v>2024</v>
      </c>
      <c r="E2178">
        <f t="shared" si="397"/>
        <v>9</v>
      </c>
      <c r="F2178" t="str">
        <f t="shared" si="399"/>
        <v>September</v>
      </c>
      <c r="G2178">
        <f t="shared" si="398"/>
        <v>18</v>
      </c>
      <c r="H2178" s="7">
        <f t="shared" si="400"/>
        <v>-0.72247863964559755</v>
      </c>
      <c r="I2178" s="9">
        <f t="shared" si="401"/>
        <v>-7.2510115561549814E-3</v>
      </c>
      <c r="J2178" s="9">
        <f t="shared" si="402"/>
        <v>55764.474285714285</v>
      </c>
      <c r="K2178" s="9">
        <f t="shared" si="405"/>
        <v>56972.483333333323</v>
      </c>
      <c r="L2178" s="9">
        <f t="shared" si="404"/>
        <v>58691.930666666682</v>
      </c>
      <c r="M2178" s="9">
        <f t="shared" si="403"/>
        <v>6.4618189036401352E-3</v>
      </c>
      <c r="N2178" s="9">
        <f t="shared" si="406"/>
        <v>4.9359719173712475E-3</v>
      </c>
    </row>
    <row r="2179" spans="1:14" x14ac:dyDescent="0.35">
      <c r="A2179" s="1">
        <v>45554</v>
      </c>
      <c r="B2179" s="2" t="s">
        <v>2178</v>
      </c>
      <c r="C2179">
        <f t="shared" ref="C2179:C2242" si="407">_xlfn.NUMBERVALUE(B2179,".",",")</f>
        <v>55850.32</v>
      </c>
      <c r="D2179">
        <f t="shared" ref="D2179:D2242" si="408">YEAR(A2179)</f>
        <v>2024</v>
      </c>
      <c r="E2179">
        <f t="shared" ref="E2179:E2242" si="409">MONTH(A2179)</f>
        <v>9</v>
      </c>
      <c r="F2179" t="str">
        <f t="shared" si="399"/>
        <v>September</v>
      </c>
      <c r="G2179">
        <f t="shared" ref="G2179:G2242" si="410">DAY(A2179)</f>
        <v>19</v>
      </c>
      <c r="H2179" s="7">
        <f t="shared" si="400"/>
        <v>0.3687113791588274</v>
      </c>
      <c r="I2179" s="9">
        <f t="shared" si="401"/>
        <v>3.6803330499983076E-3</v>
      </c>
      <c r="J2179" s="9">
        <f t="shared" si="402"/>
        <v>55875.89428571429</v>
      </c>
      <c r="K2179" s="9">
        <f t="shared" si="405"/>
        <v>56877.025999999998</v>
      </c>
      <c r="L2179" s="9">
        <f t="shared" si="404"/>
        <v>58627.788333333359</v>
      </c>
      <c r="M2179" s="9">
        <f t="shared" si="403"/>
        <v>6.2938084384870762E-3</v>
      </c>
      <c r="N2179" s="9">
        <f t="shared" si="406"/>
        <v>5.0351981141129581E-3</v>
      </c>
    </row>
    <row r="2180" spans="1:14" x14ac:dyDescent="0.35">
      <c r="A2180" s="1">
        <v>45555</v>
      </c>
      <c r="B2180" s="2" t="s">
        <v>2179</v>
      </c>
      <c r="C2180">
        <f t="shared" si="407"/>
        <v>56152.54</v>
      </c>
      <c r="D2180">
        <f t="shared" si="408"/>
        <v>2024</v>
      </c>
      <c r="E2180">
        <f t="shared" si="409"/>
        <v>9</v>
      </c>
      <c r="F2180" t="str">
        <f t="shared" ref="F2180:F2243" si="411">TEXT(A2180,"mmmm")</f>
        <v>September</v>
      </c>
      <c r="G2180">
        <f t="shared" si="410"/>
        <v>20</v>
      </c>
      <c r="H2180" s="7">
        <f t="shared" ref="H2180:H2243" si="412">((C2180-C2179)/C2179)*100</f>
        <v>0.54112492103895038</v>
      </c>
      <c r="I2180" s="9">
        <f t="shared" ref="I2180:I2243" si="413">LN(C2180/C2179)</f>
        <v>5.3966610046622928E-3</v>
      </c>
      <c r="J2180" s="9">
        <f t="shared" si="402"/>
        <v>55920.58142857143</v>
      </c>
      <c r="K2180" s="9">
        <f t="shared" si="405"/>
        <v>56796.234333333334</v>
      </c>
      <c r="L2180" s="9">
        <f t="shared" si="404"/>
        <v>58568.645000000019</v>
      </c>
      <c r="M2180" s="9">
        <f t="shared" si="403"/>
        <v>4.0438071653659761E-3</v>
      </c>
      <c r="N2180" s="9">
        <f t="shared" si="406"/>
        <v>5.1950595515622647E-3</v>
      </c>
    </row>
    <row r="2181" spans="1:14" x14ac:dyDescent="0.35">
      <c r="A2181" s="1">
        <v>45558</v>
      </c>
      <c r="B2181" s="2" t="s">
        <v>2180</v>
      </c>
      <c r="C2181">
        <f t="shared" si="407"/>
        <v>56366.16</v>
      </c>
      <c r="D2181">
        <f t="shared" si="408"/>
        <v>2024</v>
      </c>
      <c r="E2181">
        <f t="shared" si="409"/>
        <v>9</v>
      </c>
      <c r="F2181" t="str">
        <f t="shared" si="411"/>
        <v>September</v>
      </c>
      <c r="G2181">
        <f t="shared" si="410"/>
        <v>23</v>
      </c>
      <c r="H2181" s="7">
        <f t="shared" si="412"/>
        <v>0.38042802694232997</v>
      </c>
      <c r="I2181" s="9">
        <f t="shared" si="413"/>
        <v>3.797062295577803E-3</v>
      </c>
      <c r="J2181" s="9">
        <f t="shared" si="402"/>
        <v>55991.841428571432</v>
      </c>
      <c r="K2181" s="9">
        <f t="shared" si="405"/>
        <v>56737.668666666672</v>
      </c>
      <c r="L2181" s="9">
        <f t="shared" si="404"/>
        <v>58516.488111111132</v>
      </c>
      <c r="M2181" s="9">
        <f t="shared" si="403"/>
        <v>4.1924107510886138E-3</v>
      </c>
      <c r="N2181" s="9">
        <f t="shared" si="406"/>
        <v>5.1357168882384249E-3</v>
      </c>
    </row>
    <row r="2182" spans="1:14" x14ac:dyDescent="0.35">
      <c r="A2182" s="1">
        <v>45560</v>
      </c>
      <c r="B2182" s="2" t="s">
        <v>2181</v>
      </c>
      <c r="C2182">
        <f t="shared" si="407"/>
        <v>56008.77</v>
      </c>
      <c r="D2182">
        <f t="shared" si="408"/>
        <v>2024</v>
      </c>
      <c r="E2182">
        <f t="shared" si="409"/>
        <v>9</v>
      </c>
      <c r="F2182" t="str">
        <f t="shared" si="411"/>
        <v>September</v>
      </c>
      <c r="G2182">
        <f t="shared" si="410"/>
        <v>25</v>
      </c>
      <c r="H2182" s="7">
        <f t="shared" si="412"/>
        <v>-0.63405064315186044</v>
      </c>
      <c r="I2182" s="9">
        <f t="shared" si="413"/>
        <v>-6.3606928155930014E-3</v>
      </c>
      <c r="J2182" s="9">
        <f t="shared" si="402"/>
        <v>56012.028571428578</v>
      </c>
      <c r="K2182" s="9">
        <f t="shared" si="405"/>
        <v>56674.470333333338</v>
      </c>
      <c r="L2182" s="9">
        <f t="shared" si="404"/>
        <v>58461.998000000014</v>
      </c>
      <c r="M2182" s="9">
        <f t="shared" si="403"/>
        <v>5.1037963709568319E-3</v>
      </c>
      <c r="N2182" s="9">
        <f t="shared" si="406"/>
        <v>5.2049053864352112E-3</v>
      </c>
    </row>
    <row r="2183" spans="1:14" x14ac:dyDescent="0.35">
      <c r="A2183" s="1">
        <v>45561</v>
      </c>
      <c r="B2183" s="2" t="s">
        <v>2182</v>
      </c>
      <c r="C2183">
        <f t="shared" si="407"/>
        <v>55724.67</v>
      </c>
      <c r="D2183">
        <f t="shared" si="408"/>
        <v>2024</v>
      </c>
      <c r="E2183">
        <f t="shared" si="409"/>
        <v>9</v>
      </c>
      <c r="F2183" t="str">
        <f t="shared" si="411"/>
        <v>September</v>
      </c>
      <c r="G2183">
        <f t="shared" si="410"/>
        <v>26</v>
      </c>
      <c r="H2183" s="7">
        <f t="shared" si="412"/>
        <v>-0.50724199085250143</v>
      </c>
      <c r="I2183" s="9">
        <f t="shared" si="413"/>
        <v>-5.0853283000789418E-3</v>
      </c>
      <c r="J2183" s="9">
        <f t="shared" si="402"/>
        <v>55971.101428571434</v>
      </c>
      <c r="K2183" s="9">
        <f t="shared" si="405"/>
        <v>56598.639333333333</v>
      </c>
      <c r="L2183" s="9">
        <f t="shared" si="404"/>
        <v>58404.243777777796</v>
      </c>
      <c r="M2183" s="9">
        <f t="shared" si="403"/>
        <v>5.3651498409993722E-3</v>
      </c>
      <c r="N2183" s="9">
        <f t="shared" si="406"/>
        <v>5.2272297872055801E-3</v>
      </c>
    </row>
    <row r="2184" spans="1:14" x14ac:dyDescent="0.35">
      <c r="A2184" s="1">
        <v>45562</v>
      </c>
      <c r="B2184" s="2" t="s">
        <v>2183</v>
      </c>
      <c r="C2184">
        <f t="shared" si="407"/>
        <v>55878.19</v>
      </c>
      <c r="D2184">
        <f t="shared" si="408"/>
        <v>2024</v>
      </c>
      <c r="E2184">
        <f t="shared" si="409"/>
        <v>9</v>
      </c>
      <c r="F2184" t="str">
        <f t="shared" si="411"/>
        <v>September</v>
      </c>
      <c r="G2184">
        <f t="shared" si="410"/>
        <v>27</v>
      </c>
      <c r="H2184" s="7">
        <f t="shared" si="412"/>
        <v>0.27549736947747572</v>
      </c>
      <c r="I2184" s="9">
        <f t="shared" si="413"/>
        <v>2.7511857103486824E-3</v>
      </c>
      <c r="J2184" s="9">
        <f t="shared" si="402"/>
        <v>55946.542857142857</v>
      </c>
      <c r="K2184" s="9">
        <f t="shared" si="405"/>
        <v>56529.623666666666</v>
      </c>
      <c r="L2184" s="9">
        <f t="shared" si="404"/>
        <v>58348.174111111119</v>
      </c>
      <c r="M2184" s="9">
        <f t="shared" si="403"/>
        <v>5.5106512997297125E-3</v>
      </c>
      <c r="N2184" s="9">
        <f t="shared" si="406"/>
        <v>5.2798725511170631E-3</v>
      </c>
    </row>
    <row r="2185" spans="1:14" x14ac:dyDescent="0.35">
      <c r="A2185" s="1">
        <v>45565</v>
      </c>
      <c r="B2185" s="2" t="s">
        <v>2184</v>
      </c>
      <c r="C2185">
        <f t="shared" si="407"/>
        <v>55480.2</v>
      </c>
      <c r="D2185">
        <f t="shared" si="408"/>
        <v>2024</v>
      </c>
      <c r="E2185">
        <f t="shared" si="409"/>
        <v>9</v>
      </c>
      <c r="F2185" t="str">
        <f t="shared" si="411"/>
        <v>September</v>
      </c>
      <c r="G2185">
        <f t="shared" si="410"/>
        <v>30</v>
      </c>
      <c r="H2185" s="7">
        <f t="shared" si="412"/>
        <v>-0.71224569013421013</v>
      </c>
      <c r="I2185" s="9">
        <f t="shared" si="413"/>
        <v>-7.147942683856841E-3</v>
      </c>
      <c r="J2185" s="9">
        <f t="shared" ref="J2185:J2248" si="414">AVERAGE(C2179:C2185)</f>
        <v>55922.978571428575</v>
      </c>
      <c r="K2185" s="9">
        <f t="shared" si="405"/>
        <v>56449.069333333326</v>
      </c>
      <c r="L2185" s="9">
        <f t="shared" si="404"/>
        <v>58290.736333333349</v>
      </c>
      <c r="M2185" s="9">
        <f t="shared" si="403"/>
        <v>5.4895130895806343E-3</v>
      </c>
      <c r="N2185" s="9">
        <f t="shared" si="406"/>
        <v>5.3891854540839938E-3</v>
      </c>
    </row>
    <row r="2186" spans="1:14" x14ac:dyDescent="0.35">
      <c r="A2186" s="1">
        <v>45566</v>
      </c>
      <c r="B2186" s="2" t="s">
        <v>2185</v>
      </c>
      <c r="C2186">
        <f t="shared" si="407"/>
        <v>56144.800000000003</v>
      </c>
      <c r="D2186">
        <f t="shared" si="408"/>
        <v>2024</v>
      </c>
      <c r="E2186">
        <f t="shared" si="409"/>
        <v>10</v>
      </c>
      <c r="F2186" t="str">
        <f t="shared" si="411"/>
        <v>October</v>
      </c>
      <c r="G2186">
        <f t="shared" si="410"/>
        <v>1</v>
      </c>
      <c r="H2186" s="7">
        <f t="shared" si="412"/>
        <v>1.1979048381224398</v>
      </c>
      <c r="I2186" s="9">
        <f t="shared" si="413"/>
        <v>1.1907867470351623E-2</v>
      </c>
      <c r="J2186" s="9">
        <f t="shared" si="414"/>
        <v>55965.047142857147</v>
      </c>
      <c r="K2186" s="9">
        <f t="shared" si="405"/>
        <v>56382.14899999999</v>
      </c>
      <c r="L2186" s="9">
        <f t="shared" si="404"/>
        <v>58245.223444444448</v>
      </c>
      <c r="M2186" s="9">
        <f t="shared" ref="M2186:M2249" si="415">STDEV(I2180:I2186)</f>
        <v>7.1457364221467392E-3</v>
      </c>
      <c r="N2186" s="9">
        <f t="shared" si="406"/>
        <v>5.8253398849972453E-3</v>
      </c>
    </row>
    <row r="2187" spans="1:14" x14ac:dyDescent="0.35">
      <c r="A2187" s="1">
        <v>45567</v>
      </c>
      <c r="B2187" s="2" t="s">
        <v>2186</v>
      </c>
      <c r="C2187">
        <f t="shared" si="407"/>
        <v>56312.85</v>
      </c>
      <c r="D2187">
        <f t="shared" si="408"/>
        <v>2024</v>
      </c>
      <c r="E2187">
        <f t="shared" si="409"/>
        <v>10</v>
      </c>
      <c r="F2187" t="str">
        <f t="shared" si="411"/>
        <v>October</v>
      </c>
      <c r="G2187">
        <f t="shared" si="410"/>
        <v>2</v>
      </c>
      <c r="H2187" s="7">
        <f t="shared" si="412"/>
        <v>0.29931534175915775</v>
      </c>
      <c r="I2187" s="9">
        <f t="shared" si="413"/>
        <v>2.9886828524043558E-3</v>
      </c>
      <c r="J2187" s="9">
        <f t="shared" si="414"/>
        <v>55987.948571428562</v>
      </c>
      <c r="K2187" s="9">
        <f t="shared" si="405"/>
        <v>56329.821666666663</v>
      </c>
      <c r="L2187" s="9">
        <f t="shared" si="404"/>
        <v>58203.331444444455</v>
      </c>
      <c r="M2187" s="9">
        <f t="shared" si="415"/>
        <v>6.9398278390166842E-3</v>
      </c>
      <c r="N2187" s="9">
        <f t="shared" si="406"/>
        <v>5.8349849743740715E-3</v>
      </c>
    </row>
    <row r="2188" spans="1:14" x14ac:dyDescent="0.35">
      <c r="A2188" s="1">
        <v>45568</v>
      </c>
      <c r="B2188" s="2" t="s">
        <v>2187</v>
      </c>
      <c r="C2188">
        <f t="shared" si="407"/>
        <v>56513.46</v>
      </c>
      <c r="D2188">
        <f t="shared" si="408"/>
        <v>2024</v>
      </c>
      <c r="E2188">
        <f t="shared" si="409"/>
        <v>10</v>
      </c>
      <c r="F2188" t="str">
        <f t="shared" si="411"/>
        <v>October</v>
      </c>
      <c r="G2188">
        <f t="shared" si="410"/>
        <v>3</v>
      </c>
      <c r="H2188" s="7">
        <f t="shared" si="412"/>
        <v>0.35624195898449568</v>
      </c>
      <c r="I2188" s="9">
        <f t="shared" si="413"/>
        <v>3.556089203052404E-3</v>
      </c>
      <c r="J2188" s="9">
        <f t="shared" si="414"/>
        <v>56008.991428571426</v>
      </c>
      <c r="K2188" s="9">
        <f t="shared" si="405"/>
        <v>56274.818333333329</v>
      </c>
      <c r="L2188" s="9">
        <f t="shared" si="404"/>
        <v>58168.969666666671</v>
      </c>
      <c r="M2188" s="9">
        <f t="shared" si="415"/>
        <v>6.9207819154258792E-3</v>
      </c>
      <c r="N2188" s="9">
        <f t="shared" si="406"/>
        <v>5.7958501828350726E-3</v>
      </c>
    </row>
    <row r="2189" spans="1:14" x14ac:dyDescent="0.35">
      <c r="A2189" s="1">
        <v>45569</v>
      </c>
      <c r="B2189" s="2" t="s">
        <v>2188</v>
      </c>
      <c r="C2189">
        <f t="shared" si="407"/>
        <v>56522.11</v>
      </c>
      <c r="D2189">
        <f t="shared" si="408"/>
        <v>2024</v>
      </c>
      <c r="E2189">
        <f t="shared" si="409"/>
        <v>10</v>
      </c>
      <c r="F2189" t="str">
        <f t="shared" si="411"/>
        <v>October</v>
      </c>
      <c r="G2189">
        <f t="shared" si="410"/>
        <v>4</v>
      </c>
      <c r="H2189" s="7">
        <f t="shared" si="412"/>
        <v>1.5306088142544194E-2</v>
      </c>
      <c r="I2189" s="9">
        <f t="shared" si="413"/>
        <v>1.5304916880396247E-4</v>
      </c>
      <c r="J2189" s="9">
        <f t="shared" si="414"/>
        <v>56082.325714285711</v>
      </c>
      <c r="K2189" s="9">
        <f t="shared" si="405"/>
        <v>56229.668666666657</v>
      </c>
      <c r="L2189" s="9">
        <f t="shared" si="404"/>
        <v>58130.55277777779</v>
      </c>
      <c r="M2189" s="9">
        <f t="shared" si="415"/>
        <v>6.2720271870759037E-3</v>
      </c>
      <c r="N2189" s="9">
        <f t="shared" si="406"/>
        <v>5.7494909547146636E-3</v>
      </c>
    </row>
    <row r="2190" spans="1:14" x14ac:dyDescent="0.35">
      <c r="A2190" s="1">
        <v>45572</v>
      </c>
      <c r="B2190" s="2" t="s">
        <v>2189</v>
      </c>
      <c r="C2190">
        <f t="shared" si="407"/>
        <v>56168</v>
      </c>
      <c r="D2190">
        <f t="shared" si="408"/>
        <v>2024</v>
      </c>
      <c r="E2190">
        <f t="shared" si="409"/>
        <v>10</v>
      </c>
      <c r="F2190" t="str">
        <f t="shared" si="411"/>
        <v>October</v>
      </c>
      <c r="G2190">
        <f t="shared" si="410"/>
        <v>7</v>
      </c>
      <c r="H2190" s="7">
        <f t="shared" si="412"/>
        <v>-0.62649819690029374</v>
      </c>
      <c r="I2190" s="9">
        <f t="shared" si="413"/>
        <v>-6.2846893224654497E-3</v>
      </c>
      <c r="J2190" s="9">
        <f t="shared" si="414"/>
        <v>56145.658571428568</v>
      </c>
      <c r="K2190" s="9">
        <f t="shared" si="405"/>
        <v>56177.023999999998</v>
      </c>
      <c r="L2190" s="9">
        <f t="shared" si="404"/>
        <v>58086.712222222232</v>
      </c>
      <c r="M2190" s="9">
        <f t="shared" si="415"/>
        <v>6.4882925059600019E-3</v>
      </c>
      <c r="N2190" s="9">
        <f t="shared" si="406"/>
        <v>5.8315504417774553E-3</v>
      </c>
    </row>
    <row r="2191" spans="1:14" x14ac:dyDescent="0.35">
      <c r="A2191" s="1">
        <v>45573</v>
      </c>
      <c r="B2191" s="2" t="s">
        <v>2190</v>
      </c>
      <c r="C2191">
        <f t="shared" si="407"/>
        <v>56409.62</v>
      </c>
      <c r="D2191">
        <f t="shared" si="408"/>
        <v>2024</v>
      </c>
      <c r="E2191">
        <f t="shared" si="409"/>
        <v>10</v>
      </c>
      <c r="F2191" t="str">
        <f t="shared" si="411"/>
        <v>October</v>
      </c>
      <c r="G2191">
        <f t="shared" si="410"/>
        <v>8</v>
      </c>
      <c r="H2191" s="7">
        <f t="shared" si="412"/>
        <v>0.43017376442102728</v>
      </c>
      <c r="I2191" s="9">
        <f t="shared" si="413"/>
        <v>4.2925116199911163E-3</v>
      </c>
      <c r="J2191" s="9">
        <f t="shared" si="414"/>
        <v>56221.577142857139</v>
      </c>
      <c r="K2191" s="9">
        <f t="shared" si="405"/>
        <v>56131.653666666665</v>
      </c>
      <c r="L2191" s="9">
        <f t="shared" si="404"/>
        <v>58046.392555555554</v>
      </c>
      <c r="M2191" s="9">
        <f t="shared" si="415"/>
        <v>6.5779330440782812E-3</v>
      </c>
      <c r="N2191" s="9">
        <f t="shared" si="406"/>
        <v>5.9048406352784364E-3</v>
      </c>
    </row>
    <row r="2192" spans="1:14" x14ac:dyDescent="0.35">
      <c r="A2192" s="1">
        <v>45574</v>
      </c>
      <c r="B2192" s="2" t="s">
        <v>2191</v>
      </c>
      <c r="C2192">
        <f t="shared" si="407"/>
        <v>56555.62</v>
      </c>
      <c r="D2192">
        <f t="shared" si="408"/>
        <v>2024</v>
      </c>
      <c r="E2192">
        <f t="shared" si="409"/>
        <v>10</v>
      </c>
      <c r="F2192" t="str">
        <f t="shared" si="411"/>
        <v>October</v>
      </c>
      <c r="G2192">
        <f t="shared" si="410"/>
        <v>9</v>
      </c>
      <c r="H2192" s="7">
        <f t="shared" si="412"/>
        <v>0.25882110179079382</v>
      </c>
      <c r="I2192" s="9">
        <f t="shared" si="413"/>
        <v>2.5848673679097658E-3</v>
      </c>
      <c r="J2192" s="9">
        <f t="shared" si="414"/>
        <v>56375.208571428564</v>
      </c>
      <c r="K2192" s="9">
        <f t="shared" si="405"/>
        <v>56095.843333333338</v>
      </c>
      <c r="L2192" s="9">
        <f t="shared" si="404"/>
        <v>58011.263888888891</v>
      </c>
      <c r="M2192" s="9">
        <f t="shared" si="415"/>
        <v>5.4060040831796106E-3</v>
      </c>
      <c r="N2192" s="9">
        <f t="shared" si="406"/>
        <v>5.9277831281722261E-3</v>
      </c>
    </row>
    <row r="2193" spans="1:14" x14ac:dyDescent="0.35">
      <c r="A2193" s="1">
        <v>45575</v>
      </c>
      <c r="B2193" s="2" t="s">
        <v>2192</v>
      </c>
      <c r="C2193">
        <f t="shared" si="407"/>
        <v>56655.88</v>
      </c>
      <c r="D2193">
        <f t="shared" si="408"/>
        <v>2024</v>
      </c>
      <c r="E2193">
        <f t="shared" si="409"/>
        <v>10</v>
      </c>
      <c r="F2193" t="str">
        <f t="shared" si="411"/>
        <v>October</v>
      </c>
      <c r="G2193">
        <f t="shared" si="410"/>
        <v>10</v>
      </c>
      <c r="H2193" s="7">
        <f t="shared" si="412"/>
        <v>0.17727681174743512</v>
      </c>
      <c r="I2193" s="9">
        <f t="shared" si="413"/>
        <v>1.7711986187063824E-3</v>
      </c>
      <c r="J2193" s="9">
        <f t="shared" si="414"/>
        <v>56448.219999999994</v>
      </c>
      <c r="K2193" s="9">
        <f t="shared" si="405"/>
        <v>56066.702333333335</v>
      </c>
      <c r="L2193" s="9">
        <f t="shared" si="404"/>
        <v>57979.920666666672</v>
      </c>
      <c r="M2193" s="9">
        <f t="shared" si="415"/>
        <v>3.5965822950668673E-3</v>
      </c>
      <c r="N2193" s="9">
        <f t="shared" si="406"/>
        <v>5.9397517840350331E-3</v>
      </c>
    </row>
    <row r="2194" spans="1:14" x14ac:dyDescent="0.35">
      <c r="A2194" s="1">
        <v>45576</v>
      </c>
      <c r="B2194" s="2" t="s">
        <v>2193</v>
      </c>
      <c r="C2194">
        <f t="shared" si="407"/>
        <v>56588.99</v>
      </c>
      <c r="D2194">
        <f t="shared" si="408"/>
        <v>2024</v>
      </c>
      <c r="E2194">
        <f t="shared" si="409"/>
        <v>10</v>
      </c>
      <c r="F2194" t="str">
        <f t="shared" si="411"/>
        <v>October</v>
      </c>
      <c r="G2194">
        <f t="shared" si="410"/>
        <v>11</v>
      </c>
      <c r="H2194" s="7">
        <f t="shared" si="412"/>
        <v>-0.11806365023365523</v>
      </c>
      <c r="I2194" s="9">
        <f t="shared" si="413"/>
        <v>-1.1813340026621763E-3</v>
      </c>
      <c r="J2194" s="9">
        <f t="shared" si="414"/>
        <v>56487.66857142857</v>
      </c>
      <c r="K2194" s="9">
        <f t="shared" si="405"/>
        <v>56045.273000000008</v>
      </c>
      <c r="L2194" s="9">
        <f t="shared" si="404"/>
        <v>57946.135666666669</v>
      </c>
      <c r="M2194" s="9">
        <f t="shared" si="415"/>
        <v>3.61450837285692E-3</v>
      </c>
      <c r="N2194" s="9">
        <f t="shared" si="406"/>
        <v>5.8753786759485997E-3</v>
      </c>
    </row>
    <row r="2195" spans="1:14" x14ac:dyDescent="0.35">
      <c r="A2195" s="1">
        <v>45579</v>
      </c>
      <c r="B2195" s="2" t="s">
        <v>2194</v>
      </c>
      <c r="C2195">
        <f t="shared" si="407"/>
        <v>56162.3</v>
      </c>
      <c r="D2195">
        <f t="shared" si="408"/>
        <v>2024</v>
      </c>
      <c r="E2195">
        <f t="shared" si="409"/>
        <v>10</v>
      </c>
      <c r="F2195" t="str">
        <f t="shared" si="411"/>
        <v>October</v>
      </c>
      <c r="G2195">
        <f t="shared" si="410"/>
        <v>14</v>
      </c>
      <c r="H2195" s="7">
        <f t="shared" si="412"/>
        <v>-0.7540159313675594</v>
      </c>
      <c r="I2195" s="9">
        <f t="shared" si="413"/>
        <v>-7.5687300239918988E-3</v>
      </c>
      <c r="J2195" s="9">
        <f t="shared" si="414"/>
        <v>56437.502857142848</v>
      </c>
      <c r="K2195" s="9">
        <f t="shared" si="405"/>
        <v>56017.356666666681</v>
      </c>
      <c r="L2195" s="9">
        <f t="shared" si="404"/>
        <v>57906.481666666674</v>
      </c>
      <c r="M2195" s="9">
        <f t="shared" si="415"/>
        <v>4.4888016458842789E-3</v>
      </c>
      <c r="N2195" s="9">
        <f t="shared" si="406"/>
        <v>5.9850610034086742E-3</v>
      </c>
    </row>
    <row r="2196" spans="1:14" x14ac:dyDescent="0.35">
      <c r="A2196" s="1">
        <v>45580</v>
      </c>
      <c r="B2196" s="2" t="s">
        <v>2195</v>
      </c>
      <c r="C2196">
        <f t="shared" si="407"/>
        <v>56033.96</v>
      </c>
      <c r="D2196">
        <f t="shared" si="408"/>
        <v>2024</v>
      </c>
      <c r="E2196">
        <f t="shared" si="409"/>
        <v>10</v>
      </c>
      <c r="F2196" t="str">
        <f t="shared" si="411"/>
        <v>October</v>
      </c>
      <c r="G2196">
        <f t="shared" si="410"/>
        <v>15</v>
      </c>
      <c r="H2196" s="7">
        <f t="shared" si="412"/>
        <v>-0.22851628227477111</v>
      </c>
      <c r="I2196" s="9">
        <f t="shared" si="413"/>
        <v>-2.287777791823908E-3</v>
      </c>
      <c r="J2196" s="9">
        <f t="shared" si="414"/>
        <v>56367.767142857141</v>
      </c>
      <c r="K2196" s="9">
        <f t="shared" si="405"/>
        <v>55993.487666666675</v>
      </c>
      <c r="L2196" s="9">
        <f t="shared" si="404"/>
        <v>57867.91822222223</v>
      </c>
      <c r="M2196" s="9">
        <f t="shared" si="415"/>
        <v>4.489034810568459E-3</v>
      </c>
      <c r="N2196" s="9">
        <f t="shared" si="406"/>
        <v>5.9500378848065891E-3</v>
      </c>
    </row>
    <row r="2197" spans="1:14" x14ac:dyDescent="0.35">
      <c r="A2197" s="1">
        <v>45581</v>
      </c>
      <c r="B2197" s="2" t="s">
        <v>2196</v>
      </c>
      <c r="C2197">
        <f t="shared" si="407"/>
        <v>55450.53</v>
      </c>
      <c r="D2197">
        <f t="shared" si="408"/>
        <v>2024</v>
      </c>
      <c r="E2197">
        <f t="shared" si="409"/>
        <v>10</v>
      </c>
      <c r="F2197" t="str">
        <f t="shared" si="411"/>
        <v>October</v>
      </c>
      <c r="G2197">
        <f t="shared" si="410"/>
        <v>16</v>
      </c>
      <c r="H2197" s="7">
        <f t="shared" si="412"/>
        <v>-1.041207867514629</v>
      </c>
      <c r="I2197" s="9">
        <f t="shared" si="413"/>
        <v>-1.046666359187496E-2</v>
      </c>
      <c r="J2197" s="9">
        <f t="shared" si="414"/>
        <v>56265.271428571432</v>
      </c>
      <c r="K2197" s="9">
        <f t="shared" si="405"/>
        <v>55963.23000000001</v>
      </c>
      <c r="L2197" s="9">
        <f t="shared" si="404"/>
        <v>57829.003111111117</v>
      </c>
      <c r="M2197" s="9">
        <f t="shared" si="415"/>
        <v>5.4482388735139853E-3</v>
      </c>
      <c r="N2197" s="9">
        <f t="shared" si="406"/>
        <v>6.1162147569571628E-3</v>
      </c>
    </row>
    <row r="2198" spans="1:14" x14ac:dyDescent="0.35">
      <c r="A2198" s="1">
        <v>45582</v>
      </c>
      <c r="B2198" s="2" t="s">
        <v>2197</v>
      </c>
      <c r="C2198">
        <f t="shared" si="407"/>
        <v>55304.23</v>
      </c>
      <c r="D2198">
        <f t="shared" si="408"/>
        <v>2024</v>
      </c>
      <c r="E2198">
        <f t="shared" si="409"/>
        <v>10</v>
      </c>
      <c r="F2198" t="str">
        <f t="shared" si="411"/>
        <v>October</v>
      </c>
      <c r="G2198">
        <f t="shared" si="410"/>
        <v>17</v>
      </c>
      <c r="H2198" s="7">
        <f t="shared" si="412"/>
        <v>-0.26383877665370492</v>
      </c>
      <c r="I2198" s="9">
        <f t="shared" si="413"/>
        <v>-2.6418744456983842E-3</v>
      </c>
      <c r="J2198" s="9">
        <f t="shared" si="414"/>
        <v>56107.358571428573</v>
      </c>
      <c r="K2198" s="9">
        <f t="shared" si="405"/>
        <v>55947.428666666681</v>
      </c>
      <c r="L2198" s="9">
        <f t="shared" si="404"/>
        <v>57789.672222222231</v>
      </c>
      <c r="M2198" s="9">
        <f t="shared" si="415"/>
        <v>4.7313396755252809E-3</v>
      </c>
      <c r="N2198" s="9">
        <f t="shared" si="406"/>
        <v>5.8462093025757602E-3</v>
      </c>
    </row>
    <row r="2199" spans="1:14" x14ac:dyDescent="0.35">
      <c r="A2199" s="1">
        <v>45583</v>
      </c>
      <c r="B2199" s="2" t="s">
        <v>2198</v>
      </c>
      <c r="C2199">
        <f t="shared" si="407"/>
        <v>55415.27</v>
      </c>
      <c r="D2199">
        <f t="shared" si="408"/>
        <v>2024</v>
      </c>
      <c r="E2199">
        <f t="shared" si="409"/>
        <v>10</v>
      </c>
      <c r="F2199" t="str">
        <f t="shared" si="411"/>
        <v>October</v>
      </c>
      <c r="G2199">
        <f t="shared" si="410"/>
        <v>18</v>
      </c>
      <c r="H2199" s="7">
        <f t="shared" si="412"/>
        <v>0.20078030197688965</v>
      </c>
      <c r="I2199" s="9">
        <f t="shared" si="413"/>
        <v>2.0057900772303006E-3</v>
      </c>
      <c r="J2199" s="9">
        <f t="shared" si="414"/>
        <v>55944.451428571425</v>
      </c>
      <c r="K2199" s="9">
        <f t="shared" si="405"/>
        <v>55941.940333333347</v>
      </c>
      <c r="L2199" s="9">
        <f t="shared" si="404"/>
        <v>57752.061555555556</v>
      </c>
      <c r="M2199" s="9">
        <f t="shared" si="415"/>
        <v>4.6248041496370507E-3</v>
      </c>
      <c r="N2199" s="9">
        <f t="shared" si="406"/>
        <v>5.8269118657248648E-3</v>
      </c>
    </row>
    <row r="2200" spans="1:14" x14ac:dyDescent="0.35">
      <c r="A2200" s="1">
        <v>45586</v>
      </c>
      <c r="B2200" s="2" t="s">
        <v>2199</v>
      </c>
      <c r="C2200">
        <f t="shared" si="407"/>
        <v>55534.6</v>
      </c>
      <c r="D2200">
        <f t="shared" si="408"/>
        <v>2024</v>
      </c>
      <c r="E2200">
        <f t="shared" si="409"/>
        <v>10</v>
      </c>
      <c r="F2200" t="str">
        <f t="shared" si="411"/>
        <v>October</v>
      </c>
      <c r="G2200">
        <f t="shared" si="410"/>
        <v>21</v>
      </c>
      <c r="H2200" s="7">
        <f t="shared" si="412"/>
        <v>0.21533775798620444</v>
      </c>
      <c r="I2200" s="9">
        <f t="shared" si="413"/>
        <v>2.1510623854241783E-3</v>
      </c>
      <c r="J2200" s="9">
        <f t="shared" si="414"/>
        <v>55784.268571428569</v>
      </c>
      <c r="K2200" s="9">
        <f t="shared" si="405"/>
        <v>55959.948666666671</v>
      </c>
      <c r="L2200" s="9">
        <f t="shared" si="404"/>
        <v>57716.092777777783</v>
      </c>
      <c r="M2200" s="9">
        <f t="shared" si="415"/>
        <v>4.6906455247727142E-3</v>
      </c>
      <c r="N2200" s="9">
        <f t="shared" si="406"/>
        <v>5.4903945099282992E-3</v>
      </c>
    </row>
    <row r="2201" spans="1:14" x14ac:dyDescent="0.35">
      <c r="A2201" s="1">
        <v>45587</v>
      </c>
      <c r="B2201" s="2" t="s">
        <v>2200</v>
      </c>
      <c r="C2201">
        <f t="shared" si="407"/>
        <v>54983.32</v>
      </c>
      <c r="D2201">
        <f t="shared" si="408"/>
        <v>2024</v>
      </c>
      <c r="E2201">
        <f t="shared" si="409"/>
        <v>10</v>
      </c>
      <c r="F2201" t="str">
        <f t="shared" si="411"/>
        <v>October</v>
      </c>
      <c r="G2201">
        <f t="shared" si="410"/>
        <v>22</v>
      </c>
      <c r="H2201" s="7">
        <f t="shared" si="412"/>
        <v>-0.99267843830692737</v>
      </c>
      <c r="I2201" s="9">
        <f t="shared" si="413"/>
        <v>-9.9763834194331984E-3</v>
      </c>
      <c r="J2201" s="9">
        <f t="shared" si="414"/>
        <v>55554.887142857144</v>
      </c>
      <c r="K2201" s="9">
        <f t="shared" si="405"/>
        <v>55952.257000000005</v>
      </c>
      <c r="L2201" s="9">
        <f t="shared" si="404"/>
        <v>57682.217555555559</v>
      </c>
      <c r="M2201" s="9">
        <f t="shared" si="415"/>
        <v>5.3050932500482871E-3</v>
      </c>
      <c r="N2201" s="9">
        <f t="shared" si="406"/>
        <v>5.7548139551460023E-3</v>
      </c>
    </row>
    <row r="2202" spans="1:14" x14ac:dyDescent="0.35">
      <c r="A2202" s="1">
        <v>45588</v>
      </c>
      <c r="B2202" s="2" t="s">
        <v>2201</v>
      </c>
      <c r="C2202">
        <f t="shared" si="407"/>
        <v>55465.65</v>
      </c>
      <c r="D2202">
        <f t="shared" si="408"/>
        <v>2024</v>
      </c>
      <c r="E2202">
        <f t="shared" si="409"/>
        <v>10</v>
      </c>
      <c r="F2202" t="str">
        <f t="shared" si="411"/>
        <v>October</v>
      </c>
      <c r="G2202">
        <f t="shared" si="410"/>
        <v>23</v>
      </c>
      <c r="H2202" s="7">
        <f t="shared" si="412"/>
        <v>0.87722967619998526</v>
      </c>
      <c r="I2202" s="9">
        <f t="shared" si="413"/>
        <v>8.7340437153665754E-3</v>
      </c>
      <c r="J2202" s="9">
        <f t="shared" si="414"/>
        <v>55455.365714285712</v>
      </c>
      <c r="K2202" s="9">
        <f t="shared" si="405"/>
        <v>55965.432666666675</v>
      </c>
      <c r="L2202" s="9">
        <f t="shared" si="404"/>
        <v>57652.164333333334</v>
      </c>
      <c r="M2202" s="9">
        <f t="shared" si="415"/>
        <v>6.8795590542783313E-3</v>
      </c>
      <c r="N2202" s="9">
        <f t="shared" si="406"/>
        <v>5.9561372139599021E-3</v>
      </c>
    </row>
    <row r="2203" spans="1:14" x14ac:dyDescent="0.35">
      <c r="A2203" s="1">
        <v>45589</v>
      </c>
      <c r="B2203" s="2" t="s">
        <v>2202</v>
      </c>
      <c r="C2203">
        <f t="shared" si="407"/>
        <v>55155.13</v>
      </c>
      <c r="D2203">
        <f t="shared" si="408"/>
        <v>2024</v>
      </c>
      <c r="E2203">
        <f t="shared" si="409"/>
        <v>10</v>
      </c>
      <c r="F2203" t="str">
        <f t="shared" si="411"/>
        <v>October</v>
      </c>
      <c r="G2203">
        <f t="shared" si="410"/>
        <v>24</v>
      </c>
      <c r="H2203" s="7">
        <f t="shared" si="412"/>
        <v>-0.55984199229614018</v>
      </c>
      <c r="I2203" s="9">
        <f t="shared" si="413"/>
        <v>-5.6141498115978286E-3</v>
      </c>
      <c r="J2203" s="9">
        <f t="shared" si="414"/>
        <v>55329.818571428579</v>
      </c>
      <c r="K2203" s="9">
        <f t="shared" si="405"/>
        <v>55942.612666666661</v>
      </c>
      <c r="L2203" s="9">
        <f t="shared" si="404"/>
        <v>57623.805555555569</v>
      </c>
      <c r="M2203" s="9">
        <f t="shared" si="415"/>
        <v>7.0333901620274024E-3</v>
      </c>
      <c r="N2203" s="9">
        <f t="shared" si="406"/>
        <v>5.4597759300331269E-3</v>
      </c>
    </row>
    <row r="2204" spans="1:14" x14ac:dyDescent="0.35">
      <c r="A2204" s="1">
        <v>45590</v>
      </c>
      <c r="B2204" s="2" t="s">
        <v>2203</v>
      </c>
      <c r="C2204">
        <f t="shared" si="407"/>
        <v>55700.639999999999</v>
      </c>
      <c r="D2204">
        <f t="shared" si="408"/>
        <v>2024</v>
      </c>
      <c r="E2204">
        <f t="shared" si="409"/>
        <v>10</v>
      </c>
      <c r="F2204" t="str">
        <f t="shared" si="411"/>
        <v>October</v>
      </c>
      <c r="G2204">
        <f t="shared" si="410"/>
        <v>25</v>
      </c>
      <c r="H2204" s="7">
        <f t="shared" si="412"/>
        <v>0.98904671242729736</v>
      </c>
      <c r="I2204" s="9">
        <f t="shared" si="413"/>
        <v>9.8418765804071332E-3</v>
      </c>
      <c r="J2204" s="9">
        <f t="shared" si="414"/>
        <v>55365.548571428575</v>
      </c>
      <c r="K2204" s="9">
        <f t="shared" si="405"/>
        <v>55937.05599999999</v>
      </c>
      <c r="L2204" s="9">
        <f t="shared" ref="L2204:L2267" si="416">AVERAGE(C2115:C2204)</f>
        <v>57604.781999999999</v>
      </c>
      <c r="M2204" s="9">
        <f t="shared" si="415"/>
        <v>7.267844656872597E-3</v>
      </c>
      <c r="N2204" s="9">
        <f t="shared" si="406"/>
        <v>5.7710884638340586E-3</v>
      </c>
    </row>
    <row r="2205" spans="1:14" x14ac:dyDescent="0.35">
      <c r="A2205" s="1">
        <v>45593</v>
      </c>
      <c r="B2205" s="2" t="s">
        <v>2204</v>
      </c>
      <c r="C2205">
        <f t="shared" si="407"/>
        <v>55980.05</v>
      </c>
      <c r="D2205">
        <f t="shared" si="408"/>
        <v>2024</v>
      </c>
      <c r="E2205">
        <f t="shared" si="409"/>
        <v>10</v>
      </c>
      <c r="F2205" t="str">
        <f t="shared" si="411"/>
        <v>October</v>
      </c>
      <c r="G2205">
        <f t="shared" si="410"/>
        <v>28</v>
      </c>
      <c r="H2205" s="7">
        <f t="shared" si="412"/>
        <v>0.50162798847554257</v>
      </c>
      <c r="I2205" s="9">
        <f t="shared" si="413"/>
        <v>5.0037402701424505E-3</v>
      </c>
      <c r="J2205" s="9">
        <f t="shared" si="414"/>
        <v>55462.09428571428</v>
      </c>
      <c r="K2205" s="9">
        <f t="shared" si="405"/>
        <v>55940.809000000001</v>
      </c>
      <c r="L2205" s="9">
        <f t="shared" si="416"/>
        <v>57584.054000000011</v>
      </c>
      <c r="M2205" s="9">
        <f t="shared" si="415"/>
        <v>7.2664257990758202E-3</v>
      </c>
      <c r="N2205" s="9">
        <f t="shared" si="406"/>
        <v>5.8458897134520509E-3</v>
      </c>
    </row>
    <row r="2206" spans="1:14" x14ac:dyDescent="0.35">
      <c r="A2206" s="1">
        <v>45594</v>
      </c>
      <c r="B2206" s="2" t="s">
        <v>2205</v>
      </c>
      <c r="C2206">
        <f t="shared" si="407"/>
        <v>56163.6</v>
      </c>
      <c r="D2206">
        <f t="shared" si="408"/>
        <v>2024</v>
      </c>
      <c r="E2206">
        <f t="shared" si="409"/>
        <v>10</v>
      </c>
      <c r="F2206" t="str">
        <f t="shared" si="411"/>
        <v>October</v>
      </c>
      <c r="G2206">
        <f t="shared" si="410"/>
        <v>29</v>
      </c>
      <c r="H2206" s="7">
        <f t="shared" si="412"/>
        <v>0.3278846660551315</v>
      </c>
      <c r="I2206" s="9">
        <f t="shared" si="413"/>
        <v>3.2734829641337141E-3</v>
      </c>
      <c r="J2206" s="9">
        <f t="shared" si="414"/>
        <v>55568.998571428572</v>
      </c>
      <c r="K2206" s="9">
        <f t="shared" si="405"/>
        <v>55945.890333333329</v>
      </c>
      <c r="L2206" s="9">
        <f t="shared" si="416"/>
        <v>57570.933888888889</v>
      </c>
      <c r="M2206" s="9">
        <f t="shared" si="415"/>
        <v>7.2900541053265407E-3</v>
      </c>
      <c r="N2206" s="9">
        <f t="shared" si="406"/>
        <v>5.8576914105618215E-3</v>
      </c>
    </row>
    <row r="2207" spans="1:14" x14ac:dyDescent="0.35">
      <c r="A2207" s="1">
        <v>45595</v>
      </c>
      <c r="B2207" s="2" t="s">
        <v>2206</v>
      </c>
      <c r="C2207">
        <f t="shared" si="407"/>
        <v>55944.83</v>
      </c>
      <c r="D2207">
        <f t="shared" si="408"/>
        <v>2024</v>
      </c>
      <c r="E2207">
        <f t="shared" si="409"/>
        <v>10</v>
      </c>
      <c r="F2207" t="str">
        <f t="shared" si="411"/>
        <v>October</v>
      </c>
      <c r="G2207">
        <f t="shared" si="410"/>
        <v>30</v>
      </c>
      <c r="H2207" s="7">
        <f t="shared" si="412"/>
        <v>-0.38952275139057468</v>
      </c>
      <c r="I2207" s="9">
        <f t="shared" si="413"/>
        <v>-3.9028336708308961E-3</v>
      </c>
      <c r="J2207" s="9">
        <f t="shared" si="414"/>
        <v>55627.602857142854</v>
      </c>
      <c r="K2207" s="9">
        <f t="shared" si="405"/>
        <v>55942.381333333338</v>
      </c>
      <c r="L2207" s="9">
        <f t="shared" si="416"/>
        <v>57553.391777777768</v>
      </c>
      <c r="M2207" s="9">
        <f t="shared" si="415"/>
        <v>7.6096444505242269E-3</v>
      </c>
      <c r="N2207" s="9">
        <f t="shared" si="406"/>
        <v>5.9013191406725096E-3</v>
      </c>
    </row>
    <row r="2208" spans="1:14" x14ac:dyDescent="0.35">
      <c r="A2208" s="1">
        <v>45596</v>
      </c>
      <c r="B2208" s="2" t="s">
        <v>2207</v>
      </c>
      <c r="C2208">
        <f t="shared" si="407"/>
        <v>55685.01</v>
      </c>
      <c r="D2208">
        <f t="shared" si="408"/>
        <v>2024</v>
      </c>
      <c r="E2208">
        <f t="shared" si="409"/>
        <v>10</v>
      </c>
      <c r="F2208" t="str">
        <f t="shared" si="411"/>
        <v>October</v>
      </c>
      <c r="G2208">
        <f t="shared" si="410"/>
        <v>31</v>
      </c>
      <c r="H2208" s="7">
        <f t="shared" si="412"/>
        <v>-0.46442182414353511</v>
      </c>
      <c r="I2208" s="9">
        <f t="shared" si="413"/>
        <v>-4.655036129723367E-3</v>
      </c>
      <c r="J2208" s="9">
        <f t="shared" si="414"/>
        <v>55727.84428571428</v>
      </c>
      <c r="K2208" s="9">
        <f t="shared" ref="K2208:K2271" si="417">AVERAGE(C2179:C2208)</f>
        <v>55943.71</v>
      </c>
      <c r="L2208" s="9">
        <f t="shared" si="416"/>
        <v>57527.699333333316</v>
      </c>
      <c r="M2208" s="9">
        <f t="shared" si="415"/>
        <v>6.5108412862897461E-3</v>
      </c>
      <c r="N2208" s="9">
        <f t="shared" si="406"/>
        <v>5.8106156213568322E-3</v>
      </c>
    </row>
    <row r="2209" spans="1:14" x14ac:dyDescent="0.35">
      <c r="A2209" s="1">
        <v>45597</v>
      </c>
      <c r="B2209" s="2" t="s">
        <v>2208</v>
      </c>
      <c r="C2209">
        <f t="shared" si="407"/>
        <v>55200.49</v>
      </c>
      <c r="D2209">
        <f t="shared" si="408"/>
        <v>2024</v>
      </c>
      <c r="E2209">
        <f t="shared" si="409"/>
        <v>11</v>
      </c>
      <c r="F2209" t="str">
        <f t="shared" si="411"/>
        <v>November</v>
      </c>
      <c r="G2209">
        <f t="shared" si="410"/>
        <v>1</v>
      </c>
      <c r="H2209" s="7">
        <f t="shared" si="412"/>
        <v>-0.87010849059738704</v>
      </c>
      <c r="I2209" s="9">
        <f t="shared" si="413"/>
        <v>-8.7391603713772113E-3</v>
      </c>
      <c r="J2209" s="9">
        <f t="shared" si="414"/>
        <v>55689.964285714283</v>
      </c>
      <c r="K2209" s="9">
        <f t="shared" si="417"/>
        <v>55922.049000000006</v>
      </c>
      <c r="L2209" s="9">
        <f t="shared" si="416"/>
        <v>57496.456888888883</v>
      </c>
      <c r="M2209" s="9">
        <f t="shared" si="415"/>
        <v>6.7592916309966123E-3</v>
      </c>
      <c r="N2209" s="9">
        <f t="shared" ref="N2209:N2272" si="418">STDEV(I2180:I2209)</f>
        <v>5.9810443545403142E-3</v>
      </c>
    </row>
    <row r="2210" spans="1:14" x14ac:dyDescent="0.35">
      <c r="A2210" s="1">
        <v>45600</v>
      </c>
      <c r="B2210" s="2" t="s">
        <v>2209</v>
      </c>
      <c r="C2210">
        <f t="shared" si="407"/>
        <v>55390.07</v>
      </c>
      <c r="D2210">
        <f t="shared" si="408"/>
        <v>2024</v>
      </c>
      <c r="E2210">
        <f t="shared" si="409"/>
        <v>11</v>
      </c>
      <c r="F2210" t="str">
        <f t="shared" si="411"/>
        <v>November</v>
      </c>
      <c r="G2210">
        <f t="shared" si="410"/>
        <v>4</v>
      </c>
      <c r="H2210" s="7">
        <f t="shared" si="412"/>
        <v>0.34343898034238779</v>
      </c>
      <c r="I2210" s="9">
        <f t="shared" si="413"/>
        <v>3.4285057549916318E-3</v>
      </c>
      <c r="J2210" s="9">
        <f t="shared" si="414"/>
        <v>55723.527142857143</v>
      </c>
      <c r="K2210" s="9">
        <f t="shared" si="417"/>
        <v>55896.633333333331</v>
      </c>
      <c r="L2210" s="9">
        <f t="shared" si="416"/>
        <v>57467.311222222219</v>
      </c>
      <c r="M2210" s="9">
        <f t="shared" si="415"/>
        <v>6.5200157704810874E-3</v>
      </c>
      <c r="N2210" s="9">
        <f t="shared" si="418"/>
        <v>5.9259215072756102E-3</v>
      </c>
    </row>
    <row r="2211" spans="1:14" x14ac:dyDescent="0.35">
      <c r="A2211" s="1">
        <v>45601</v>
      </c>
      <c r="B2211" s="2" t="s">
        <v>2210</v>
      </c>
      <c r="C2211">
        <f t="shared" si="407"/>
        <v>55207.41</v>
      </c>
      <c r="D2211">
        <f t="shared" si="408"/>
        <v>2024</v>
      </c>
      <c r="E2211">
        <f t="shared" si="409"/>
        <v>11</v>
      </c>
      <c r="F2211" t="str">
        <f t="shared" si="411"/>
        <v>November</v>
      </c>
      <c r="G2211">
        <f t="shared" si="410"/>
        <v>5</v>
      </c>
      <c r="H2211" s="7">
        <f t="shared" si="412"/>
        <v>-0.32977029998336566</v>
      </c>
      <c r="I2211" s="9">
        <f t="shared" si="413"/>
        <v>-3.303152406018083E-3</v>
      </c>
      <c r="J2211" s="9">
        <f t="shared" si="414"/>
        <v>55653.065714285709</v>
      </c>
      <c r="K2211" s="9">
        <f t="shared" si="417"/>
        <v>55858.008333333331</v>
      </c>
      <c r="L2211" s="9">
        <f t="shared" si="416"/>
        <v>57436.169333333324</v>
      </c>
      <c r="M2211" s="9">
        <f t="shared" si="415"/>
        <v>5.1702894183339966E-3</v>
      </c>
      <c r="N2211" s="9">
        <f t="shared" si="418"/>
        <v>5.8919030179265001E-3</v>
      </c>
    </row>
    <row r="2212" spans="1:14" x14ac:dyDescent="0.35">
      <c r="A2212" s="1">
        <v>45602</v>
      </c>
      <c r="B2212" s="2" t="s">
        <v>2211</v>
      </c>
      <c r="C2212">
        <f t="shared" si="407"/>
        <v>54883.21</v>
      </c>
      <c r="D2212">
        <f t="shared" si="408"/>
        <v>2024</v>
      </c>
      <c r="E2212">
        <f t="shared" si="409"/>
        <v>11</v>
      </c>
      <c r="F2212" t="str">
        <f t="shared" si="411"/>
        <v>November</v>
      </c>
      <c r="G2212">
        <f t="shared" si="410"/>
        <v>6</v>
      </c>
      <c r="H2212" s="7">
        <f t="shared" si="412"/>
        <v>-0.58724000999142023</v>
      </c>
      <c r="I2212" s="9">
        <f t="shared" si="413"/>
        <v>-5.8897104434912344E-3</v>
      </c>
      <c r="J2212" s="9">
        <f t="shared" si="414"/>
        <v>55496.374285714293</v>
      </c>
      <c r="K2212" s="9">
        <f t="shared" si="417"/>
        <v>55820.489666666668</v>
      </c>
      <c r="L2212" s="9">
        <f t="shared" si="416"/>
        <v>57390.680222222218</v>
      </c>
      <c r="M2212" s="9">
        <f t="shared" si="415"/>
        <v>4.5717781968122847E-3</v>
      </c>
      <c r="N2212" s="9">
        <f t="shared" si="418"/>
        <v>5.8768869481162327E-3</v>
      </c>
    </row>
    <row r="2213" spans="1:14" x14ac:dyDescent="0.35">
      <c r="A2213" s="1">
        <v>45603</v>
      </c>
      <c r="B2213" s="2" t="s">
        <v>2212</v>
      </c>
      <c r="C2213">
        <f t="shared" si="407"/>
        <v>54888.89</v>
      </c>
      <c r="D2213">
        <f t="shared" si="408"/>
        <v>2024</v>
      </c>
      <c r="E2213">
        <f t="shared" si="409"/>
        <v>11</v>
      </c>
      <c r="F2213" t="str">
        <f t="shared" si="411"/>
        <v>November</v>
      </c>
      <c r="G2213">
        <f t="shared" si="410"/>
        <v>7</v>
      </c>
      <c r="H2213" s="7">
        <f t="shared" si="412"/>
        <v>1.0349248886864108E-2</v>
      </c>
      <c r="I2213" s="9">
        <f t="shared" si="413"/>
        <v>1.0348713389037696E-4</v>
      </c>
      <c r="J2213" s="9">
        <f t="shared" si="414"/>
        <v>55314.27285714286</v>
      </c>
      <c r="K2213" s="9">
        <f t="shared" si="417"/>
        <v>55792.63033333332</v>
      </c>
      <c r="L2213" s="9">
        <f t="shared" si="416"/>
        <v>57338.252999999982</v>
      </c>
      <c r="M2213" s="9">
        <f t="shared" si="415"/>
        <v>3.986314855284878E-3</v>
      </c>
      <c r="N2213" s="9">
        <f t="shared" si="418"/>
        <v>5.8187312555632352E-3</v>
      </c>
    </row>
    <row r="2214" spans="1:14" x14ac:dyDescent="0.35">
      <c r="A2214" s="1">
        <v>45604</v>
      </c>
      <c r="B2214" s="2" t="s">
        <v>2213</v>
      </c>
      <c r="C2214">
        <f t="shared" si="407"/>
        <v>54836.19</v>
      </c>
      <c r="D2214">
        <f t="shared" si="408"/>
        <v>2024</v>
      </c>
      <c r="E2214">
        <f t="shared" si="409"/>
        <v>11</v>
      </c>
      <c r="F2214" t="str">
        <f t="shared" si="411"/>
        <v>November</v>
      </c>
      <c r="G2214">
        <f t="shared" si="410"/>
        <v>8</v>
      </c>
      <c r="H2214" s="7">
        <f t="shared" si="412"/>
        <v>-9.6012143805416894E-2</v>
      </c>
      <c r="I2214" s="9">
        <f t="shared" si="413"/>
        <v>-9.6058264987857345E-4</v>
      </c>
      <c r="J2214" s="9">
        <f t="shared" si="414"/>
        <v>55155.895714285718</v>
      </c>
      <c r="K2214" s="9">
        <f t="shared" si="417"/>
        <v>55757.896999999997</v>
      </c>
      <c r="L2214" s="9">
        <f t="shared" si="416"/>
        <v>57286.995333333325</v>
      </c>
      <c r="M2214" s="9">
        <f t="shared" si="415"/>
        <v>4.0640200744801198E-3</v>
      </c>
      <c r="N2214" s="9">
        <f t="shared" si="418"/>
        <v>5.7865073215916723E-3</v>
      </c>
    </row>
    <row r="2215" spans="1:14" x14ac:dyDescent="0.35">
      <c r="A2215" s="1">
        <v>45607</v>
      </c>
      <c r="B2215" s="2" t="s">
        <v>2214</v>
      </c>
      <c r="C2215">
        <f t="shared" si="407"/>
        <v>54499.11</v>
      </c>
      <c r="D2215">
        <f t="shared" si="408"/>
        <v>2024</v>
      </c>
      <c r="E2215">
        <f t="shared" si="409"/>
        <v>11</v>
      </c>
      <c r="F2215" t="str">
        <f t="shared" si="411"/>
        <v>November</v>
      </c>
      <c r="G2215">
        <f t="shared" si="410"/>
        <v>11</v>
      </c>
      <c r="H2215" s="7">
        <f t="shared" si="412"/>
        <v>-0.61470353793726684</v>
      </c>
      <c r="I2215" s="9">
        <f t="shared" si="413"/>
        <v>-6.1660061841106251E-3</v>
      </c>
      <c r="J2215" s="9">
        <f t="shared" si="414"/>
        <v>54986.481428571431</v>
      </c>
      <c r="K2215" s="9">
        <f t="shared" si="417"/>
        <v>55725.194000000003</v>
      </c>
      <c r="L2215" s="9">
        <f t="shared" si="416"/>
        <v>57228.398444444436</v>
      </c>
      <c r="M2215" s="9">
        <f t="shared" si="415"/>
        <v>4.2126952628422799E-3</v>
      </c>
      <c r="N2215" s="9">
        <f t="shared" si="418"/>
        <v>5.7510208979042994E-3</v>
      </c>
    </row>
    <row r="2216" spans="1:14" x14ac:dyDescent="0.35">
      <c r="A2216" s="1">
        <v>45608</v>
      </c>
      <c r="B2216" s="2" t="s">
        <v>2215</v>
      </c>
      <c r="C2216">
        <f t="shared" si="407"/>
        <v>54368.62</v>
      </c>
      <c r="D2216">
        <f t="shared" si="408"/>
        <v>2024</v>
      </c>
      <c r="E2216">
        <f t="shared" si="409"/>
        <v>11</v>
      </c>
      <c r="F2216" t="str">
        <f t="shared" si="411"/>
        <v>November</v>
      </c>
      <c r="G2216">
        <f t="shared" si="410"/>
        <v>12</v>
      </c>
      <c r="H2216" s="7">
        <f t="shared" si="412"/>
        <v>-0.23943510270167342</v>
      </c>
      <c r="I2216" s="9">
        <f t="shared" si="413"/>
        <v>-2.3972220692077672E-3</v>
      </c>
      <c r="J2216" s="9">
        <f t="shared" si="414"/>
        <v>54867.642857142855</v>
      </c>
      <c r="K2216" s="9">
        <f t="shared" si="417"/>
        <v>55665.988000000005</v>
      </c>
      <c r="L2216" s="9">
        <f t="shared" si="416"/>
        <v>57161.178777777764</v>
      </c>
      <c r="M2216" s="9">
        <f t="shared" si="415"/>
        <v>3.39398173665276E-3</v>
      </c>
      <c r="N2216" s="9">
        <f t="shared" si="418"/>
        <v>5.2498470100455427E-3</v>
      </c>
    </row>
    <row r="2217" spans="1:14" x14ac:dyDescent="0.35">
      <c r="A2217" s="1">
        <v>45609</v>
      </c>
      <c r="B2217" s="2" t="s">
        <v>2216</v>
      </c>
      <c r="C2217">
        <f t="shared" si="407"/>
        <v>54162.71</v>
      </c>
      <c r="D2217">
        <f t="shared" si="408"/>
        <v>2024</v>
      </c>
      <c r="E2217">
        <f t="shared" si="409"/>
        <v>11</v>
      </c>
      <c r="F2217" t="str">
        <f t="shared" si="411"/>
        <v>November</v>
      </c>
      <c r="G2217">
        <f t="shared" si="410"/>
        <v>13</v>
      </c>
      <c r="H2217" s="7">
        <f t="shared" si="412"/>
        <v>-0.37872949506535847</v>
      </c>
      <c r="I2217" s="9">
        <f t="shared" si="413"/>
        <v>-3.7944849115847047E-3</v>
      </c>
      <c r="J2217" s="9">
        <f t="shared" si="414"/>
        <v>54692.305714285714</v>
      </c>
      <c r="K2217" s="9">
        <f t="shared" si="417"/>
        <v>55594.316666666666</v>
      </c>
      <c r="L2217" s="9">
        <f t="shared" si="416"/>
        <v>57095.400111111107</v>
      </c>
      <c r="M2217" s="9">
        <f t="shared" si="415"/>
        <v>2.3440793855110087E-3</v>
      </c>
      <c r="N2217" s="9">
        <f t="shared" si="418"/>
        <v>5.2149020471687511E-3</v>
      </c>
    </row>
    <row r="2218" spans="1:14" x14ac:dyDescent="0.35">
      <c r="A2218" s="1">
        <v>45610</v>
      </c>
      <c r="B2218" s="2" t="s">
        <v>2217</v>
      </c>
      <c r="C2218">
        <f t="shared" si="407"/>
        <v>54287.32</v>
      </c>
      <c r="D2218">
        <f t="shared" si="408"/>
        <v>2024</v>
      </c>
      <c r="E2218">
        <f t="shared" si="409"/>
        <v>11</v>
      </c>
      <c r="F2218" t="str">
        <f t="shared" si="411"/>
        <v>November</v>
      </c>
      <c r="G2218">
        <f t="shared" si="410"/>
        <v>14</v>
      </c>
      <c r="H2218" s="7">
        <f t="shared" si="412"/>
        <v>0.23006603620830748</v>
      </c>
      <c r="I2218" s="9">
        <f t="shared" si="413"/>
        <v>2.2980178952019432E-3</v>
      </c>
      <c r="J2218" s="9">
        <f t="shared" si="414"/>
        <v>54560.864285714291</v>
      </c>
      <c r="K2218" s="9">
        <f t="shared" si="417"/>
        <v>55520.112000000001</v>
      </c>
      <c r="L2218" s="9">
        <f t="shared" si="416"/>
        <v>57030.17522222222</v>
      </c>
      <c r="M2218" s="9">
        <f t="shared" si="415"/>
        <v>3.1282639937280934E-3</v>
      </c>
      <c r="N2218" s="9">
        <f t="shared" si="418"/>
        <v>5.1794625388589758E-3</v>
      </c>
    </row>
    <row r="2219" spans="1:14" x14ac:dyDescent="0.35">
      <c r="A2219" s="1">
        <v>45611</v>
      </c>
      <c r="B2219" s="2" t="s">
        <v>2218</v>
      </c>
      <c r="C2219">
        <f t="shared" si="407"/>
        <v>54091.11</v>
      </c>
      <c r="D2219">
        <f t="shared" si="408"/>
        <v>2024</v>
      </c>
      <c r="E2219">
        <f t="shared" si="409"/>
        <v>11</v>
      </c>
      <c r="F2219" t="str">
        <f t="shared" si="411"/>
        <v>November</v>
      </c>
      <c r="G2219">
        <f t="shared" si="410"/>
        <v>15</v>
      </c>
      <c r="H2219" s="7">
        <f t="shared" si="412"/>
        <v>-0.36142878300125914</v>
      </c>
      <c r="I2219" s="9">
        <f t="shared" si="413"/>
        <v>-3.6208351489625734E-3</v>
      </c>
      <c r="J2219" s="9">
        <f t="shared" si="414"/>
        <v>54447.707142857143</v>
      </c>
      <c r="K2219" s="9">
        <f t="shared" si="417"/>
        <v>55439.078666666668</v>
      </c>
      <c r="L2219" s="9">
        <f t="shared" si="416"/>
        <v>56960.921444444444</v>
      </c>
      <c r="M2219" s="9">
        <f t="shared" si="415"/>
        <v>2.8076499155677238E-3</v>
      </c>
      <c r="N2219" s="9">
        <f t="shared" si="418"/>
        <v>5.1877820190770292E-3</v>
      </c>
    </row>
    <row r="2220" spans="1:14" x14ac:dyDescent="0.35">
      <c r="A2220" s="1">
        <v>45614</v>
      </c>
      <c r="B2220" s="2" t="s">
        <v>2219</v>
      </c>
      <c r="C2220">
        <f t="shared" si="407"/>
        <v>53261.64</v>
      </c>
      <c r="D2220">
        <f t="shared" si="408"/>
        <v>2024</v>
      </c>
      <c r="E2220">
        <f t="shared" si="409"/>
        <v>11</v>
      </c>
      <c r="F2220" t="str">
        <f t="shared" si="411"/>
        <v>November</v>
      </c>
      <c r="G2220">
        <f t="shared" si="410"/>
        <v>18</v>
      </c>
      <c r="H2220" s="7">
        <f t="shared" si="412"/>
        <v>-1.5334682538406055</v>
      </c>
      <c r="I2220" s="9">
        <f t="shared" si="413"/>
        <v>-1.5453474774897027E-2</v>
      </c>
      <c r="J2220" s="9">
        <f t="shared" si="414"/>
        <v>54215.242857142861</v>
      </c>
      <c r="K2220" s="9">
        <f t="shared" si="417"/>
        <v>55342.2</v>
      </c>
      <c r="L2220" s="9">
        <f t="shared" si="416"/>
        <v>56882.737888888878</v>
      </c>
      <c r="M2220" s="9">
        <f t="shared" si="415"/>
        <v>5.5812916230029803E-3</v>
      </c>
      <c r="N2220" s="9">
        <f t="shared" si="418"/>
        <v>5.7238696393869352E-3</v>
      </c>
    </row>
    <row r="2221" spans="1:14" x14ac:dyDescent="0.35">
      <c r="A2221" s="1">
        <v>45615</v>
      </c>
      <c r="B2221" s="2" t="s">
        <v>2220</v>
      </c>
      <c r="C2221">
        <f t="shared" si="407"/>
        <v>53827.41</v>
      </c>
      <c r="D2221">
        <f t="shared" si="408"/>
        <v>2024</v>
      </c>
      <c r="E2221">
        <f t="shared" si="409"/>
        <v>11</v>
      </c>
      <c r="F2221" t="str">
        <f t="shared" si="411"/>
        <v>November</v>
      </c>
      <c r="G2221">
        <f t="shared" si="410"/>
        <v>19</v>
      </c>
      <c r="H2221" s="7">
        <f t="shared" si="412"/>
        <v>1.0622466750930015</v>
      </c>
      <c r="I2221" s="9">
        <f t="shared" si="413"/>
        <v>1.0566444729820601E-2</v>
      </c>
      <c r="J2221" s="9">
        <f t="shared" si="414"/>
        <v>54071.131428571432</v>
      </c>
      <c r="K2221" s="9">
        <f t="shared" si="417"/>
        <v>55256.126333333326</v>
      </c>
      <c r="L2221" s="9">
        <f t="shared" si="416"/>
        <v>56805.80711111112</v>
      </c>
      <c r="M2221" s="9">
        <f t="shared" si="415"/>
        <v>7.9347839438610526E-3</v>
      </c>
      <c r="N2221" s="9">
        <f t="shared" si="418"/>
        <v>6.057917209646625E-3</v>
      </c>
    </row>
    <row r="2222" spans="1:14" x14ac:dyDescent="0.35">
      <c r="A2222" s="1">
        <v>45616</v>
      </c>
      <c r="B2222" s="2" t="s">
        <v>2221</v>
      </c>
      <c r="C2222">
        <f t="shared" si="407"/>
        <v>53597.96</v>
      </c>
      <c r="D2222">
        <f t="shared" si="408"/>
        <v>2024</v>
      </c>
      <c r="E2222">
        <f t="shared" si="409"/>
        <v>11</v>
      </c>
      <c r="F2222" t="str">
        <f t="shared" si="411"/>
        <v>November</v>
      </c>
      <c r="G2222">
        <f t="shared" si="410"/>
        <v>20</v>
      </c>
      <c r="H2222" s="7">
        <f t="shared" si="412"/>
        <v>-0.42626981309337442</v>
      </c>
      <c r="I2222" s="9">
        <f t="shared" si="413"/>
        <v>-4.2718093300241917E-3</v>
      </c>
      <c r="J2222" s="9">
        <f t="shared" si="414"/>
        <v>53942.395714285725</v>
      </c>
      <c r="K2222" s="9">
        <f t="shared" si="417"/>
        <v>55157.537666666663</v>
      </c>
      <c r="L2222" s="9">
        <f t="shared" si="416"/>
        <v>56721.212</v>
      </c>
      <c r="M2222" s="9">
        <f t="shared" si="415"/>
        <v>7.8265539279274484E-3</v>
      </c>
      <c r="N2222" s="9">
        <f t="shared" si="418"/>
        <v>6.0253296091549845E-3</v>
      </c>
    </row>
    <row r="2223" spans="1:14" x14ac:dyDescent="0.35">
      <c r="A2223" s="1">
        <v>45617</v>
      </c>
      <c r="B2223" s="2" t="s">
        <v>2222</v>
      </c>
      <c r="C2223">
        <f t="shared" si="407"/>
        <v>53300.959999999999</v>
      </c>
      <c r="D2223">
        <f t="shared" si="408"/>
        <v>2024</v>
      </c>
      <c r="E2223">
        <f t="shared" si="409"/>
        <v>11</v>
      </c>
      <c r="F2223" t="str">
        <f t="shared" si="411"/>
        <v>November</v>
      </c>
      <c r="G2223">
        <f t="shared" si="410"/>
        <v>21</v>
      </c>
      <c r="H2223" s="7">
        <f t="shared" si="412"/>
        <v>-0.55412556746562747</v>
      </c>
      <c r="I2223" s="9">
        <f t="shared" si="413"/>
        <v>-5.5566653843411576E-3</v>
      </c>
      <c r="J2223" s="9">
        <f t="shared" si="414"/>
        <v>53789.872857142873</v>
      </c>
      <c r="K2223" s="9">
        <f t="shared" si="417"/>
        <v>55045.707000000002</v>
      </c>
      <c r="L2223" s="9">
        <f t="shared" si="416"/>
        <v>56641.215888888895</v>
      </c>
      <c r="M2223" s="9">
        <f t="shared" si="415"/>
        <v>7.9181490856655313E-3</v>
      </c>
      <c r="N2223" s="9">
        <f t="shared" si="418"/>
        <v>6.0244970976336115E-3</v>
      </c>
    </row>
    <row r="2224" spans="1:14" x14ac:dyDescent="0.35">
      <c r="A2224" s="1">
        <v>45618</v>
      </c>
      <c r="B2224" s="2" t="s">
        <v>2223</v>
      </c>
      <c r="C2224">
        <f t="shared" si="407"/>
        <v>52905.98</v>
      </c>
      <c r="D2224">
        <f t="shared" si="408"/>
        <v>2024</v>
      </c>
      <c r="E2224">
        <f t="shared" si="409"/>
        <v>11</v>
      </c>
      <c r="F2224" t="str">
        <f t="shared" si="411"/>
        <v>November</v>
      </c>
      <c r="G2224">
        <f t="shared" si="410"/>
        <v>22</v>
      </c>
      <c r="H2224" s="7">
        <f t="shared" si="412"/>
        <v>-0.74103730964694803</v>
      </c>
      <c r="I2224" s="9">
        <f t="shared" si="413"/>
        <v>-7.4379663130516695E-3</v>
      </c>
      <c r="J2224" s="9">
        <f t="shared" si="414"/>
        <v>53610.340000000004</v>
      </c>
      <c r="K2224" s="9">
        <f t="shared" si="417"/>
        <v>54922.939999999995</v>
      </c>
      <c r="L2224" s="9">
        <f t="shared" si="416"/>
        <v>56560.966666666689</v>
      </c>
      <c r="M2224" s="9">
        <f t="shared" si="415"/>
        <v>8.1093101615572379E-3</v>
      </c>
      <c r="N2224" s="9">
        <f t="shared" si="418"/>
        <v>6.1017363744048803E-3</v>
      </c>
    </row>
    <row r="2225" spans="1:14" x14ac:dyDescent="0.35">
      <c r="A2225" s="1">
        <v>45621</v>
      </c>
      <c r="B2225" s="2" t="s">
        <v>2224</v>
      </c>
      <c r="C2225">
        <f t="shared" si="407"/>
        <v>52376.38</v>
      </c>
      <c r="D2225">
        <f t="shared" si="408"/>
        <v>2024</v>
      </c>
      <c r="E2225">
        <f t="shared" si="409"/>
        <v>11</v>
      </c>
      <c r="F2225" t="str">
        <f t="shared" si="411"/>
        <v>November</v>
      </c>
      <c r="G2225">
        <f t="shared" si="410"/>
        <v>25</v>
      </c>
      <c r="H2225" s="7">
        <f t="shared" si="412"/>
        <v>-1.0010210565989057</v>
      </c>
      <c r="I2225" s="9">
        <f t="shared" si="413"/>
        <v>-1.0060649609707288E-2</v>
      </c>
      <c r="J2225" s="9">
        <f t="shared" si="414"/>
        <v>53337.348571428571</v>
      </c>
      <c r="K2225" s="9">
        <f t="shared" si="417"/>
        <v>54796.742666666658</v>
      </c>
      <c r="L2225" s="9">
        <f t="shared" si="416"/>
        <v>56481.268444444453</v>
      </c>
      <c r="M2225" s="9">
        <f t="shared" si="415"/>
        <v>8.0185808310634481E-3</v>
      </c>
      <c r="N2225" s="9">
        <f t="shared" si="418"/>
        <v>6.1930114474020824E-3</v>
      </c>
    </row>
    <row r="2226" spans="1:14" x14ac:dyDescent="0.35">
      <c r="A2226" s="1">
        <v>45622</v>
      </c>
      <c r="B2226" s="2" t="s">
        <v>2225</v>
      </c>
      <c r="C2226">
        <f t="shared" si="407"/>
        <v>52187.92</v>
      </c>
      <c r="D2226">
        <f t="shared" si="408"/>
        <v>2024</v>
      </c>
      <c r="E2226">
        <f t="shared" si="409"/>
        <v>11</v>
      </c>
      <c r="F2226" t="str">
        <f t="shared" si="411"/>
        <v>November</v>
      </c>
      <c r="G2226">
        <f t="shared" si="410"/>
        <v>26</v>
      </c>
      <c r="H2226" s="7">
        <f t="shared" si="412"/>
        <v>-0.35981868162709818</v>
      </c>
      <c r="I2226" s="9">
        <f t="shared" si="413"/>
        <v>-3.6046758609932228E-3</v>
      </c>
      <c r="J2226" s="9">
        <f t="shared" si="414"/>
        <v>53065.464285714283</v>
      </c>
      <c r="K2226" s="9">
        <f t="shared" si="417"/>
        <v>54668.541333333327</v>
      </c>
      <c r="L2226" s="9">
        <f t="shared" si="416"/>
        <v>56403.52077777779</v>
      </c>
      <c r="M2226" s="9">
        <f t="shared" si="415"/>
        <v>8.019086426245936E-3</v>
      </c>
      <c r="N2226" s="9">
        <f t="shared" si="418"/>
        <v>6.1973943348991945E-3</v>
      </c>
    </row>
    <row r="2227" spans="1:14" x14ac:dyDescent="0.35">
      <c r="A2227" s="1">
        <v>45623</v>
      </c>
      <c r="B2227" s="2" t="s">
        <v>2226</v>
      </c>
      <c r="C2227">
        <f t="shared" si="407"/>
        <v>51900.26</v>
      </c>
      <c r="D2227">
        <f t="shared" si="408"/>
        <v>2024</v>
      </c>
      <c r="E2227">
        <f t="shared" si="409"/>
        <v>11</v>
      </c>
      <c r="F2227" t="str">
        <f t="shared" si="411"/>
        <v>November</v>
      </c>
      <c r="G2227">
        <f t="shared" si="410"/>
        <v>27</v>
      </c>
      <c r="H2227" s="7">
        <f t="shared" si="412"/>
        <v>-0.55120035441151172</v>
      </c>
      <c r="I2227" s="9">
        <f t="shared" si="413"/>
        <v>-5.5272506896753889E-3</v>
      </c>
      <c r="J2227" s="9">
        <f t="shared" si="414"/>
        <v>52870.981428571431</v>
      </c>
      <c r="K2227" s="9">
        <f t="shared" si="417"/>
        <v>54550.198999999986</v>
      </c>
      <c r="L2227" s="9">
        <f t="shared" si="416"/>
        <v>56318.869222222231</v>
      </c>
      <c r="M2227" s="9">
        <f t="shared" si="415"/>
        <v>6.646851347273601E-3</v>
      </c>
      <c r="N2227" s="9">
        <f t="shared" si="418"/>
        <v>6.0384528662668531E-3</v>
      </c>
    </row>
    <row r="2228" spans="1:14" x14ac:dyDescent="0.35">
      <c r="A2228" s="1">
        <v>45624</v>
      </c>
      <c r="B2228" s="2" t="s">
        <v>2227</v>
      </c>
      <c r="C2228">
        <f t="shared" si="407"/>
        <v>52285.08</v>
      </c>
      <c r="D2228">
        <f t="shared" si="408"/>
        <v>2024</v>
      </c>
      <c r="E2228">
        <f t="shared" si="409"/>
        <v>11</v>
      </c>
      <c r="F2228" t="str">
        <f t="shared" si="411"/>
        <v>November</v>
      </c>
      <c r="G2228">
        <f t="shared" si="410"/>
        <v>28</v>
      </c>
      <c r="H2228" s="7">
        <f t="shared" si="412"/>
        <v>0.74146064008157131</v>
      </c>
      <c r="I2228" s="9">
        <f t="shared" si="413"/>
        <v>7.3872533317229433E-3</v>
      </c>
      <c r="J2228" s="9">
        <f t="shared" si="414"/>
        <v>52650.648571428574</v>
      </c>
      <c r="K2228" s="9">
        <f t="shared" si="417"/>
        <v>54449.56066666665</v>
      </c>
      <c r="L2228" s="9">
        <f t="shared" si="416"/>
        <v>56235.131333333346</v>
      </c>
      <c r="M2228" s="9">
        <f t="shared" si="415"/>
        <v>5.5233201209890798E-3</v>
      </c>
      <c r="N2228" s="9">
        <f t="shared" si="418"/>
        <v>6.2860103132731365E-3</v>
      </c>
    </row>
    <row r="2229" spans="1:14" x14ac:dyDescent="0.35">
      <c r="A2229" s="1">
        <v>45625</v>
      </c>
      <c r="B2229" s="2" t="s">
        <v>2228</v>
      </c>
      <c r="C2229">
        <f t="shared" si="407"/>
        <v>52483.9</v>
      </c>
      <c r="D2229">
        <f t="shared" si="408"/>
        <v>2024</v>
      </c>
      <c r="E2229">
        <f t="shared" si="409"/>
        <v>11</v>
      </c>
      <c r="F2229" t="str">
        <f t="shared" si="411"/>
        <v>November</v>
      </c>
      <c r="G2229">
        <f t="shared" si="410"/>
        <v>29</v>
      </c>
      <c r="H2229" s="7">
        <f t="shared" si="412"/>
        <v>0.3802614436087689</v>
      </c>
      <c r="I2229" s="9">
        <f t="shared" si="413"/>
        <v>3.795402774144487E-3</v>
      </c>
      <c r="J2229" s="9">
        <f t="shared" si="414"/>
        <v>52491.497142857152</v>
      </c>
      <c r="K2229" s="9">
        <f t="shared" si="417"/>
        <v>54351.848333333313</v>
      </c>
      <c r="L2229" s="9">
        <f t="shared" si="416"/>
        <v>56154.106666666681</v>
      </c>
      <c r="M2229" s="9">
        <f t="shared" si="415"/>
        <v>6.283709260462381E-3</v>
      </c>
      <c r="N2229" s="9">
        <f t="shared" si="418"/>
        <v>6.3323926447656706E-3</v>
      </c>
    </row>
    <row r="2230" spans="1:14" x14ac:dyDescent="0.35">
      <c r="A2230" s="1">
        <v>45628</v>
      </c>
      <c r="B2230" s="2" t="s">
        <v>2229</v>
      </c>
      <c r="C2230">
        <f t="shared" si="407"/>
        <v>52049.25</v>
      </c>
      <c r="D2230">
        <f t="shared" si="408"/>
        <v>2024</v>
      </c>
      <c r="E2230">
        <f t="shared" si="409"/>
        <v>12</v>
      </c>
      <c r="F2230" t="str">
        <f t="shared" si="411"/>
        <v>December</v>
      </c>
      <c r="G2230">
        <f t="shared" si="410"/>
        <v>2</v>
      </c>
      <c r="H2230" s="7">
        <f t="shared" si="412"/>
        <v>-0.82815873058214329</v>
      </c>
      <c r="I2230" s="9">
        <f t="shared" si="413"/>
        <v>-8.3160701638114905E-3</v>
      </c>
      <c r="J2230" s="9">
        <f t="shared" si="414"/>
        <v>52312.681428571428</v>
      </c>
      <c r="K2230" s="9">
        <f t="shared" si="417"/>
        <v>54235.669999999976</v>
      </c>
      <c r="L2230" s="9">
        <f t="shared" si="416"/>
        <v>56067.297111111126</v>
      </c>
      <c r="M2230" s="9">
        <f t="shared" si="415"/>
        <v>6.5516248450753316E-3</v>
      </c>
      <c r="N2230" s="9">
        <f t="shared" si="418"/>
        <v>6.3945817614364997E-3</v>
      </c>
    </row>
    <row r="2231" spans="1:14" x14ac:dyDescent="0.35">
      <c r="A2231" s="1">
        <v>45629</v>
      </c>
      <c r="B2231" s="2" t="s">
        <v>2230</v>
      </c>
      <c r="C2231">
        <f t="shared" si="407"/>
        <v>52163.8</v>
      </c>
      <c r="D2231">
        <f t="shared" si="408"/>
        <v>2024</v>
      </c>
      <c r="E2231">
        <f t="shared" si="409"/>
        <v>12</v>
      </c>
      <c r="F2231" t="str">
        <f t="shared" si="411"/>
        <v>December</v>
      </c>
      <c r="G2231">
        <f t="shared" si="410"/>
        <v>3</v>
      </c>
      <c r="H2231" s="7">
        <f t="shared" si="412"/>
        <v>0.22008002036533267</v>
      </c>
      <c r="I2231" s="9">
        <f t="shared" si="413"/>
        <v>2.1983819902382288E-3</v>
      </c>
      <c r="J2231" s="9">
        <f t="shared" si="414"/>
        <v>52206.65571428572</v>
      </c>
      <c r="K2231" s="9">
        <f t="shared" si="417"/>
        <v>54141.685999999987</v>
      </c>
      <c r="L2231" s="9">
        <f t="shared" si="416"/>
        <v>55979.361222222229</v>
      </c>
      <c r="M2231" s="9">
        <f t="shared" si="415"/>
        <v>6.5728557972682799E-3</v>
      </c>
      <c r="N2231" s="9">
        <f t="shared" si="418"/>
        <v>6.2664990247342945E-3</v>
      </c>
    </row>
    <row r="2232" spans="1:14" x14ac:dyDescent="0.35">
      <c r="A2232" s="1">
        <v>45630</v>
      </c>
      <c r="B2232" s="2" t="s">
        <v>2231</v>
      </c>
      <c r="C2232">
        <f t="shared" si="407"/>
        <v>51611.01</v>
      </c>
      <c r="D2232">
        <f t="shared" si="408"/>
        <v>2024</v>
      </c>
      <c r="E2232">
        <f t="shared" si="409"/>
        <v>12</v>
      </c>
      <c r="F2232" t="str">
        <f t="shared" si="411"/>
        <v>December</v>
      </c>
      <c r="G2232">
        <f t="shared" si="410"/>
        <v>4</v>
      </c>
      <c r="H2232" s="7">
        <f t="shared" si="412"/>
        <v>-1.059719575644414</v>
      </c>
      <c r="I2232" s="9">
        <f t="shared" si="413"/>
        <v>-1.0653745905547371E-2</v>
      </c>
      <c r="J2232" s="9">
        <f t="shared" si="414"/>
        <v>52097.317142857144</v>
      </c>
      <c r="K2232" s="9">
        <f t="shared" si="417"/>
        <v>54013.197999999989</v>
      </c>
      <c r="L2232" s="9">
        <f t="shared" si="416"/>
        <v>55884.121333333329</v>
      </c>
      <c r="M2232" s="9">
        <f t="shared" si="415"/>
        <v>6.6964663589425908E-3</v>
      </c>
      <c r="N2232" s="9">
        <f t="shared" si="418"/>
        <v>6.1460693640206015E-3</v>
      </c>
    </row>
    <row r="2233" spans="1:14" x14ac:dyDescent="0.35">
      <c r="A2233" s="1">
        <v>45631</v>
      </c>
      <c r="B2233" s="2" t="s">
        <v>2232</v>
      </c>
      <c r="C2233">
        <f t="shared" si="407"/>
        <v>51355.97</v>
      </c>
      <c r="D2233">
        <f t="shared" si="408"/>
        <v>2024</v>
      </c>
      <c r="E2233">
        <f t="shared" si="409"/>
        <v>12</v>
      </c>
      <c r="F2233" t="str">
        <f t="shared" si="411"/>
        <v>December</v>
      </c>
      <c r="G2233">
        <f t="shared" si="410"/>
        <v>5</v>
      </c>
      <c r="H2233" s="7">
        <f t="shared" si="412"/>
        <v>-0.4941581263377734</v>
      </c>
      <c r="I2233" s="9">
        <f t="shared" si="413"/>
        <v>-4.9538312489309693E-3</v>
      </c>
      <c r="J2233" s="9">
        <f t="shared" si="414"/>
        <v>51978.467142857146</v>
      </c>
      <c r="K2233" s="9">
        <f t="shared" si="417"/>
        <v>53886.559333333316</v>
      </c>
      <c r="L2233" s="9">
        <f t="shared" si="416"/>
        <v>55788.346888888889</v>
      </c>
      <c r="M2233" s="9">
        <f t="shared" si="415"/>
        <v>6.7659473471852983E-3</v>
      </c>
      <c r="N2233" s="9">
        <f t="shared" si="418"/>
        <v>6.135338348630226E-3</v>
      </c>
    </row>
    <row r="2234" spans="1:14" x14ac:dyDescent="0.35">
      <c r="A2234" s="1">
        <v>45632</v>
      </c>
      <c r="B2234" s="2" t="s">
        <v>2233</v>
      </c>
      <c r="C2234">
        <f t="shared" si="407"/>
        <v>51596.84</v>
      </c>
      <c r="D2234">
        <f t="shared" si="408"/>
        <v>2024</v>
      </c>
      <c r="E2234">
        <f t="shared" si="409"/>
        <v>12</v>
      </c>
      <c r="F2234" t="str">
        <f t="shared" si="411"/>
        <v>December</v>
      </c>
      <c r="G2234">
        <f t="shared" si="410"/>
        <v>6</v>
      </c>
      <c r="H2234" s="7">
        <f t="shared" si="412"/>
        <v>0.46902044689253336</v>
      </c>
      <c r="I2234" s="9">
        <f t="shared" si="413"/>
        <v>4.6792397311532785E-3</v>
      </c>
      <c r="J2234" s="9">
        <f t="shared" si="414"/>
        <v>51935.121428571423</v>
      </c>
      <c r="K2234" s="9">
        <f t="shared" si="417"/>
        <v>53749.765999999989</v>
      </c>
      <c r="L2234" s="9">
        <f t="shared" si="416"/>
        <v>55698.998333333322</v>
      </c>
      <c r="M2234" s="9">
        <f t="shared" si="415"/>
        <v>7.0473781226123577E-3</v>
      </c>
      <c r="N2234" s="9">
        <f t="shared" si="418"/>
        <v>5.8463366411853537E-3</v>
      </c>
    </row>
    <row r="2235" spans="1:14" x14ac:dyDescent="0.35">
      <c r="A2235" s="1">
        <v>45635</v>
      </c>
      <c r="B2235" s="2" t="s">
        <v>2234</v>
      </c>
      <c r="C2235">
        <f t="shared" si="407"/>
        <v>51432.24</v>
      </c>
      <c r="D2235">
        <f t="shared" si="408"/>
        <v>2024</v>
      </c>
      <c r="E2235">
        <f t="shared" si="409"/>
        <v>12</v>
      </c>
      <c r="F2235" t="str">
        <f t="shared" si="411"/>
        <v>December</v>
      </c>
      <c r="G2235">
        <f t="shared" si="410"/>
        <v>9</v>
      </c>
      <c r="H2235" s="7">
        <f t="shared" si="412"/>
        <v>-0.31901178444261036</v>
      </c>
      <c r="I2235" s="9">
        <f t="shared" si="413"/>
        <v>-3.1952171181007035E-3</v>
      </c>
      <c r="J2235" s="9">
        <f t="shared" si="414"/>
        <v>51813.287142857145</v>
      </c>
      <c r="K2235" s="9">
        <f t="shared" si="417"/>
        <v>53598.172333333328</v>
      </c>
      <c r="L2235" s="9">
        <f t="shared" si="416"/>
        <v>55611.232111111094</v>
      </c>
      <c r="M2235" s="9">
        <f t="shared" si="415"/>
        <v>6.0539860302168879E-3</v>
      </c>
      <c r="N2235" s="9">
        <f t="shared" si="418"/>
        <v>5.6699735561740348E-3</v>
      </c>
    </row>
    <row r="2236" spans="1:14" x14ac:dyDescent="0.35">
      <c r="A2236" s="1">
        <v>45636</v>
      </c>
      <c r="B2236" s="2" t="s">
        <v>2235</v>
      </c>
      <c r="C2236">
        <f t="shared" si="407"/>
        <v>51288.71</v>
      </c>
      <c r="D2236">
        <f t="shared" si="408"/>
        <v>2024</v>
      </c>
      <c r="E2236">
        <f t="shared" si="409"/>
        <v>12</v>
      </c>
      <c r="F2236" t="str">
        <f t="shared" si="411"/>
        <v>December</v>
      </c>
      <c r="G2236">
        <f t="shared" si="410"/>
        <v>10</v>
      </c>
      <c r="H2236" s="7">
        <f t="shared" si="412"/>
        <v>-0.27906620438852914</v>
      </c>
      <c r="I2236" s="9">
        <f t="shared" si="413"/>
        <v>-2.7945632007709349E-3</v>
      </c>
      <c r="J2236" s="9">
        <f t="shared" si="414"/>
        <v>51642.545714285712</v>
      </c>
      <c r="K2236" s="9">
        <f t="shared" si="417"/>
        <v>53435.675999999999</v>
      </c>
      <c r="L2236" s="9">
        <f t="shared" si="416"/>
        <v>55519.838777777768</v>
      </c>
      <c r="M2236" s="9">
        <f t="shared" si="415"/>
        <v>5.4181796580664915E-3</v>
      </c>
      <c r="N2236" s="9">
        <f t="shared" si="418"/>
        <v>5.5519474283951629E-3</v>
      </c>
    </row>
    <row r="2237" spans="1:14" x14ac:dyDescent="0.35">
      <c r="A2237" s="1">
        <v>45637</v>
      </c>
      <c r="B2237" s="2" t="s">
        <v>2236</v>
      </c>
      <c r="C2237">
        <f t="shared" si="407"/>
        <v>51503.519999999997</v>
      </c>
      <c r="D2237">
        <f t="shared" si="408"/>
        <v>2024</v>
      </c>
      <c r="E2237">
        <f t="shared" si="409"/>
        <v>12</v>
      </c>
      <c r="F2237" t="str">
        <f t="shared" si="411"/>
        <v>December</v>
      </c>
      <c r="G2237">
        <f t="shared" si="410"/>
        <v>11</v>
      </c>
      <c r="H2237" s="7">
        <f t="shared" si="412"/>
        <v>0.41882511765259384</v>
      </c>
      <c r="I2237" s="9">
        <f t="shared" si="413"/>
        <v>4.1795048652282576E-3</v>
      </c>
      <c r="J2237" s="9">
        <f t="shared" si="414"/>
        <v>51564.584285714292</v>
      </c>
      <c r="K2237" s="9">
        <f t="shared" si="417"/>
        <v>53287.632333333335</v>
      </c>
      <c r="L2237" s="9">
        <f t="shared" si="416"/>
        <v>55436.765555555547</v>
      </c>
      <c r="M2237" s="9">
        <f t="shared" si="415"/>
        <v>5.5435735564539484E-3</v>
      </c>
      <c r="N2237" s="9">
        <f t="shared" si="418"/>
        <v>5.7020331798588019E-3</v>
      </c>
    </row>
    <row r="2238" spans="1:14" x14ac:dyDescent="0.35">
      <c r="A2238" s="1">
        <v>45638</v>
      </c>
      <c r="B2238" s="2" t="s">
        <v>2237</v>
      </c>
      <c r="C2238">
        <f t="shared" si="407"/>
        <v>51072.86</v>
      </c>
      <c r="D2238">
        <f t="shared" si="408"/>
        <v>2024</v>
      </c>
      <c r="E2238">
        <f t="shared" si="409"/>
        <v>12</v>
      </c>
      <c r="F2238" t="str">
        <f t="shared" si="411"/>
        <v>December</v>
      </c>
      <c r="G2238">
        <f t="shared" si="410"/>
        <v>12</v>
      </c>
      <c r="H2238" s="7">
        <f t="shared" si="412"/>
        <v>-0.8361758574947814</v>
      </c>
      <c r="I2238" s="9">
        <f t="shared" si="413"/>
        <v>-8.3969141905311049E-3</v>
      </c>
      <c r="J2238" s="9">
        <f t="shared" si="414"/>
        <v>51408.735714285707</v>
      </c>
      <c r="K2238" s="9">
        <f t="shared" si="417"/>
        <v>53133.894</v>
      </c>
      <c r="L2238" s="9">
        <f t="shared" si="416"/>
        <v>55350.0291111111</v>
      </c>
      <c r="M2238" s="9">
        <f t="shared" si="415"/>
        <v>5.8039881221896884E-3</v>
      </c>
      <c r="N2238" s="9">
        <f t="shared" si="418"/>
        <v>5.7852970406475088E-3</v>
      </c>
    </row>
    <row r="2239" spans="1:14" x14ac:dyDescent="0.35">
      <c r="A2239" s="1">
        <v>45639</v>
      </c>
      <c r="B2239" s="2" t="s">
        <v>2238</v>
      </c>
      <c r="C2239">
        <f t="shared" si="407"/>
        <v>51402.69</v>
      </c>
      <c r="D2239">
        <f t="shared" si="408"/>
        <v>2024</v>
      </c>
      <c r="E2239">
        <f t="shared" si="409"/>
        <v>12</v>
      </c>
      <c r="F2239" t="str">
        <f t="shared" si="411"/>
        <v>December</v>
      </c>
      <c r="G2239">
        <f t="shared" si="410"/>
        <v>13</v>
      </c>
      <c r="H2239" s="7">
        <f t="shared" si="412"/>
        <v>0.64580287847596884</v>
      </c>
      <c r="I2239" s="9">
        <f t="shared" si="413"/>
        <v>6.4372650640599919E-3</v>
      </c>
      <c r="J2239" s="9">
        <f t="shared" si="414"/>
        <v>51378.975714285705</v>
      </c>
      <c r="K2239" s="9">
        <f t="shared" si="417"/>
        <v>53007.30066666667</v>
      </c>
      <c r="L2239" s="9">
        <f t="shared" si="416"/>
        <v>55268.791888888882</v>
      </c>
      <c r="M2239" s="9">
        <f t="shared" si="415"/>
        <v>5.6499655137921267E-3</v>
      </c>
      <c r="N2239" s="9">
        <f t="shared" si="418"/>
        <v>5.9174867325314977E-3</v>
      </c>
    </row>
    <row r="2240" spans="1:14" x14ac:dyDescent="0.35">
      <c r="A2240" s="1">
        <v>45643</v>
      </c>
      <c r="B2240" s="2" t="s">
        <v>2239</v>
      </c>
      <c r="C2240">
        <f t="shared" si="407"/>
        <v>51160.57</v>
      </c>
      <c r="D2240">
        <f t="shared" si="408"/>
        <v>2024</v>
      </c>
      <c r="E2240">
        <f t="shared" si="409"/>
        <v>12</v>
      </c>
      <c r="F2240" t="str">
        <f t="shared" si="411"/>
        <v>December</v>
      </c>
      <c r="G2240">
        <f t="shared" si="410"/>
        <v>17</v>
      </c>
      <c r="H2240" s="7">
        <f t="shared" si="412"/>
        <v>-0.47102593268951998</v>
      </c>
      <c r="I2240" s="9">
        <f t="shared" si="413"/>
        <v>-4.7213875566749419E-3</v>
      </c>
      <c r="J2240" s="9">
        <f t="shared" si="414"/>
        <v>51351.061428571425</v>
      </c>
      <c r="K2240" s="9">
        <f t="shared" si="417"/>
        <v>52866.31733333334</v>
      </c>
      <c r="L2240" s="9">
        <f t="shared" si="416"/>
        <v>55186.394999999997</v>
      </c>
      <c r="M2240" s="9">
        <f t="shared" si="415"/>
        <v>5.6205664903825484E-3</v>
      </c>
      <c r="N2240" s="9">
        <f t="shared" si="418"/>
        <v>5.8282209933748618E-3</v>
      </c>
    </row>
    <row r="2241" spans="1:14" x14ac:dyDescent="0.35">
      <c r="A2241" s="1">
        <v>45644</v>
      </c>
      <c r="B2241" s="2" t="s">
        <v>2240</v>
      </c>
      <c r="C2241">
        <f t="shared" si="407"/>
        <v>51615.9</v>
      </c>
      <c r="D2241">
        <f t="shared" si="408"/>
        <v>2024</v>
      </c>
      <c r="E2241">
        <f t="shared" si="409"/>
        <v>12</v>
      </c>
      <c r="F2241" t="str">
        <f t="shared" si="411"/>
        <v>December</v>
      </c>
      <c r="G2241">
        <f t="shared" si="410"/>
        <v>18</v>
      </c>
      <c r="H2241" s="7">
        <f t="shared" si="412"/>
        <v>0.89000181194228634</v>
      </c>
      <c r="I2241" s="9">
        <f t="shared" si="413"/>
        <v>8.8606463917788713E-3</v>
      </c>
      <c r="J2241" s="9">
        <f t="shared" si="414"/>
        <v>51353.78428571429</v>
      </c>
      <c r="K2241" s="9">
        <f t="shared" si="417"/>
        <v>52746.600333333336</v>
      </c>
      <c r="L2241" s="9">
        <f t="shared" si="416"/>
        <v>55114.092444444446</v>
      </c>
      <c r="M2241" s="9">
        <f t="shared" si="415"/>
        <v>6.4319109961521398E-3</v>
      </c>
      <c r="N2241" s="9">
        <f t="shared" si="418"/>
        <v>6.1927580074239751E-3</v>
      </c>
    </row>
    <row r="2242" spans="1:14" x14ac:dyDescent="0.35">
      <c r="A2242" s="1">
        <v>45645</v>
      </c>
      <c r="B2242" s="2" t="s">
        <v>2241</v>
      </c>
      <c r="C2242">
        <f t="shared" si="407"/>
        <v>50831.89</v>
      </c>
      <c r="D2242">
        <f t="shared" si="408"/>
        <v>2024</v>
      </c>
      <c r="E2242">
        <f t="shared" si="409"/>
        <v>12</v>
      </c>
      <c r="F2242" t="str">
        <f t="shared" si="411"/>
        <v>December</v>
      </c>
      <c r="G2242">
        <f t="shared" si="410"/>
        <v>19</v>
      </c>
      <c r="H2242" s="7">
        <f t="shared" si="412"/>
        <v>-1.5189311820582456</v>
      </c>
      <c r="I2242" s="9">
        <f t="shared" si="413"/>
        <v>-1.5305851023532459E-2</v>
      </c>
      <c r="J2242" s="9">
        <f t="shared" si="414"/>
        <v>51268.020000000004</v>
      </c>
      <c r="K2242" s="9">
        <f t="shared" si="417"/>
        <v>52611.556333333334</v>
      </c>
      <c r="L2242" s="9">
        <f t="shared" si="416"/>
        <v>55035.505444444439</v>
      </c>
      <c r="M2242" s="9">
        <f t="shared" si="415"/>
        <v>8.6852557776733522E-3</v>
      </c>
      <c r="N2242" s="9">
        <f t="shared" si="418"/>
        <v>6.6086557624086741E-3</v>
      </c>
    </row>
    <row r="2243" spans="1:14" x14ac:dyDescent="0.35">
      <c r="A2243" s="1">
        <v>45646</v>
      </c>
      <c r="B2243" s="2" t="s">
        <v>2242</v>
      </c>
      <c r="C2243">
        <f t="shared" ref="C2243:C2306" si="419">_xlfn.NUMBERVALUE(B2243,".",",")</f>
        <v>51489.16</v>
      </c>
      <c r="D2243">
        <f t="shared" ref="D2243:D2306" si="420">YEAR(A2243)</f>
        <v>2024</v>
      </c>
      <c r="E2243">
        <f t="shared" ref="E2243:E2306" si="421">MONTH(A2243)</f>
        <v>12</v>
      </c>
      <c r="F2243" t="str">
        <f t="shared" si="411"/>
        <v>December</v>
      </c>
      <c r="G2243">
        <f t="shared" ref="G2243:G2306" si="422">DAY(A2243)</f>
        <v>20</v>
      </c>
      <c r="H2243" s="7">
        <f t="shared" si="412"/>
        <v>1.2930268774188882</v>
      </c>
      <c r="I2243" s="9">
        <f t="shared" si="413"/>
        <v>1.2847386543996477E-2</v>
      </c>
      <c r="J2243" s="9">
        <f t="shared" si="414"/>
        <v>51296.655714285713</v>
      </c>
      <c r="K2243" s="9">
        <f t="shared" si="417"/>
        <v>52498.231999999996</v>
      </c>
      <c r="L2243" s="9">
        <f t="shared" si="416"/>
        <v>54963.167222222219</v>
      </c>
      <c r="M2243" s="9">
        <f t="shared" si="415"/>
        <v>1.0225525253488819E-2</v>
      </c>
      <c r="N2243" s="9">
        <f t="shared" si="418"/>
        <v>7.171150299996782E-3</v>
      </c>
    </row>
    <row r="2244" spans="1:14" x14ac:dyDescent="0.35">
      <c r="A2244" s="1">
        <v>45649</v>
      </c>
      <c r="B2244" s="2" t="s">
        <v>2243</v>
      </c>
      <c r="C2244">
        <f t="shared" si="419"/>
        <v>51625.07</v>
      </c>
      <c r="D2244">
        <f t="shared" si="420"/>
        <v>2024</v>
      </c>
      <c r="E2244">
        <f t="shared" si="421"/>
        <v>12</v>
      </c>
      <c r="F2244" t="str">
        <f t="shared" ref="F2244:F2307" si="423">TEXT(A2244,"mmmm")</f>
        <v>December</v>
      </c>
      <c r="G2244">
        <f t="shared" si="422"/>
        <v>23</v>
      </c>
      <c r="H2244" s="7">
        <f t="shared" ref="H2244:H2307" si="424">((C2244-C2243)/C2243)*100</f>
        <v>0.26395847203565992</v>
      </c>
      <c r="I2244" s="9">
        <f t="shared" ref="I2244:I2307" si="425">LN(C2244/C2243)</f>
        <v>2.6361071348521676E-3</v>
      </c>
      <c r="J2244" s="9">
        <f t="shared" si="414"/>
        <v>51314.02</v>
      </c>
      <c r="K2244" s="9">
        <f t="shared" si="417"/>
        <v>52391.19466666667</v>
      </c>
      <c r="L2244" s="9">
        <f t="shared" si="416"/>
        <v>54892.905111111104</v>
      </c>
      <c r="M2244" s="9">
        <f t="shared" si="415"/>
        <v>1.0150769890594574E-2</v>
      </c>
      <c r="N2244" s="9">
        <f t="shared" si="418"/>
        <v>7.2212880839476763E-3</v>
      </c>
    </row>
    <row r="2245" spans="1:14" x14ac:dyDescent="0.35">
      <c r="A2245" s="1">
        <v>45650</v>
      </c>
      <c r="B2245" s="2" t="s">
        <v>2244</v>
      </c>
      <c r="C2245">
        <f t="shared" si="419"/>
        <v>51564</v>
      </c>
      <c r="D2245">
        <f t="shared" si="420"/>
        <v>2024</v>
      </c>
      <c r="E2245">
        <f t="shared" si="421"/>
        <v>12</v>
      </c>
      <c r="F2245" t="str">
        <f t="shared" si="423"/>
        <v>December</v>
      </c>
      <c r="G2245">
        <f t="shared" si="422"/>
        <v>24</v>
      </c>
      <c r="H2245" s="7">
        <f t="shared" si="424"/>
        <v>-0.11829523911541372</v>
      </c>
      <c r="I2245" s="9">
        <f t="shared" si="425"/>
        <v>-1.1836526316226124E-3</v>
      </c>
      <c r="J2245" s="9">
        <f t="shared" si="414"/>
        <v>51384.182857142856</v>
      </c>
      <c r="K2245" s="9">
        <f t="shared" si="417"/>
        <v>52293.357666666663</v>
      </c>
      <c r="L2245" s="9">
        <f t="shared" si="416"/>
        <v>54822.540333333331</v>
      </c>
      <c r="M2245" s="9">
        <f t="shared" si="415"/>
        <v>9.4589506553063064E-3</v>
      </c>
      <c r="N2245" s="9">
        <f t="shared" si="418"/>
        <v>7.1796175097805061E-3</v>
      </c>
    </row>
    <row r="2246" spans="1:14" x14ac:dyDescent="0.35">
      <c r="A2246" s="1">
        <v>45653</v>
      </c>
      <c r="B2246" s="2" t="s">
        <v>2245</v>
      </c>
      <c r="C2246">
        <f t="shared" si="419"/>
        <v>52216.93</v>
      </c>
      <c r="D2246">
        <f t="shared" si="420"/>
        <v>2024</v>
      </c>
      <c r="E2246">
        <f t="shared" si="421"/>
        <v>12</v>
      </c>
      <c r="F2246" t="str">
        <f t="shared" si="423"/>
        <v>December</v>
      </c>
      <c r="G2246">
        <f t="shared" si="422"/>
        <v>27</v>
      </c>
      <c r="H2246" s="7">
        <f t="shared" si="424"/>
        <v>1.2662516484368944</v>
      </c>
      <c r="I2246" s="9">
        <f t="shared" si="425"/>
        <v>1.25830172262068E-2</v>
      </c>
      <c r="J2246" s="9">
        <f t="shared" si="414"/>
        <v>51500.502857142848</v>
      </c>
      <c r="K2246" s="9">
        <f t="shared" si="417"/>
        <v>52221.634666666665</v>
      </c>
      <c r="L2246" s="9">
        <f t="shared" si="416"/>
        <v>54756.590555555551</v>
      </c>
      <c r="M2246" s="9">
        <f t="shared" si="415"/>
        <v>1.025933338030155E-2</v>
      </c>
      <c r="N2246" s="9">
        <f t="shared" si="418"/>
        <v>7.6457186628308242E-3</v>
      </c>
    </row>
    <row r="2247" spans="1:14" x14ac:dyDescent="0.35">
      <c r="A2247" s="1">
        <v>45656</v>
      </c>
      <c r="B2247" s="2" t="s">
        <v>2246</v>
      </c>
      <c r="C2247">
        <f t="shared" si="419"/>
        <v>51958.52</v>
      </c>
      <c r="D2247">
        <f t="shared" si="420"/>
        <v>2024</v>
      </c>
      <c r="E2247">
        <f t="shared" si="421"/>
        <v>12</v>
      </c>
      <c r="F2247" t="str">
        <f t="shared" si="423"/>
        <v>December</v>
      </c>
      <c r="G2247">
        <f t="shared" si="422"/>
        <v>30</v>
      </c>
      <c r="H2247" s="7">
        <f t="shared" si="424"/>
        <v>-0.49487781070239767</v>
      </c>
      <c r="I2247" s="9">
        <f t="shared" si="425"/>
        <v>-4.9610638591343001E-3</v>
      </c>
      <c r="J2247" s="9">
        <f t="shared" si="414"/>
        <v>51614.495714285717</v>
      </c>
      <c r="K2247" s="9">
        <f t="shared" si="417"/>
        <v>52148.161666666652</v>
      </c>
      <c r="L2247" s="9">
        <f t="shared" si="416"/>
        <v>54690.766666666656</v>
      </c>
      <c r="M2247" s="9">
        <f t="shared" si="415"/>
        <v>1.0286821743629994E-2</v>
      </c>
      <c r="N2247" s="9">
        <f t="shared" si="418"/>
        <v>7.661551156776171E-3</v>
      </c>
    </row>
    <row r="2248" spans="1:14" x14ac:dyDescent="0.35">
      <c r="A2248" s="1">
        <v>45657</v>
      </c>
      <c r="B2248" s="2" t="s">
        <v>2247</v>
      </c>
      <c r="C2248">
        <f t="shared" si="419"/>
        <v>52117.82</v>
      </c>
      <c r="D2248">
        <f t="shared" si="420"/>
        <v>2024</v>
      </c>
      <c r="E2248">
        <f t="shared" si="421"/>
        <v>12</v>
      </c>
      <c r="F2248" t="str">
        <f t="shared" si="423"/>
        <v>December</v>
      </c>
      <c r="G2248">
        <f t="shared" si="422"/>
        <v>31</v>
      </c>
      <c r="H2248" s="7">
        <f t="shared" si="424"/>
        <v>0.30659071890423922</v>
      </c>
      <c r="I2248" s="9">
        <f t="shared" si="425"/>
        <v>3.0612168798529603E-3</v>
      </c>
      <c r="J2248" s="9">
        <f t="shared" si="414"/>
        <v>51686.198571428577</v>
      </c>
      <c r="K2248" s="9">
        <f t="shared" si="417"/>
        <v>52075.844999999994</v>
      </c>
      <c r="L2248" s="9">
        <f t="shared" si="416"/>
        <v>54623.591777777772</v>
      </c>
      <c r="M2248" s="9">
        <f t="shared" si="415"/>
        <v>9.8878025233480622E-3</v>
      </c>
      <c r="N2248" s="9">
        <f t="shared" si="418"/>
        <v>7.6754563400612272E-3</v>
      </c>
    </row>
    <row r="2249" spans="1:14" x14ac:dyDescent="0.35">
      <c r="A2249" s="1">
        <v>45659</v>
      </c>
      <c r="B2249" s="2" t="s">
        <v>2248</v>
      </c>
      <c r="C2249">
        <f t="shared" si="419"/>
        <v>52251.87</v>
      </c>
      <c r="D2249">
        <f t="shared" si="420"/>
        <v>2025</v>
      </c>
      <c r="E2249">
        <f t="shared" si="421"/>
        <v>1</v>
      </c>
      <c r="F2249" t="str">
        <f t="shared" si="423"/>
        <v>January</v>
      </c>
      <c r="G2249">
        <f t="shared" si="422"/>
        <v>2</v>
      </c>
      <c r="H2249" s="7">
        <f t="shared" si="424"/>
        <v>0.25720569279375638</v>
      </c>
      <c r="I2249" s="9">
        <f t="shared" si="425"/>
        <v>2.5687548503928962E-3</v>
      </c>
      <c r="J2249" s="9">
        <f t="shared" ref="J2249:J2312" si="426">AVERAGE(C2243:C2249)</f>
        <v>51889.052857142859</v>
      </c>
      <c r="K2249" s="9">
        <f t="shared" si="417"/>
        <v>52014.536999999997</v>
      </c>
      <c r="L2249" s="9">
        <f t="shared" si="416"/>
        <v>54561.094777777784</v>
      </c>
      <c r="M2249" s="9">
        <f t="shared" si="415"/>
        <v>6.6316995268721852E-3</v>
      </c>
      <c r="N2249" s="9">
        <f t="shared" si="418"/>
        <v>7.6957361087686416E-3</v>
      </c>
    </row>
    <row r="2250" spans="1:14" x14ac:dyDescent="0.35">
      <c r="A2250" s="1">
        <v>45660</v>
      </c>
      <c r="B2250" s="2" t="s">
        <v>2249</v>
      </c>
      <c r="C2250">
        <f t="shared" si="419"/>
        <v>52870.12</v>
      </c>
      <c r="D2250">
        <f t="shared" si="420"/>
        <v>2025</v>
      </c>
      <c r="E2250">
        <f t="shared" si="421"/>
        <v>1</v>
      </c>
      <c r="F2250" t="str">
        <f t="shared" si="423"/>
        <v>January</v>
      </c>
      <c r="G2250">
        <f t="shared" si="422"/>
        <v>3</v>
      </c>
      <c r="H2250" s="7">
        <f t="shared" si="424"/>
        <v>1.1832112420091376</v>
      </c>
      <c r="I2250" s="9">
        <f t="shared" si="425"/>
        <v>1.1762660284782962E-2</v>
      </c>
      <c r="J2250" s="9">
        <f t="shared" si="426"/>
        <v>52086.332857142857</v>
      </c>
      <c r="K2250" s="9">
        <f t="shared" si="417"/>
        <v>52001.486333333334</v>
      </c>
      <c r="L2250" s="9">
        <f t="shared" si="416"/>
        <v>54506.903444444448</v>
      </c>
      <c r="M2250" s="9">
        <f t="shared" ref="M2250:M2313" si="427">STDEV(I2244:I2250)</f>
        <v>6.3972946122718673E-3</v>
      </c>
      <c r="N2250" s="9">
        <f t="shared" si="418"/>
        <v>7.5547060835214237E-3</v>
      </c>
    </row>
    <row r="2251" spans="1:14" x14ac:dyDescent="0.35">
      <c r="A2251" s="1">
        <v>45663</v>
      </c>
      <c r="B2251" s="2" t="s">
        <v>2250</v>
      </c>
      <c r="C2251">
        <f t="shared" si="419"/>
        <v>52889.7</v>
      </c>
      <c r="D2251">
        <f t="shared" si="420"/>
        <v>2025</v>
      </c>
      <c r="E2251">
        <f t="shared" si="421"/>
        <v>1</v>
      </c>
      <c r="F2251" t="str">
        <f t="shared" si="423"/>
        <v>January</v>
      </c>
      <c r="G2251">
        <f t="shared" si="422"/>
        <v>6</v>
      </c>
      <c r="H2251" s="7">
        <f t="shared" si="424"/>
        <v>3.703415085873546E-2</v>
      </c>
      <c r="I2251" s="9">
        <f t="shared" si="425"/>
        <v>3.7027294909732698E-4</v>
      </c>
      <c r="J2251" s="9">
        <f t="shared" si="426"/>
        <v>52266.994285714289</v>
      </c>
      <c r="K2251" s="9">
        <f t="shared" si="417"/>
        <v>51970.229333333336</v>
      </c>
      <c r="L2251" s="9">
        <f t="shared" si="416"/>
        <v>54452.669777777781</v>
      </c>
      <c r="M2251" s="9">
        <f t="shared" si="427"/>
        <v>6.5210063906174995E-3</v>
      </c>
      <c r="N2251" s="9">
        <f t="shared" si="418"/>
        <v>7.2757052218875668E-3</v>
      </c>
    </row>
    <row r="2252" spans="1:14" x14ac:dyDescent="0.35">
      <c r="A2252" s="1">
        <v>45664</v>
      </c>
      <c r="B2252" s="2" t="s">
        <v>2251</v>
      </c>
      <c r="C2252">
        <f t="shared" si="419"/>
        <v>52840.68</v>
      </c>
      <c r="D2252">
        <f t="shared" si="420"/>
        <v>2025</v>
      </c>
      <c r="E2252">
        <f t="shared" si="421"/>
        <v>1</v>
      </c>
      <c r="F2252" t="str">
        <f t="shared" si="423"/>
        <v>January</v>
      </c>
      <c r="G2252">
        <f t="shared" si="422"/>
        <v>7</v>
      </c>
      <c r="H2252" s="7">
        <f t="shared" si="424"/>
        <v>-9.2683452543683931E-2</v>
      </c>
      <c r="I2252" s="9">
        <f t="shared" si="425"/>
        <v>-9.2726430213072508E-4</v>
      </c>
      <c r="J2252" s="9">
        <f t="shared" si="426"/>
        <v>52449.377142857134</v>
      </c>
      <c r="K2252" s="9">
        <f t="shared" si="417"/>
        <v>51944.986666666671</v>
      </c>
      <c r="L2252" s="9">
        <f t="shared" si="416"/>
        <v>54399.455888888879</v>
      </c>
      <c r="M2252" s="9">
        <f t="shared" si="427"/>
        <v>6.4912468039111156E-3</v>
      </c>
      <c r="N2252" s="9">
        <f t="shared" si="418"/>
        <v>7.2428271779024934E-3</v>
      </c>
    </row>
    <row r="2253" spans="1:14" x14ac:dyDescent="0.35">
      <c r="A2253" s="1">
        <v>45665</v>
      </c>
      <c r="B2253" s="2" t="s">
        <v>2252</v>
      </c>
      <c r="C2253">
        <f t="shared" si="419"/>
        <v>53562.57</v>
      </c>
      <c r="D2253">
        <f t="shared" si="420"/>
        <v>2025</v>
      </c>
      <c r="E2253">
        <f t="shared" si="421"/>
        <v>1</v>
      </c>
      <c r="F2253" t="str">
        <f t="shared" si="423"/>
        <v>January</v>
      </c>
      <c r="G2253">
        <f t="shared" si="422"/>
        <v>8</v>
      </c>
      <c r="H2253" s="7">
        <f t="shared" si="424"/>
        <v>1.3661633423339734</v>
      </c>
      <c r="I2253" s="9">
        <f t="shared" si="425"/>
        <v>1.3569154631698966E-2</v>
      </c>
      <c r="J2253" s="9">
        <f t="shared" si="426"/>
        <v>52641.611428571421</v>
      </c>
      <c r="K2253" s="9">
        <f t="shared" si="417"/>
        <v>51953.707000000009</v>
      </c>
      <c r="L2253" s="9">
        <f t="shared" si="416"/>
        <v>54355.372111111101</v>
      </c>
      <c r="M2253" s="9">
        <f t="shared" si="427"/>
        <v>6.7277708995276122E-3</v>
      </c>
      <c r="N2253" s="9">
        <f t="shared" si="418"/>
        <v>7.6123620143840184E-3</v>
      </c>
    </row>
    <row r="2254" spans="1:14" x14ac:dyDescent="0.35">
      <c r="A2254" s="1">
        <v>45666</v>
      </c>
      <c r="B2254" s="2" t="s">
        <v>2253</v>
      </c>
      <c r="C2254">
        <f t="shared" si="419"/>
        <v>54158.04</v>
      </c>
      <c r="D2254">
        <f t="shared" si="420"/>
        <v>2025</v>
      </c>
      <c r="E2254">
        <f t="shared" si="421"/>
        <v>1</v>
      </c>
      <c r="F2254" t="str">
        <f t="shared" si="423"/>
        <v>January</v>
      </c>
      <c r="G2254">
        <f t="shared" si="422"/>
        <v>9</v>
      </c>
      <c r="H2254" s="7">
        <f t="shared" si="424"/>
        <v>1.1117278353148499</v>
      </c>
      <c r="I2254" s="9">
        <f t="shared" si="425"/>
        <v>1.1055935638130223E-2</v>
      </c>
      <c r="J2254" s="9">
        <f t="shared" si="426"/>
        <v>52955.828571428567</v>
      </c>
      <c r="K2254" s="9">
        <f t="shared" si="417"/>
        <v>51995.44233333334</v>
      </c>
      <c r="L2254" s="9">
        <f t="shared" si="416"/>
        <v>54321.218444444436</v>
      </c>
      <c r="M2254" s="9">
        <f t="shared" si="427"/>
        <v>6.0015553957517538E-3</v>
      </c>
      <c r="N2254" s="9">
        <f t="shared" si="418"/>
        <v>7.7236014378459991E-3</v>
      </c>
    </row>
    <row r="2255" spans="1:14" x14ac:dyDescent="0.35">
      <c r="A2255" s="1">
        <v>45667</v>
      </c>
      <c r="B2255" s="2" t="s">
        <v>2254</v>
      </c>
      <c r="C2255">
        <f t="shared" si="419"/>
        <v>53944.22</v>
      </c>
      <c r="D2255">
        <f t="shared" si="420"/>
        <v>2025</v>
      </c>
      <c r="E2255">
        <f t="shared" si="421"/>
        <v>1</v>
      </c>
      <c r="F2255" t="str">
        <f t="shared" si="423"/>
        <v>January</v>
      </c>
      <c r="G2255">
        <f t="shared" si="422"/>
        <v>10</v>
      </c>
      <c r="H2255" s="7">
        <f t="shared" si="424"/>
        <v>-0.39480749303335144</v>
      </c>
      <c r="I2255" s="9">
        <f t="shared" si="425"/>
        <v>-3.9558891523651506E-3</v>
      </c>
      <c r="J2255" s="9">
        <f t="shared" si="426"/>
        <v>53216.742857142854</v>
      </c>
      <c r="K2255" s="9">
        <f t="shared" si="417"/>
        <v>52047.703666666675</v>
      </c>
      <c r="L2255" s="9">
        <f t="shared" si="416"/>
        <v>54287.267666666667</v>
      </c>
      <c r="M2255" s="9">
        <f t="shared" si="427"/>
        <v>7.0531300138005661E-3</v>
      </c>
      <c r="N2255" s="9">
        <f t="shared" si="418"/>
        <v>7.5054860217906643E-3</v>
      </c>
    </row>
    <row r="2256" spans="1:14" x14ac:dyDescent="0.35">
      <c r="A2256" s="1">
        <v>45670</v>
      </c>
      <c r="B2256" s="2" t="s">
        <v>2255</v>
      </c>
      <c r="C2256">
        <f t="shared" si="419"/>
        <v>53996.14</v>
      </c>
      <c r="D2256">
        <f t="shared" si="420"/>
        <v>2025</v>
      </c>
      <c r="E2256">
        <f t="shared" si="421"/>
        <v>1</v>
      </c>
      <c r="F2256" t="str">
        <f t="shared" si="423"/>
        <v>January</v>
      </c>
      <c r="G2256">
        <f t="shared" si="422"/>
        <v>13</v>
      </c>
      <c r="H2256" s="7">
        <f t="shared" si="424"/>
        <v>9.6247568321496266E-2</v>
      </c>
      <c r="I2256" s="9">
        <f t="shared" si="425"/>
        <v>9.6201280047966535E-4</v>
      </c>
      <c r="J2256" s="9">
        <f t="shared" si="426"/>
        <v>53465.924285714282</v>
      </c>
      <c r="K2256" s="9">
        <f t="shared" si="417"/>
        <v>52107.977666666666</v>
      </c>
      <c r="L2256" s="9">
        <f t="shared" si="416"/>
        <v>54256.668888888882</v>
      </c>
      <c r="M2256" s="9">
        <f t="shared" si="427"/>
        <v>7.1676359199737676E-3</v>
      </c>
      <c r="N2256" s="9">
        <f t="shared" si="418"/>
        <v>7.4553714485246321E-3</v>
      </c>
    </row>
    <row r="2257" spans="1:14" x14ac:dyDescent="0.35">
      <c r="A2257" s="1">
        <v>45671</v>
      </c>
      <c r="B2257" s="2" t="s">
        <v>2256</v>
      </c>
      <c r="C2257">
        <f t="shared" si="419"/>
        <v>54028.39</v>
      </c>
      <c r="D2257">
        <f t="shared" si="420"/>
        <v>2025</v>
      </c>
      <c r="E2257">
        <f t="shared" si="421"/>
        <v>1</v>
      </c>
      <c r="F2257" t="str">
        <f t="shared" si="423"/>
        <v>January</v>
      </c>
      <c r="G2257">
        <f t="shared" si="422"/>
        <v>14</v>
      </c>
      <c r="H2257" s="7">
        <f t="shared" si="424"/>
        <v>5.9726491560322649E-2</v>
      </c>
      <c r="I2257" s="9">
        <f t="shared" si="425"/>
        <v>5.9708662390153854E-4</v>
      </c>
      <c r="J2257" s="9">
        <f t="shared" si="426"/>
        <v>53631.391428571435</v>
      </c>
      <c r="K2257" s="9">
        <f t="shared" si="417"/>
        <v>52178.915333333338</v>
      </c>
      <c r="L2257" s="9">
        <f t="shared" si="416"/>
        <v>54230.781444444423</v>
      </c>
      <c r="M2257" s="9">
        <f t="shared" si="427"/>
        <v>6.5471545585532361E-3</v>
      </c>
      <c r="N2257" s="9">
        <f t="shared" si="418"/>
        <v>7.3497434993544568E-3</v>
      </c>
    </row>
    <row r="2258" spans="1:14" x14ac:dyDescent="0.35">
      <c r="A2258" s="1">
        <v>45672</v>
      </c>
      <c r="B2258" s="2" t="s">
        <v>2257</v>
      </c>
      <c r="C2258">
        <f t="shared" si="419"/>
        <v>54308.67</v>
      </c>
      <c r="D2258">
        <f t="shared" si="420"/>
        <v>2025</v>
      </c>
      <c r="E2258">
        <f t="shared" si="421"/>
        <v>1</v>
      </c>
      <c r="F2258" t="str">
        <f t="shared" si="423"/>
        <v>January</v>
      </c>
      <c r="G2258">
        <f t="shared" si="422"/>
        <v>15</v>
      </c>
      <c r="H2258" s="7">
        <f t="shared" si="424"/>
        <v>0.51876430150888975</v>
      </c>
      <c r="I2258" s="9">
        <f t="shared" si="425"/>
        <v>5.1742335507459405E-3</v>
      </c>
      <c r="J2258" s="9">
        <f t="shared" si="426"/>
        <v>53834.101428571434</v>
      </c>
      <c r="K2258" s="9">
        <f t="shared" si="417"/>
        <v>52246.368333333325</v>
      </c>
      <c r="L2258" s="9">
        <f t="shared" si="416"/>
        <v>54214.452555555537</v>
      </c>
      <c r="M2258" s="9">
        <f t="shared" si="427"/>
        <v>6.4650979536566748E-3</v>
      </c>
      <c r="N2258" s="9">
        <f t="shared" si="418"/>
        <v>7.2978737892828828E-3</v>
      </c>
    </row>
    <row r="2259" spans="1:14" x14ac:dyDescent="0.35">
      <c r="A2259" s="1">
        <v>45673</v>
      </c>
      <c r="B2259" s="2" t="s">
        <v>2258</v>
      </c>
      <c r="C2259">
        <f t="shared" si="419"/>
        <v>54548.91</v>
      </c>
      <c r="D2259">
        <f t="shared" si="420"/>
        <v>2025</v>
      </c>
      <c r="E2259">
        <f t="shared" si="421"/>
        <v>1</v>
      </c>
      <c r="F2259" t="str">
        <f t="shared" si="423"/>
        <v>January</v>
      </c>
      <c r="G2259">
        <f t="shared" si="422"/>
        <v>16</v>
      </c>
      <c r="H2259" s="7">
        <f t="shared" si="424"/>
        <v>0.44236030821599065</v>
      </c>
      <c r="I2259" s="9">
        <f t="shared" si="425"/>
        <v>4.413847708731859E-3</v>
      </c>
      <c r="J2259" s="9">
        <f t="shared" si="426"/>
        <v>54078.134285714295</v>
      </c>
      <c r="K2259" s="9">
        <f t="shared" si="417"/>
        <v>52315.201999999983</v>
      </c>
      <c r="L2259" s="9">
        <f t="shared" si="416"/>
        <v>54202.996888888876</v>
      </c>
      <c r="M2259" s="9">
        <f t="shared" si="427"/>
        <v>6.1227678775032336E-3</v>
      </c>
      <c r="N2259" s="9">
        <f t="shared" si="418"/>
        <v>7.3061346608328482E-3</v>
      </c>
    </row>
    <row r="2260" spans="1:14" x14ac:dyDescent="0.35">
      <c r="A2260" s="1">
        <v>45674</v>
      </c>
      <c r="B2260" s="2" t="s">
        <v>2259</v>
      </c>
      <c r="C2260">
        <f t="shared" si="419"/>
        <v>54517.06</v>
      </c>
      <c r="D2260">
        <f t="shared" si="420"/>
        <v>2025</v>
      </c>
      <c r="E2260">
        <f t="shared" si="421"/>
        <v>1</v>
      </c>
      <c r="F2260" t="str">
        <f t="shared" si="423"/>
        <v>January</v>
      </c>
      <c r="G2260">
        <f t="shared" si="422"/>
        <v>17</v>
      </c>
      <c r="H2260" s="7">
        <f t="shared" si="424"/>
        <v>-5.8387967788917909E-2</v>
      </c>
      <c r="I2260" s="9">
        <f t="shared" si="425"/>
        <v>-5.8405020200860051E-4</v>
      </c>
      <c r="J2260" s="9">
        <f t="shared" si="426"/>
        <v>54214.49</v>
      </c>
      <c r="K2260" s="9">
        <f t="shared" si="417"/>
        <v>52397.462333333322</v>
      </c>
      <c r="L2260" s="9">
        <f t="shared" si="416"/>
        <v>54197.693666666652</v>
      </c>
      <c r="M2260" s="9">
        <f t="shared" si="427"/>
        <v>4.8509607863013639E-3</v>
      </c>
      <c r="N2260" s="9">
        <f t="shared" si="418"/>
        <v>7.0888626271184401E-3</v>
      </c>
    </row>
    <row r="2261" spans="1:14" x14ac:dyDescent="0.35">
      <c r="A2261" s="1">
        <v>45677</v>
      </c>
      <c r="B2261" s="2" t="s">
        <v>2260</v>
      </c>
      <c r="C2261">
        <f t="shared" si="419"/>
        <v>54427.3</v>
      </c>
      <c r="D2261">
        <f t="shared" si="420"/>
        <v>2025</v>
      </c>
      <c r="E2261">
        <f t="shared" si="421"/>
        <v>1</v>
      </c>
      <c r="F2261" t="str">
        <f t="shared" si="423"/>
        <v>January</v>
      </c>
      <c r="G2261">
        <f t="shared" si="422"/>
        <v>20</v>
      </c>
      <c r="H2261" s="7">
        <f t="shared" si="424"/>
        <v>-0.16464570906794088</v>
      </c>
      <c r="I2261" s="9">
        <f t="shared" si="425"/>
        <v>-1.6478139907448648E-3</v>
      </c>
      <c r="J2261" s="9">
        <f t="shared" si="426"/>
        <v>54252.955714285708</v>
      </c>
      <c r="K2261" s="9">
        <f t="shared" si="417"/>
        <v>52472.912333333319</v>
      </c>
      <c r="L2261" s="9">
        <f t="shared" si="416"/>
        <v>54188.951777777758</v>
      </c>
      <c r="M2261" s="9">
        <f t="shared" si="427"/>
        <v>3.2333802560396709E-3</v>
      </c>
      <c r="N2261" s="9">
        <f t="shared" si="418"/>
        <v>7.111366387683277E-3</v>
      </c>
    </row>
    <row r="2262" spans="1:14" x14ac:dyDescent="0.35">
      <c r="A2262" s="1">
        <v>45678</v>
      </c>
      <c r="B2262" s="2" t="s">
        <v>2261</v>
      </c>
      <c r="C2262">
        <f t="shared" si="419"/>
        <v>54197.120000000003</v>
      </c>
      <c r="D2262">
        <f t="shared" si="420"/>
        <v>2025</v>
      </c>
      <c r="E2262">
        <f t="shared" si="421"/>
        <v>1</v>
      </c>
      <c r="F2262" t="str">
        <f t="shared" si="423"/>
        <v>January</v>
      </c>
      <c r="G2262">
        <f t="shared" si="422"/>
        <v>21</v>
      </c>
      <c r="H2262" s="7">
        <f t="shared" si="424"/>
        <v>-0.42291276620372548</v>
      </c>
      <c r="I2262" s="9">
        <f t="shared" si="425"/>
        <v>-4.2380957160561622E-3</v>
      </c>
      <c r="J2262" s="9">
        <f t="shared" si="426"/>
        <v>54289.084285714292</v>
      </c>
      <c r="K2262" s="9">
        <f t="shared" si="417"/>
        <v>52559.115999999995</v>
      </c>
      <c r="L2262" s="9">
        <f t="shared" si="416"/>
        <v>54179.248888888869</v>
      </c>
      <c r="M2262" s="9">
        <f t="shared" si="427"/>
        <v>3.3022564814310655E-3</v>
      </c>
      <c r="N2262" s="9">
        <f t="shared" si="418"/>
        <v>6.826655866653996E-3</v>
      </c>
    </row>
    <row r="2263" spans="1:14" x14ac:dyDescent="0.35">
      <c r="A2263" s="1">
        <v>45679</v>
      </c>
      <c r="B2263" s="2" t="s">
        <v>2262</v>
      </c>
      <c r="C2263">
        <f t="shared" si="419"/>
        <v>54001.94</v>
      </c>
      <c r="D2263">
        <f t="shared" si="420"/>
        <v>2025</v>
      </c>
      <c r="E2263">
        <f t="shared" si="421"/>
        <v>1</v>
      </c>
      <c r="F2263" t="str">
        <f t="shared" si="423"/>
        <v>January</v>
      </c>
      <c r="G2263">
        <f t="shared" si="422"/>
        <v>22</v>
      </c>
      <c r="H2263" s="7">
        <f t="shared" si="424"/>
        <v>-0.36012983715739932</v>
      </c>
      <c r="I2263" s="9">
        <f t="shared" si="425"/>
        <v>-3.6077986575600096E-3</v>
      </c>
      <c r="J2263" s="9">
        <f t="shared" si="426"/>
        <v>54289.912857142859</v>
      </c>
      <c r="K2263" s="9">
        <f t="shared" si="417"/>
        <v>52647.314999999988</v>
      </c>
      <c r="L2263" s="9">
        <f t="shared" si="416"/>
        <v>54158.828999999983</v>
      </c>
      <c r="M2263" s="9">
        <f t="shared" si="427"/>
        <v>3.6661442233797015E-3</v>
      </c>
      <c r="N2263" s="9">
        <f t="shared" si="418"/>
        <v>6.7861970393139383E-3</v>
      </c>
    </row>
    <row r="2264" spans="1:14" x14ac:dyDescent="0.35">
      <c r="A2264" s="1">
        <v>45680</v>
      </c>
      <c r="B2264" s="2" t="s">
        <v>2263</v>
      </c>
      <c r="C2264">
        <f t="shared" si="419"/>
        <v>54023.12</v>
      </c>
      <c r="D2264">
        <f t="shared" si="420"/>
        <v>2025</v>
      </c>
      <c r="E2264">
        <f t="shared" si="421"/>
        <v>1</v>
      </c>
      <c r="F2264" t="str">
        <f t="shared" si="423"/>
        <v>January</v>
      </c>
      <c r="G2264">
        <f t="shared" si="422"/>
        <v>23</v>
      </c>
      <c r="H2264" s="7">
        <f t="shared" si="424"/>
        <v>3.9220813178193766E-2</v>
      </c>
      <c r="I2264" s="9">
        <f t="shared" si="425"/>
        <v>3.9213123827750942E-4</v>
      </c>
      <c r="J2264" s="9">
        <f t="shared" si="426"/>
        <v>54289.159999999996</v>
      </c>
      <c r="K2264" s="9">
        <f t="shared" si="417"/>
        <v>52728.190999999999</v>
      </c>
      <c r="L2264" s="9">
        <f t="shared" si="416"/>
        <v>54138.337666666652</v>
      </c>
      <c r="M2264" s="9">
        <f t="shared" si="427"/>
        <v>3.6615393862127676E-3</v>
      </c>
      <c r="N2264" s="9">
        <f t="shared" si="418"/>
        <v>6.7658526073629405E-3</v>
      </c>
    </row>
    <row r="2265" spans="1:14" x14ac:dyDescent="0.35">
      <c r="A2265" s="1">
        <v>45681</v>
      </c>
      <c r="B2265" s="2" t="s">
        <v>2264</v>
      </c>
      <c r="C2265">
        <f t="shared" si="419"/>
        <v>54052.18</v>
      </c>
      <c r="D2265">
        <f t="shared" si="420"/>
        <v>2025</v>
      </c>
      <c r="E2265">
        <f t="shared" si="421"/>
        <v>1</v>
      </c>
      <c r="F2265" t="str">
        <f t="shared" si="423"/>
        <v>January</v>
      </c>
      <c r="G2265">
        <f t="shared" si="422"/>
        <v>24</v>
      </c>
      <c r="H2265" s="7">
        <f t="shared" si="424"/>
        <v>5.3791783962121531E-2</v>
      </c>
      <c r="I2265" s="9">
        <f t="shared" si="425"/>
        <v>5.3777321368237091E-4</v>
      </c>
      <c r="J2265" s="9">
        <f t="shared" si="426"/>
        <v>54252.518571428569</v>
      </c>
      <c r="K2265" s="9">
        <f t="shared" si="417"/>
        <v>52815.522333333334</v>
      </c>
      <c r="L2265" s="9">
        <f t="shared" si="416"/>
        <v>54118.167888888871</v>
      </c>
      <c r="M2265" s="9">
        <f t="shared" si="427"/>
        <v>2.9085375860329896E-3</v>
      </c>
      <c r="N2265" s="9">
        <f t="shared" si="418"/>
        <v>6.7100170974339884E-3</v>
      </c>
    </row>
    <row r="2266" spans="1:14" x14ac:dyDescent="0.35">
      <c r="A2266" s="1">
        <v>45684</v>
      </c>
      <c r="B2266" s="2" t="s">
        <v>2265</v>
      </c>
      <c r="C2266">
        <f t="shared" si="419"/>
        <v>54063.34</v>
      </c>
      <c r="D2266">
        <f t="shared" si="420"/>
        <v>2025</v>
      </c>
      <c r="E2266">
        <f t="shared" si="421"/>
        <v>1</v>
      </c>
      <c r="F2266" t="str">
        <f t="shared" si="423"/>
        <v>January</v>
      </c>
      <c r="G2266">
        <f t="shared" si="422"/>
        <v>27</v>
      </c>
      <c r="H2266" s="7">
        <f t="shared" si="424"/>
        <v>2.0646715821630537E-2</v>
      </c>
      <c r="I2266" s="9">
        <f t="shared" si="425"/>
        <v>2.0644584680590419E-4</v>
      </c>
      <c r="J2266" s="9">
        <f t="shared" si="426"/>
        <v>54183.151428571437</v>
      </c>
      <c r="K2266" s="9">
        <f t="shared" si="417"/>
        <v>52908.01</v>
      </c>
      <c r="L2266" s="9">
        <f t="shared" si="416"/>
        <v>54096.525444444422</v>
      </c>
      <c r="M2266" s="9">
        <f t="shared" si="427"/>
        <v>1.9620739163599553E-3</v>
      </c>
      <c r="N2266" s="9">
        <f t="shared" si="418"/>
        <v>6.6635863639042999E-3</v>
      </c>
    </row>
    <row r="2267" spans="1:14" x14ac:dyDescent="0.35">
      <c r="A2267" s="1">
        <v>45685</v>
      </c>
      <c r="B2267" s="2" t="s">
        <v>2266</v>
      </c>
      <c r="C2267">
        <f t="shared" si="419"/>
        <v>54114</v>
      </c>
      <c r="D2267">
        <f t="shared" si="420"/>
        <v>2025</v>
      </c>
      <c r="E2267">
        <f t="shared" si="421"/>
        <v>1</v>
      </c>
      <c r="F2267" t="str">
        <f t="shared" si="423"/>
        <v>January</v>
      </c>
      <c r="G2267">
        <f t="shared" si="422"/>
        <v>28</v>
      </c>
      <c r="H2267" s="7">
        <f t="shared" si="424"/>
        <v>9.3704902434817189E-2</v>
      </c>
      <c r="I2267" s="9">
        <f t="shared" si="425"/>
        <v>9.3661026798051142E-4</v>
      </c>
      <c r="J2267" s="9">
        <f t="shared" si="426"/>
        <v>54125.571428571428</v>
      </c>
      <c r="K2267" s="9">
        <f t="shared" si="417"/>
        <v>52995.025999999998</v>
      </c>
      <c r="L2267" s="9">
        <f t="shared" si="416"/>
        <v>54075.013222222209</v>
      </c>
      <c r="M2267" s="9">
        <f t="shared" si="427"/>
        <v>2.1287319233269687E-3</v>
      </c>
      <c r="N2267" s="9">
        <f t="shared" si="418"/>
        <v>6.6492074148292698E-3</v>
      </c>
    </row>
    <row r="2268" spans="1:14" x14ac:dyDescent="0.35">
      <c r="A2268" s="1">
        <v>45686</v>
      </c>
      <c r="B2268" s="2" t="s">
        <v>2267</v>
      </c>
      <c r="C2268">
        <f t="shared" si="419"/>
        <v>54254.35</v>
      </c>
      <c r="D2268">
        <f t="shared" si="420"/>
        <v>2025</v>
      </c>
      <c r="E2268">
        <f t="shared" si="421"/>
        <v>1</v>
      </c>
      <c r="F2268" t="str">
        <f t="shared" si="423"/>
        <v>January</v>
      </c>
      <c r="G2268">
        <f t="shared" si="422"/>
        <v>29</v>
      </c>
      <c r="H2268" s="7">
        <f t="shared" si="424"/>
        <v>0.25935986990427345</v>
      </c>
      <c r="I2268" s="9">
        <f t="shared" si="425"/>
        <v>2.5902411261482334E-3</v>
      </c>
      <c r="J2268" s="9">
        <f t="shared" si="426"/>
        <v>54100.864285714277</v>
      </c>
      <c r="K2268" s="9">
        <f t="shared" si="417"/>
        <v>53101.075666666678</v>
      </c>
      <c r="L2268" s="9">
        <f t="shared" ref="L2268:L2331" si="428">AVERAGE(C2179:C2268)</f>
        <v>54059.559888888878</v>
      </c>
      <c r="M2268" s="9">
        <f t="shared" si="427"/>
        <v>2.5034231584866572E-3</v>
      </c>
      <c r="N2268" s="9">
        <f t="shared" si="418"/>
        <v>6.3737294378547185E-3</v>
      </c>
    </row>
    <row r="2269" spans="1:14" x14ac:dyDescent="0.35">
      <c r="A2269" s="1">
        <v>45687</v>
      </c>
      <c r="B2269" s="2" t="s">
        <v>2268</v>
      </c>
      <c r="C2269">
        <f t="shared" si="419"/>
        <v>54172.76</v>
      </c>
      <c r="D2269">
        <f t="shared" si="420"/>
        <v>2025</v>
      </c>
      <c r="E2269">
        <f t="shared" si="421"/>
        <v>1</v>
      </c>
      <c r="F2269" t="str">
        <f t="shared" si="423"/>
        <v>January</v>
      </c>
      <c r="G2269">
        <f t="shared" si="422"/>
        <v>30</v>
      </c>
      <c r="H2269" s="7">
        <f t="shared" si="424"/>
        <v>-0.15038425490305665</v>
      </c>
      <c r="I2269" s="9">
        <f t="shared" si="425"/>
        <v>-1.5049744551847994E-3</v>
      </c>
      <c r="J2269" s="9">
        <f t="shared" si="426"/>
        <v>54097.384285714281</v>
      </c>
      <c r="K2269" s="9">
        <f t="shared" si="417"/>
        <v>53193.411333333344</v>
      </c>
      <c r="L2269" s="9">
        <f t="shared" si="428"/>
        <v>54040.920333333321</v>
      </c>
      <c r="M2269" s="9">
        <f t="shared" si="427"/>
        <v>1.9716516122475812E-3</v>
      </c>
      <c r="N2269" s="9">
        <f t="shared" si="418"/>
        <v>6.3485781986483978E-3</v>
      </c>
    </row>
    <row r="2270" spans="1:14" x14ac:dyDescent="0.35">
      <c r="A2270" s="1">
        <v>45688</v>
      </c>
      <c r="B2270" s="2" t="s">
        <v>2269</v>
      </c>
      <c r="C2270">
        <f t="shared" si="419"/>
        <v>53696.37</v>
      </c>
      <c r="D2270">
        <f t="shared" si="420"/>
        <v>2025</v>
      </c>
      <c r="E2270">
        <f t="shared" si="421"/>
        <v>1</v>
      </c>
      <c r="F2270" t="str">
        <f t="shared" si="423"/>
        <v>January</v>
      </c>
      <c r="G2270">
        <f t="shared" si="422"/>
        <v>31</v>
      </c>
      <c r="H2270" s="7">
        <f t="shared" si="424"/>
        <v>-0.87939030612433144</v>
      </c>
      <c r="I2270" s="9">
        <f t="shared" si="425"/>
        <v>-8.8327976179656056E-3</v>
      </c>
      <c r="J2270" s="9">
        <f t="shared" si="426"/>
        <v>54053.731428571431</v>
      </c>
      <c r="K2270" s="9">
        <f t="shared" si="417"/>
        <v>53277.938000000016</v>
      </c>
      <c r="L2270" s="9">
        <f t="shared" si="428"/>
        <v>54013.629555555548</v>
      </c>
      <c r="M2270" s="9">
        <f t="shared" si="427"/>
        <v>3.7362041695941524E-3</v>
      </c>
      <c r="N2270" s="9">
        <f t="shared" si="418"/>
        <v>6.5347316861817106E-3</v>
      </c>
    </row>
    <row r="2271" spans="1:14" x14ac:dyDescent="0.35">
      <c r="A2271" s="1">
        <v>45691</v>
      </c>
      <c r="B2271" s="2" t="s">
        <v>2270</v>
      </c>
      <c r="C2271">
        <f t="shared" si="419"/>
        <v>53579.01</v>
      </c>
      <c r="D2271">
        <f t="shared" si="420"/>
        <v>2025</v>
      </c>
      <c r="E2271">
        <f t="shared" si="421"/>
        <v>2</v>
      </c>
      <c r="F2271" t="str">
        <f t="shared" si="423"/>
        <v>February</v>
      </c>
      <c r="G2271">
        <f t="shared" si="422"/>
        <v>3</v>
      </c>
      <c r="H2271" s="7">
        <f t="shared" si="424"/>
        <v>-0.21856226035391327</v>
      </c>
      <c r="I2271" s="9">
        <f t="shared" si="425"/>
        <v>-2.1880145625370133E-3</v>
      </c>
      <c r="J2271" s="9">
        <f t="shared" si="426"/>
        <v>53990.287142857145</v>
      </c>
      <c r="K2271" s="9">
        <f t="shared" si="417"/>
        <v>53343.375000000015</v>
      </c>
      <c r="L2271" s="9">
        <f t="shared" si="428"/>
        <v>53982.66122222221</v>
      </c>
      <c r="M2271" s="9">
        <f t="shared" si="427"/>
        <v>3.725022219699896E-3</v>
      </c>
      <c r="N2271" s="9">
        <f t="shared" si="418"/>
        <v>6.422532965811318E-3</v>
      </c>
    </row>
    <row r="2272" spans="1:14" x14ac:dyDescent="0.35">
      <c r="A2272" s="1">
        <v>45692</v>
      </c>
      <c r="B2272" s="2" t="s">
        <v>2271</v>
      </c>
      <c r="C2272">
        <f t="shared" si="419"/>
        <v>53406.31</v>
      </c>
      <c r="D2272">
        <f t="shared" si="420"/>
        <v>2025</v>
      </c>
      <c r="E2272">
        <f t="shared" si="421"/>
        <v>2</v>
      </c>
      <c r="F2272" t="str">
        <f t="shared" si="423"/>
        <v>February</v>
      </c>
      <c r="G2272">
        <f t="shared" si="422"/>
        <v>4</v>
      </c>
      <c r="H2272" s="7">
        <f t="shared" si="424"/>
        <v>-0.3223277175147588</v>
      </c>
      <c r="I2272" s="9">
        <f t="shared" si="425"/>
        <v>-3.2284831228397738E-3</v>
      </c>
      <c r="J2272" s="9">
        <f t="shared" si="426"/>
        <v>53898.020000000004</v>
      </c>
      <c r="K2272" s="9">
        <f t="shared" ref="K2272:K2335" si="429">AVERAGE(C2243:C2272)</f>
        <v>53429.18900000002</v>
      </c>
      <c r="L2272" s="9">
        <f t="shared" si="428"/>
        <v>53953.744999999988</v>
      </c>
      <c r="M2272" s="9">
        <f t="shared" si="427"/>
        <v>3.7076403876123943E-3</v>
      </c>
      <c r="N2272" s="9">
        <f t="shared" si="418"/>
        <v>5.6856027083422309E-3</v>
      </c>
    </row>
    <row r="2273" spans="1:14" x14ac:dyDescent="0.35">
      <c r="A2273" s="1">
        <v>45693</v>
      </c>
      <c r="B2273" s="2" t="s">
        <v>2272</v>
      </c>
      <c r="C2273">
        <f t="shared" si="419"/>
        <v>53586.63</v>
      </c>
      <c r="D2273">
        <f t="shared" si="420"/>
        <v>2025</v>
      </c>
      <c r="E2273">
        <f t="shared" si="421"/>
        <v>2</v>
      </c>
      <c r="F2273" t="str">
        <f t="shared" si="423"/>
        <v>February</v>
      </c>
      <c r="G2273">
        <f t="shared" si="422"/>
        <v>5</v>
      </c>
      <c r="H2273" s="7">
        <f t="shared" si="424"/>
        <v>0.33763800569633012</v>
      </c>
      <c r="I2273" s="9">
        <f t="shared" si="425"/>
        <v>3.3706928835958556E-3</v>
      </c>
      <c r="J2273" s="9">
        <f t="shared" si="426"/>
        <v>53829.91857142857</v>
      </c>
      <c r="K2273" s="9">
        <f t="shared" si="429"/>
        <v>53499.104666666688</v>
      </c>
      <c r="L2273" s="9">
        <f t="shared" si="428"/>
        <v>53929.988999999987</v>
      </c>
      <c r="M2273" s="9">
        <f t="shared" si="427"/>
        <v>4.1480113785699775E-3</v>
      </c>
      <c r="N2273" s="9">
        <f t="shared" ref="N2273:N2336" si="430">STDEV(I2244:I2273)</f>
        <v>5.2914438716566564E-3</v>
      </c>
    </row>
    <row r="2274" spans="1:14" x14ac:dyDescent="0.35">
      <c r="A2274" s="1">
        <v>45694</v>
      </c>
      <c r="B2274" s="2" t="s">
        <v>2273</v>
      </c>
      <c r="C2274">
        <f t="shared" si="419"/>
        <v>53915.64</v>
      </c>
      <c r="D2274">
        <f t="shared" si="420"/>
        <v>2025</v>
      </c>
      <c r="E2274">
        <f t="shared" si="421"/>
        <v>2</v>
      </c>
      <c r="F2274" t="str">
        <f t="shared" si="423"/>
        <v>February</v>
      </c>
      <c r="G2274">
        <f t="shared" si="422"/>
        <v>6</v>
      </c>
      <c r="H2274" s="7">
        <f t="shared" si="424"/>
        <v>0.61397777766581341</v>
      </c>
      <c r="I2274" s="9">
        <f t="shared" si="425"/>
        <v>6.1210061376945372E-3</v>
      </c>
      <c r="J2274" s="9">
        <f t="shared" si="426"/>
        <v>53801.581428571437</v>
      </c>
      <c r="K2274" s="9">
        <f t="shared" si="429"/>
        <v>53575.457000000017</v>
      </c>
      <c r="L2274" s="9">
        <f t="shared" si="428"/>
        <v>53908.18288888887</v>
      </c>
      <c r="M2274" s="9">
        <f t="shared" si="427"/>
        <v>4.9850582829338878E-3</v>
      </c>
      <c r="N2274" s="9">
        <f t="shared" si="430"/>
        <v>5.3589062243035446E-3</v>
      </c>
    </row>
    <row r="2275" spans="1:14" x14ac:dyDescent="0.35">
      <c r="A2275" s="1">
        <v>45695</v>
      </c>
      <c r="B2275" s="2" t="s">
        <v>2274</v>
      </c>
      <c r="C2275">
        <f t="shared" si="419"/>
        <v>53817.31</v>
      </c>
      <c r="D2275">
        <f t="shared" si="420"/>
        <v>2025</v>
      </c>
      <c r="E2275">
        <f t="shared" si="421"/>
        <v>2</v>
      </c>
      <c r="F2275" t="str">
        <f t="shared" si="423"/>
        <v>February</v>
      </c>
      <c r="G2275">
        <f t="shared" si="422"/>
        <v>7</v>
      </c>
      <c r="H2275" s="7">
        <f t="shared" si="424"/>
        <v>-0.18237750678653122</v>
      </c>
      <c r="I2275" s="9">
        <f t="shared" si="425"/>
        <v>-1.8254401704374612E-3</v>
      </c>
      <c r="J2275" s="9">
        <f t="shared" si="426"/>
        <v>53739.147142857146</v>
      </c>
      <c r="K2275" s="9">
        <f t="shared" si="429"/>
        <v>53650.567333333347</v>
      </c>
      <c r="L2275" s="9">
        <f t="shared" si="428"/>
        <v>53889.706333333314</v>
      </c>
      <c r="M2275" s="9">
        <f t="shared" si="427"/>
        <v>4.8012005416751304E-3</v>
      </c>
      <c r="N2275" s="9">
        <f t="shared" si="430"/>
        <v>5.3710377220025926E-3</v>
      </c>
    </row>
    <row r="2276" spans="1:14" x14ac:dyDescent="0.35">
      <c r="A2276" s="1">
        <v>45698</v>
      </c>
      <c r="B2276" s="2" t="s">
        <v>2275</v>
      </c>
      <c r="C2276">
        <f t="shared" si="419"/>
        <v>53680.69</v>
      </c>
      <c r="D2276">
        <f t="shared" si="420"/>
        <v>2025</v>
      </c>
      <c r="E2276">
        <f t="shared" si="421"/>
        <v>2</v>
      </c>
      <c r="F2276" t="str">
        <f t="shared" si="423"/>
        <v>February</v>
      </c>
      <c r="G2276">
        <f t="shared" si="422"/>
        <v>10</v>
      </c>
      <c r="H2276" s="7">
        <f t="shared" si="424"/>
        <v>-0.25385884207143639</v>
      </c>
      <c r="I2276" s="9">
        <f t="shared" si="425"/>
        <v>-2.5418160999558944E-3</v>
      </c>
      <c r="J2276" s="9">
        <f t="shared" si="426"/>
        <v>53668.851428571434</v>
      </c>
      <c r="K2276" s="9">
        <f t="shared" si="429"/>
        <v>53699.359333333341</v>
      </c>
      <c r="L2276" s="9">
        <f t="shared" si="428"/>
        <v>53862.327333333313</v>
      </c>
      <c r="M2276" s="9">
        <f t="shared" si="427"/>
        <v>4.8296905947026016E-3</v>
      </c>
      <c r="N2276" s="9">
        <f t="shared" si="430"/>
        <v>4.9835033208366639E-3</v>
      </c>
    </row>
    <row r="2277" spans="1:14" x14ac:dyDescent="0.35">
      <c r="A2277" s="1">
        <v>45699</v>
      </c>
      <c r="B2277" s="2" t="s">
        <v>2276</v>
      </c>
      <c r="C2277">
        <f t="shared" si="419"/>
        <v>53257.440000000002</v>
      </c>
      <c r="D2277">
        <f t="shared" si="420"/>
        <v>2025</v>
      </c>
      <c r="E2277">
        <f t="shared" si="421"/>
        <v>2</v>
      </c>
      <c r="F2277" t="str">
        <f t="shared" si="423"/>
        <v>February</v>
      </c>
      <c r="G2277">
        <f t="shared" si="422"/>
        <v>11</v>
      </c>
      <c r="H2277" s="7">
        <f t="shared" si="424"/>
        <v>-0.78845856862123032</v>
      </c>
      <c r="I2277" s="9">
        <f t="shared" si="425"/>
        <v>-7.9158333904447622E-3</v>
      </c>
      <c r="J2277" s="9">
        <f t="shared" si="426"/>
        <v>53606.147142857146</v>
      </c>
      <c r="K2277" s="9">
        <f t="shared" si="429"/>
        <v>53742.656666666684</v>
      </c>
      <c r="L2277" s="9">
        <f t="shared" si="428"/>
        <v>53828.378333333319</v>
      </c>
      <c r="M2277" s="9">
        <f t="shared" si="427"/>
        <v>4.5983343438536694E-3</v>
      </c>
      <c r="N2277" s="9">
        <f t="shared" si="430"/>
        <v>5.1307962919958806E-3</v>
      </c>
    </row>
    <row r="2278" spans="1:14" x14ac:dyDescent="0.35">
      <c r="A2278" s="1">
        <v>45700</v>
      </c>
      <c r="B2278" s="2" t="s">
        <v>2277</v>
      </c>
      <c r="C2278">
        <f t="shared" si="419"/>
        <v>52921.41</v>
      </c>
      <c r="D2278">
        <f t="shared" si="420"/>
        <v>2025</v>
      </c>
      <c r="E2278">
        <f t="shared" si="421"/>
        <v>2</v>
      </c>
      <c r="F2278" t="str">
        <f t="shared" si="423"/>
        <v>February</v>
      </c>
      <c r="G2278">
        <f t="shared" si="422"/>
        <v>12</v>
      </c>
      <c r="H2278" s="7">
        <f t="shared" si="424"/>
        <v>-0.63095409768099786</v>
      </c>
      <c r="I2278" s="9">
        <f t="shared" si="425"/>
        <v>-6.3295302569598604E-3</v>
      </c>
      <c r="J2278" s="9">
        <f t="shared" si="426"/>
        <v>53512.204285714295</v>
      </c>
      <c r="K2278" s="9">
        <f t="shared" si="429"/>
        <v>53769.442999999999</v>
      </c>
      <c r="L2278" s="9">
        <f t="shared" si="428"/>
        <v>53788.46666666666</v>
      </c>
      <c r="M2278" s="9">
        <f t="shared" si="427"/>
        <v>4.9996832684131767E-3</v>
      </c>
      <c r="N2278" s="9">
        <f t="shared" si="430"/>
        <v>5.2740016665944146E-3</v>
      </c>
    </row>
    <row r="2279" spans="1:14" x14ac:dyDescent="0.35">
      <c r="A2279" s="1">
        <v>45701</v>
      </c>
      <c r="B2279" s="2" t="s">
        <v>2278</v>
      </c>
      <c r="C2279">
        <f t="shared" si="419"/>
        <v>52194.59</v>
      </c>
      <c r="D2279">
        <f t="shared" si="420"/>
        <v>2025</v>
      </c>
      <c r="E2279">
        <f t="shared" si="421"/>
        <v>2</v>
      </c>
      <c r="F2279" t="str">
        <f t="shared" si="423"/>
        <v>February</v>
      </c>
      <c r="G2279">
        <f t="shared" si="422"/>
        <v>13</v>
      </c>
      <c r="H2279" s="7">
        <f t="shared" si="424"/>
        <v>-1.3733950021361996</v>
      </c>
      <c r="I2279" s="9">
        <f t="shared" si="425"/>
        <v>-1.3829133211870253E-2</v>
      </c>
      <c r="J2279" s="9">
        <f t="shared" si="426"/>
        <v>53339.101428571426</v>
      </c>
      <c r="K2279" s="9">
        <f t="shared" si="429"/>
        <v>53767.53366666667</v>
      </c>
      <c r="L2279" s="9">
        <f t="shared" si="428"/>
        <v>53740.383111111107</v>
      </c>
      <c r="M2279" s="9">
        <f t="shared" si="427"/>
        <v>6.7988488658407868E-3</v>
      </c>
      <c r="N2279" s="9">
        <f t="shared" si="430"/>
        <v>5.8694067013785088E-3</v>
      </c>
    </row>
    <row r="2280" spans="1:14" x14ac:dyDescent="0.35">
      <c r="A2280" s="1">
        <v>45702</v>
      </c>
      <c r="B2280" s="2" t="s">
        <v>2279</v>
      </c>
      <c r="C2280">
        <f t="shared" si="419"/>
        <v>52496.62</v>
      </c>
      <c r="D2280">
        <f t="shared" si="420"/>
        <v>2025</v>
      </c>
      <c r="E2280">
        <f t="shared" si="421"/>
        <v>2</v>
      </c>
      <c r="F2280" t="str">
        <f t="shared" si="423"/>
        <v>February</v>
      </c>
      <c r="G2280">
        <f t="shared" si="422"/>
        <v>14</v>
      </c>
      <c r="H2280" s="7">
        <f t="shared" si="424"/>
        <v>0.5786615049567515</v>
      </c>
      <c r="I2280" s="9">
        <f t="shared" si="425"/>
        <v>5.7699369017850857E-3</v>
      </c>
      <c r="J2280" s="9">
        <f t="shared" si="426"/>
        <v>53183.385714285709</v>
      </c>
      <c r="K2280" s="9">
        <f t="shared" si="429"/>
        <v>53755.083666666673</v>
      </c>
      <c r="L2280" s="9">
        <f t="shared" si="428"/>
        <v>53699.59</v>
      </c>
      <c r="M2280" s="9">
        <f t="shared" si="427"/>
        <v>7.2363268855702824E-3</v>
      </c>
      <c r="N2280" s="9">
        <f t="shared" si="430"/>
        <v>5.5471173613418035E-3</v>
      </c>
    </row>
    <row r="2281" spans="1:14" x14ac:dyDescent="0.35">
      <c r="A2281" s="1">
        <v>45705</v>
      </c>
      <c r="B2281" s="2" t="s">
        <v>2280</v>
      </c>
      <c r="C2281">
        <f t="shared" si="419"/>
        <v>52545.120000000003</v>
      </c>
      <c r="D2281">
        <f t="shared" si="420"/>
        <v>2025</v>
      </c>
      <c r="E2281">
        <f t="shared" si="421"/>
        <v>2</v>
      </c>
      <c r="F2281" t="str">
        <f t="shared" si="423"/>
        <v>February</v>
      </c>
      <c r="G2281">
        <f t="shared" si="422"/>
        <v>17</v>
      </c>
      <c r="H2281" s="7">
        <f t="shared" si="424"/>
        <v>9.2386900337583636E-2</v>
      </c>
      <c r="I2281" s="9">
        <f t="shared" si="425"/>
        <v>9.2344249907741938E-4</v>
      </c>
      <c r="J2281" s="9">
        <f t="shared" si="426"/>
        <v>52987.597142857143</v>
      </c>
      <c r="K2281" s="9">
        <f t="shared" si="429"/>
        <v>53743.597666666661</v>
      </c>
      <c r="L2281" s="9">
        <f t="shared" si="428"/>
        <v>53656.65111111111</v>
      </c>
      <c r="M2281" s="9">
        <f t="shared" si="427"/>
        <v>6.3665142971932008E-3</v>
      </c>
      <c r="N2281" s="9">
        <f t="shared" si="430"/>
        <v>5.5501218130122494E-3</v>
      </c>
    </row>
    <row r="2282" spans="1:14" x14ac:dyDescent="0.35">
      <c r="A2282" s="1">
        <v>45706</v>
      </c>
      <c r="B2282" s="2" t="s">
        <v>2281</v>
      </c>
      <c r="C2282">
        <f t="shared" si="419"/>
        <v>52672.75</v>
      </c>
      <c r="D2282">
        <f t="shared" si="420"/>
        <v>2025</v>
      </c>
      <c r="E2282">
        <f t="shared" si="421"/>
        <v>2</v>
      </c>
      <c r="F2282" t="str">
        <f t="shared" si="423"/>
        <v>February</v>
      </c>
      <c r="G2282">
        <f t="shared" si="422"/>
        <v>18</v>
      </c>
      <c r="H2282" s="7">
        <f t="shared" si="424"/>
        <v>0.24289601013376191</v>
      </c>
      <c r="I2282" s="9">
        <f t="shared" si="425"/>
        <v>2.4260149458966516E-3</v>
      </c>
      <c r="J2282" s="9">
        <f t="shared" si="426"/>
        <v>52824.088571428569</v>
      </c>
      <c r="K2282" s="9">
        <f t="shared" si="429"/>
        <v>53738</v>
      </c>
      <c r="L2282" s="9">
        <f t="shared" si="428"/>
        <v>53613.508111111114</v>
      </c>
      <c r="M2282" s="9">
        <f t="shared" si="427"/>
        <v>6.763169933733602E-3</v>
      </c>
      <c r="N2282" s="9">
        <f t="shared" si="430"/>
        <v>5.5690767103467893E-3</v>
      </c>
    </row>
    <row r="2283" spans="1:14" x14ac:dyDescent="0.35">
      <c r="A2283" s="1">
        <v>45707</v>
      </c>
      <c r="B2283" s="2" t="s">
        <v>2282</v>
      </c>
      <c r="C2283">
        <f t="shared" si="419"/>
        <v>53510.22</v>
      </c>
      <c r="D2283">
        <f t="shared" si="420"/>
        <v>2025</v>
      </c>
      <c r="E2283">
        <f t="shared" si="421"/>
        <v>2</v>
      </c>
      <c r="F2283" t="str">
        <f t="shared" si="423"/>
        <v>February</v>
      </c>
      <c r="G2283">
        <f t="shared" si="422"/>
        <v>19</v>
      </c>
      <c r="H2283" s="7">
        <f t="shared" si="424"/>
        <v>1.5899492621896543</v>
      </c>
      <c r="I2283" s="9">
        <f t="shared" si="425"/>
        <v>1.5774419678183153E-2</v>
      </c>
      <c r="J2283" s="9">
        <f t="shared" si="426"/>
        <v>52799.735714285714</v>
      </c>
      <c r="K2283" s="9">
        <f t="shared" si="429"/>
        <v>53736.254999999997</v>
      </c>
      <c r="L2283" s="9">
        <f t="shared" si="428"/>
        <v>53578.556333333334</v>
      </c>
      <c r="M2283" s="9">
        <f t="shared" si="427"/>
        <v>9.8436598079656521E-3</v>
      </c>
      <c r="N2283" s="9">
        <f t="shared" si="430"/>
        <v>5.7668495902074013E-3</v>
      </c>
    </row>
    <row r="2284" spans="1:14" x14ac:dyDescent="0.35">
      <c r="A2284" s="1">
        <v>45708</v>
      </c>
      <c r="B2284" s="2" t="s">
        <v>2283</v>
      </c>
      <c r="C2284">
        <f t="shared" si="419"/>
        <v>53551.31</v>
      </c>
      <c r="D2284">
        <f t="shared" si="420"/>
        <v>2025</v>
      </c>
      <c r="E2284">
        <f t="shared" si="421"/>
        <v>2</v>
      </c>
      <c r="F2284" t="str">
        <f t="shared" si="423"/>
        <v>February</v>
      </c>
      <c r="G2284">
        <f t="shared" si="422"/>
        <v>20</v>
      </c>
      <c r="H2284" s="7">
        <f t="shared" si="424"/>
        <v>7.6789069452520481E-2</v>
      </c>
      <c r="I2284" s="9">
        <f t="shared" si="425"/>
        <v>7.6759601730945113E-4</v>
      </c>
      <c r="J2284" s="9">
        <f t="shared" si="426"/>
        <v>52841.717142857138</v>
      </c>
      <c r="K2284" s="9">
        <f t="shared" si="429"/>
        <v>53716.030666666673</v>
      </c>
      <c r="L2284" s="9">
        <f t="shared" si="428"/>
        <v>53544.804333333341</v>
      </c>
      <c r="M2284" s="9">
        <f t="shared" si="427"/>
        <v>9.2775186986160142E-3</v>
      </c>
      <c r="N2284" s="9">
        <f t="shared" si="430"/>
        <v>5.3774642842920103E-3</v>
      </c>
    </row>
    <row r="2285" spans="1:14" x14ac:dyDescent="0.35">
      <c r="A2285" s="1">
        <v>45709</v>
      </c>
      <c r="B2285" s="2" t="s">
        <v>2284</v>
      </c>
      <c r="C2285">
        <f t="shared" si="419"/>
        <v>53535.16</v>
      </c>
      <c r="D2285">
        <f t="shared" si="420"/>
        <v>2025</v>
      </c>
      <c r="E2285">
        <f t="shared" si="421"/>
        <v>2</v>
      </c>
      <c r="F2285" t="str">
        <f t="shared" si="423"/>
        <v>February</v>
      </c>
      <c r="G2285">
        <f t="shared" si="422"/>
        <v>21</v>
      </c>
      <c r="H2285" s="7">
        <f t="shared" si="424"/>
        <v>-3.0157992400175044E-2</v>
      </c>
      <c r="I2285" s="9">
        <f t="shared" si="425"/>
        <v>-3.01625408371997E-4</v>
      </c>
      <c r="J2285" s="9">
        <f t="shared" si="426"/>
        <v>52929.395714285718</v>
      </c>
      <c r="K2285" s="9">
        <f t="shared" si="429"/>
        <v>53702.395333333334</v>
      </c>
      <c r="L2285" s="9">
        <f t="shared" si="428"/>
        <v>53515.613888888889</v>
      </c>
      <c r="M2285" s="9">
        <f t="shared" si="427"/>
        <v>8.7730096161614604E-3</v>
      </c>
      <c r="N2285" s="9">
        <f t="shared" si="430"/>
        <v>5.3347849341795804E-3</v>
      </c>
    </row>
    <row r="2286" spans="1:14" x14ac:dyDescent="0.35">
      <c r="A2286" s="1">
        <v>45712</v>
      </c>
      <c r="B2286" s="2" t="s">
        <v>2285</v>
      </c>
      <c r="C2286">
        <f t="shared" si="419"/>
        <v>53139.96</v>
      </c>
      <c r="D2286">
        <f t="shared" si="420"/>
        <v>2025</v>
      </c>
      <c r="E2286">
        <f t="shared" si="421"/>
        <v>2</v>
      </c>
      <c r="F2286" t="str">
        <f t="shared" si="423"/>
        <v>February</v>
      </c>
      <c r="G2286">
        <f t="shared" si="422"/>
        <v>24</v>
      </c>
      <c r="H2286" s="7">
        <f t="shared" si="424"/>
        <v>-0.73820644227084475</v>
      </c>
      <c r="I2286" s="9">
        <f t="shared" si="425"/>
        <v>-7.4094467020064982E-3</v>
      </c>
      <c r="J2286" s="9">
        <f t="shared" si="426"/>
        <v>53064.448571428584</v>
      </c>
      <c r="K2286" s="9">
        <f t="shared" si="429"/>
        <v>53673.856000000007</v>
      </c>
      <c r="L2286" s="9">
        <f t="shared" si="428"/>
        <v>53483.458333333343</v>
      </c>
      <c r="M2286" s="9">
        <f t="shared" si="427"/>
        <v>7.052330617935189E-3</v>
      </c>
      <c r="N2286" s="9">
        <f t="shared" si="430"/>
        <v>5.485806690769539E-3</v>
      </c>
    </row>
    <row r="2287" spans="1:14" x14ac:dyDescent="0.35">
      <c r="A2287" s="1">
        <v>45713</v>
      </c>
      <c r="B2287" s="2" t="s">
        <v>2286</v>
      </c>
      <c r="C2287">
        <f t="shared" si="419"/>
        <v>52853.36</v>
      </c>
      <c r="D2287">
        <f t="shared" si="420"/>
        <v>2025</v>
      </c>
      <c r="E2287">
        <f t="shared" si="421"/>
        <v>2</v>
      </c>
      <c r="F2287" t="str">
        <f t="shared" si="423"/>
        <v>February</v>
      </c>
      <c r="G2287">
        <f t="shared" si="422"/>
        <v>25</v>
      </c>
      <c r="H2287" s="7">
        <f t="shared" si="424"/>
        <v>-0.53933047747871565</v>
      </c>
      <c r="I2287" s="9">
        <f t="shared" si="425"/>
        <v>-5.407901148434105E-3</v>
      </c>
      <c r="J2287" s="9">
        <f t="shared" si="426"/>
        <v>53115.411428571431</v>
      </c>
      <c r="K2287" s="9">
        <f t="shared" si="429"/>
        <v>53634.688333333339</v>
      </c>
      <c r="L2287" s="9">
        <f t="shared" si="428"/>
        <v>53454.600888888897</v>
      </c>
      <c r="M2287" s="9">
        <f t="shared" si="427"/>
        <v>7.4592637485561362E-3</v>
      </c>
      <c r="N2287" s="9">
        <f t="shared" si="430"/>
        <v>5.5523104794014269E-3</v>
      </c>
    </row>
    <row r="2288" spans="1:14" x14ac:dyDescent="0.35">
      <c r="A2288" s="1">
        <v>45714</v>
      </c>
      <c r="B2288" s="2" t="s">
        <v>2287</v>
      </c>
      <c r="C2288">
        <f t="shared" si="419"/>
        <v>52918.42</v>
      </c>
      <c r="D2288">
        <f t="shared" si="420"/>
        <v>2025</v>
      </c>
      <c r="E2288">
        <f t="shared" si="421"/>
        <v>2</v>
      </c>
      <c r="F2288" t="str">
        <f t="shared" si="423"/>
        <v>February</v>
      </c>
      <c r="G2288">
        <f t="shared" si="422"/>
        <v>26</v>
      </c>
      <c r="H2288" s="7">
        <f t="shared" si="424"/>
        <v>0.1230952961174042</v>
      </c>
      <c r="I2288" s="9">
        <f t="shared" si="425"/>
        <v>1.23019595973615E-3</v>
      </c>
      <c r="J2288" s="9">
        <f t="shared" si="426"/>
        <v>53168.74</v>
      </c>
      <c r="K2288" s="9">
        <f t="shared" si="429"/>
        <v>53588.346666666672</v>
      </c>
      <c r="L2288" s="9">
        <f t="shared" si="428"/>
        <v>53428.091888888892</v>
      </c>
      <c r="M2288" s="9">
        <f t="shared" si="427"/>
        <v>7.4598628183418E-3</v>
      </c>
      <c r="N2288" s="9">
        <f t="shared" si="430"/>
        <v>5.4534299373688346E-3</v>
      </c>
    </row>
    <row r="2289" spans="1:14" x14ac:dyDescent="0.35">
      <c r="A2289" s="1">
        <v>45715</v>
      </c>
      <c r="B2289" s="2" t="s">
        <v>2288</v>
      </c>
      <c r="C2289">
        <f t="shared" si="419"/>
        <v>52990.080000000002</v>
      </c>
      <c r="D2289">
        <f t="shared" si="420"/>
        <v>2025</v>
      </c>
      <c r="E2289">
        <f t="shared" si="421"/>
        <v>2</v>
      </c>
      <c r="F2289" t="str">
        <f t="shared" si="423"/>
        <v>February</v>
      </c>
      <c r="G2289">
        <f t="shared" si="422"/>
        <v>27</v>
      </c>
      <c r="H2289" s="7">
        <f t="shared" si="424"/>
        <v>0.13541598558687787</v>
      </c>
      <c r="I2289" s="9">
        <f t="shared" si="425"/>
        <v>1.3532438083011915E-3</v>
      </c>
      <c r="J2289" s="9">
        <f t="shared" si="426"/>
        <v>53214.072857142855</v>
      </c>
      <c r="K2289" s="9">
        <f t="shared" si="429"/>
        <v>53536.385666666676</v>
      </c>
      <c r="L2289" s="9">
        <f t="shared" si="428"/>
        <v>53401.145333333334</v>
      </c>
      <c r="M2289" s="9">
        <f t="shared" si="427"/>
        <v>7.4369401008845823E-3</v>
      </c>
      <c r="N2289" s="9">
        <f t="shared" si="430"/>
        <v>5.3794076224152644E-3</v>
      </c>
    </row>
    <row r="2290" spans="1:14" x14ac:dyDescent="0.35">
      <c r="A2290" s="1">
        <v>45716</v>
      </c>
      <c r="B2290" s="2" t="s">
        <v>2289</v>
      </c>
      <c r="C2290">
        <f t="shared" si="419"/>
        <v>52660.74</v>
      </c>
      <c r="D2290">
        <f t="shared" si="420"/>
        <v>2025</v>
      </c>
      <c r="E2290">
        <f t="shared" si="421"/>
        <v>2</v>
      </c>
      <c r="F2290" t="str">
        <f t="shared" si="423"/>
        <v>February</v>
      </c>
      <c r="G2290">
        <f t="shared" si="422"/>
        <v>28</v>
      </c>
      <c r="H2290" s="7">
        <f t="shared" si="424"/>
        <v>-0.62151255480271728</v>
      </c>
      <c r="I2290" s="9">
        <f t="shared" si="425"/>
        <v>-6.2345198412192106E-3</v>
      </c>
      <c r="J2290" s="9">
        <f t="shared" si="426"/>
        <v>53092.718571428566</v>
      </c>
      <c r="K2290" s="9">
        <f t="shared" si="429"/>
        <v>53474.508333333339</v>
      </c>
      <c r="L2290" s="9">
        <f t="shared" si="428"/>
        <v>53369.213555555565</v>
      </c>
      <c r="M2290" s="9">
        <f t="shared" si="427"/>
        <v>3.882797584128204E-3</v>
      </c>
      <c r="N2290" s="9">
        <f t="shared" si="430"/>
        <v>5.4638152056846676E-3</v>
      </c>
    </row>
    <row r="2291" spans="1:14" x14ac:dyDescent="0.35">
      <c r="A2291" s="1">
        <v>45719</v>
      </c>
      <c r="B2291" s="2" t="s">
        <v>2290</v>
      </c>
      <c r="C2291">
        <f t="shared" si="419"/>
        <v>52457.760000000002</v>
      </c>
      <c r="D2291">
        <f t="shared" si="420"/>
        <v>2025</v>
      </c>
      <c r="E2291">
        <f t="shared" si="421"/>
        <v>3</v>
      </c>
      <c r="F2291" t="str">
        <f t="shared" si="423"/>
        <v>March</v>
      </c>
      <c r="G2291">
        <f t="shared" si="422"/>
        <v>3</v>
      </c>
      <c r="H2291" s="7">
        <f t="shared" si="424"/>
        <v>-0.38544843843819121</v>
      </c>
      <c r="I2291" s="9">
        <f t="shared" si="425"/>
        <v>-3.8619320534259501E-3</v>
      </c>
      <c r="J2291" s="9">
        <f t="shared" si="426"/>
        <v>52936.497142857137</v>
      </c>
      <c r="K2291" s="9">
        <f t="shared" si="429"/>
        <v>53408.856999999996</v>
      </c>
      <c r="L2291" s="9">
        <f t="shared" si="428"/>
        <v>53341.151777777777</v>
      </c>
      <c r="M2291" s="9">
        <f t="shared" si="427"/>
        <v>3.6640919919558729E-3</v>
      </c>
      <c r="N2291" s="9">
        <f t="shared" si="430"/>
        <v>5.4856150117421369E-3</v>
      </c>
    </row>
    <row r="2292" spans="1:14" x14ac:dyDescent="0.35">
      <c r="A2292" s="1">
        <v>45720</v>
      </c>
      <c r="B2292" s="2" t="s">
        <v>2291</v>
      </c>
      <c r="C2292">
        <f t="shared" si="419"/>
        <v>52056.06</v>
      </c>
      <c r="D2292">
        <f t="shared" si="420"/>
        <v>2025</v>
      </c>
      <c r="E2292">
        <f t="shared" si="421"/>
        <v>3</v>
      </c>
      <c r="F2292" t="str">
        <f t="shared" si="423"/>
        <v>March</v>
      </c>
      <c r="G2292">
        <f t="shared" si="422"/>
        <v>4</v>
      </c>
      <c r="H2292" s="7">
        <f t="shared" si="424"/>
        <v>-0.76575896492721829</v>
      </c>
      <c r="I2292" s="9">
        <f t="shared" si="425"/>
        <v>-7.6870595307952077E-3</v>
      </c>
      <c r="J2292" s="9">
        <f t="shared" si="426"/>
        <v>52725.197142857141</v>
      </c>
      <c r="K2292" s="9">
        <f t="shared" si="429"/>
        <v>53337.488333333327</v>
      </c>
      <c r="L2292" s="9">
        <f t="shared" si="428"/>
        <v>53303.267444444449</v>
      </c>
      <c r="M2292" s="9">
        <f t="shared" si="427"/>
        <v>3.8346053212766009E-3</v>
      </c>
      <c r="N2292" s="9">
        <f t="shared" si="430"/>
        <v>5.5860830975959716E-3</v>
      </c>
    </row>
    <row r="2293" spans="1:14" x14ac:dyDescent="0.35">
      <c r="A2293" s="1">
        <v>45721</v>
      </c>
      <c r="B2293" s="2" t="s">
        <v>2292</v>
      </c>
      <c r="C2293">
        <f t="shared" si="419"/>
        <v>52261.18</v>
      </c>
      <c r="D2293">
        <f t="shared" si="420"/>
        <v>2025</v>
      </c>
      <c r="E2293">
        <f t="shared" si="421"/>
        <v>3</v>
      </c>
      <c r="F2293" t="str">
        <f t="shared" si="423"/>
        <v>March</v>
      </c>
      <c r="G2293">
        <f t="shared" si="422"/>
        <v>5</v>
      </c>
      <c r="H2293" s="7">
        <f t="shared" si="424"/>
        <v>0.39403673654902543</v>
      </c>
      <c r="I2293" s="9">
        <f t="shared" si="425"/>
        <v>3.932624451288844E-3</v>
      </c>
      <c r="J2293" s="9">
        <f t="shared" si="426"/>
        <v>52599.657142857141</v>
      </c>
      <c r="K2293" s="9">
        <f t="shared" si="429"/>
        <v>53279.462999999996</v>
      </c>
      <c r="L2293" s="9">
        <f t="shared" si="428"/>
        <v>53271.112444444443</v>
      </c>
      <c r="M2293" s="9">
        <f t="shared" si="427"/>
        <v>4.4945583775494527E-3</v>
      </c>
      <c r="N2293" s="9">
        <f t="shared" si="430"/>
        <v>5.6499660165661453E-3</v>
      </c>
    </row>
    <row r="2294" spans="1:14" x14ac:dyDescent="0.35">
      <c r="A2294" s="1">
        <v>45722</v>
      </c>
      <c r="B2294" s="2" t="s">
        <v>2293</v>
      </c>
      <c r="C2294">
        <f t="shared" si="419"/>
        <v>52444.78</v>
      </c>
      <c r="D2294">
        <f t="shared" si="420"/>
        <v>2025</v>
      </c>
      <c r="E2294">
        <f t="shared" si="421"/>
        <v>3</v>
      </c>
      <c r="F2294" t="str">
        <f t="shared" si="423"/>
        <v>March</v>
      </c>
      <c r="G2294">
        <f t="shared" si="422"/>
        <v>6</v>
      </c>
      <c r="H2294" s="7">
        <f t="shared" si="424"/>
        <v>0.35131238904287765</v>
      </c>
      <c r="I2294" s="9">
        <f t="shared" si="425"/>
        <v>3.5069672857570683E-3</v>
      </c>
      <c r="J2294" s="9">
        <f t="shared" si="426"/>
        <v>52541.288571428573</v>
      </c>
      <c r="K2294" s="9">
        <f t="shared" si="429"/>
        <v>53226.851666666662</v>
      </c>
      <c r="L2294" s="9">
        <f t="shared" si="428"/>
        <v>53234.936222222219</v>
      </c>
      <c r="M2294" s="9">
        <f t="shared" si="427"/>
        <v>4.7500889152645807E-3</v>
      </c>
      <c r="N2294" s="9">
        <f t="shared" si="430"/>
        <v>5.7065210275776034E-3</v>
      </c>
    </row>
    <row r="2295" spans="1:14" x14ac:dyDescent="0.35">
      <c r="A2295" s="1">
        <v>45723</v>
      </c>
      <c r="B2295" s="2" t="s">
        <v>2294</v>
      </c>
      <c r="C2295">
        <f t="shared" si="419"/>
        <v>52309.23</v>
      </c>
      <c r="D2295">
        <f t="shared" si="420"/>
        <v>2025</v>
      </c>
      <c r="E2295">
        <f t="shared" si="421"/>
        <v>3</v>
      </c>
      <c r="F2295" t="str">
        <f t="shared" si="423"/>
        <v>March</v>
      </c>
      <c r="G2295">
        <f t="shared" si="422"/>
        <v>7</v>
      </c>
      <c r="H2295" s="7">
        <f t="shared" si="424"/>
        <v>-0.25846232933000318</v>
      </c>
      <c r="I2295" s="9">
        <f t="shared" si="425"/>
        <v>-2.5879691985974526E-3</v>
      </c>
      <c r="J2295" s="9">
        <f t="shared" si="426"/>
        <v>52454.261428571423</v>
      </c>
      <c r="K2295" s="9">
        <f t="shared" si="429"/>
        <v>53168.753333333327</v>
      </c>
      <c r="L2295" s="9">
        <f t="shared" si="428"/>
        <v>53194.149333333349</v>
      </c>
      <c r="M2295" s="9">
        <f t="shared" si="427"/>
        <v>4.6550278030302629E-3</v>
      </c>
      <c r="N2295" s="9">
        <f t="shared" si="430"/>
        <v>5.7062306325280712E-3</v>
      </c>
    </row>
    <row r="2296" spans="1:14" x14ac:dyDescent="0.35">
      <c r="A2296" s="1">
        <v>45726</v>
      </c>
      <c r="B2296" s="2" t="s">
        <v>2295</v>
      </c>
      <c r="C2296">
        <f t="shared" si="419"/>
        <v>51724.92</v>
      </c>
      <c r="D2296">
        <f t="shared" si="420"/>
        <v>2025</v>
      </c>
      <c r="E2296">
        <f t="shared" si="421"/>
        <v>3</v>
      </c>
      <c r="F2296" t="str">
        <f t="shared" si="423"/>
        <v>March</v>
      </c>
      <c r="G2296">
        <f t="shared" si="422"/>
        <v>10</v>
      </c>
      <c r="H2296" s="7">
        <f t="shared" si="424"/>
        <v>-1.1170303978858127</v>
      </c>
      <c r="I2296" s="9">
        <f t="shared" si="425"/>
        <v>-1.1233160345832818E-2</v>
      </c>
      <c r="J2296" s="9">
        <f t="shared" si="426"/>
        <v>52273.52428571428</v>
      </c>
      <c r="K2296" s="9">
        <f t="shared" si="429"/>
        <v>53090.806000000004</v>
      </c>
      <c r="L2296" s="9">
        <f t="shared" si="428"/>
        <v>53144.830666666683</v>
      </c>
      <c r="M2296" s="9">
        <f t="shared" si="427"/>
        <v>5.6287816851052471E-3</v>
      </c>
      <c r="N2296" s="9">
        <f t="shared" si="430"/>
        <v>5.9915256155842868E-3</v>
      </c>
    </row>
    <row r="2297" spans="1:14" x14ac:dyDescent="0.35">
      <c r="A2297" s="1">
        <v>45727</v>
      </c>
      <c r="B2297" s="2" t="s">
        <v>2296</v>
      </c>
      <c r="C2297">
        <f t="shared" si="419"/>
        <v>51816.31</v>
      </c>
      <c r="D2297">
        <f t="shared" si="420"/>
        <v>2025</v>
      </c>
      <c r="E2297">
        <f t="shared" si="421"/>
        <v>3</v>
      </c>
      <c r="F2297" t="str">
        <f t="shared" si="423"/>
        <v>March</v>
      </c>
      <c r="G2297">
        <f t="shared" si="422"/>
        <v>11</v>
      </c>
      <c r="H2297" s="7">
        <f t="shared" si="424"/>
        <v>0.17668466186124487</v>
      </c>
      <c r="I2297" s="9">
        <f t="shared" si="425"/>
        <v>1.765287581242106E-3</v>
      </c>
      <c r="J2297" s="9">
        <f t="shared" si="426"/>
        <v>52152.891428571427</v>
      </c>
      <c r="K2297" s="9">
        <f t="shared" si="429"/>
        <v>53014.21633333333</v>
      </c>
      <c r="L2297" s="9">
        <f t="shared" si="428"/>
        <v>53098.958222222238</v>
      </c>
      <c r="M2297" s="9">
        <f t="shared" si="427"/>
        <v>5.7798032522434492E-3</v>
      </c>
      <c r="N2297" s="9">
        <f t="shared" si="430"/>
        <v>6.0049171331151372E-3</v>
      </c>
    </row>
    <row r="2298" spans="1:14" x14ac:dyDescent="0.35">
      <c r="A2298" s="1">
        <v>45728</v>
      </c>
      <c r="B2298" s="2" t="s">
        <v>2297</v>
      </c>
      <c r="C2298">
        <f t="shared" si="419"/>
        <v>52027.98</v>
      </c>
      <c r="D2298">
        <f t="shared" si="420"/>
        <v>2025</v>
      </c>
      <c r="E2298">
        <f t="shared" si="421"/>
        <v>3</v>
      </c>
      <c r="F2298" t="str">
        <f t="shared" si="423"/>
        <v>March</v>
      </c>
      <c r="G2298">
        <f t="shared" si="422"/>
        <v>12</v>
      </c>
      <c r="H2298" s="7">
        <f t="shared" si="424"/>
        <v>0.40850072110500635</v>
      </c>
      <c r="I2298" s="9">
        <f t="shared" si="425"/>
        <v>4.0766862222616782E-3</v>
      </c>
      <c r="J2298" s="9">
        <f t="shared" si="426"/>
        <v>52091.494285714281</v>
      </c>
      <c r="K2298" s="9">
        <f t="shared" si="429"/>
        <v>52940.003999999994</v>
      </c>
      <c r="L2298" s="9">
        <f t="shared" si="428"/>
        <v>53058.324555555562</v>
      </c>
      <c r="M2298" s="9">
        <f t="shared" si="427"/>
        <v>6.1887550564517172E-3</v>
      </c>
      <c r="N2298" s="9">
        <f t="shared" si="430"/>
        <v>6.0453681988282106E-3</v>
      </c>
    </row>
    <row r="2299" spans="1:14" x14ac:dyDescent="0.35">
      <c r="A2299" s="1">
        <v>45729</v>
      </c>
      <c r="B2299" s="2" t="s">
        <v>2298</v>
      </c>
      <c r="C2299">
        <f t="shared" si="419"/>
        <v>52096.71</v>
      </c>
      <c r="D2299">
        <f t="shared" si="420"/>
        <v>2025</v>
      </c>
      <c r="E2299">
        <f t="shared" si="421"/>
        <v>3</v>
      </c>
      <c r="F2299" t="str">
        <f t="shared" si="423"/>
        <v>March</v>
      </c>
      <c r="G2299">
        <f t="shared" si="422"/>
        <v>13</v>
      </c>
      <c r="H2299" s="7">
        <f t="shared" si="424"/>
        <v>0.13210199588758956</v>
      </c>
      <c r="I2299" s="9">
        <f t="shared" si="425"/>
        <v>1.3201481796839324E-3</v>
      </c>
      <c r="J2299" s="9">
        <f t="shared" si="426"/>
        <v>52097.301428571423</v>
      </c>
      <c r="K2299" s="9">
        <f t="shared" si="429"/>
        <v>52870.802333333326</v>
      </c>
      <c r="L2299" s="9">
        <f t="shared" si="428"/>
        <v>53023.83811111113</v>
      </c>
      <c r="M2299" s="9">
        <f t="shared" si="427"/>
        <v>5.5081331991836914E-3</v>
      </c>
      <c r="N2299" s="9">
        <f t="shared" si="430"/>
        <v>6.065593805882865E-3</v>
      </c>
    </row>
    <row r="2300" spans="1:14" x14ac:dyDescent="0.35">
      <c r="A2300" s="1">
        <v>45730</v>
      </c>
      <c r="B2300" s="2" t="s">
        <v>2299</v>
      </c>
      <c r="C2300">
        <f t="shared" si="419"/>
        <v>52753.56</v>
      </c>
      <c r="D2300">
        <f t="shared" si="420"/>
        <v>2025</v>
      </c>
      <c r="E2300">
        <f t="shared" si="421"/>
        <v>3</v>
      </c>
      <c r="F2300" t="str">
        <f t="shared" si="423"/>
        <v>March</v>
      </c>
      <c r="G2300">
        <f t="shared" si="422"/>
        <v>14</v>
      </c>
      <c r="H2300" s="7">
        <f t="shared" si="424"/>
        <v>1.2608281789771341</v>
      </c>
      <c r="I2300" s="9">
        <f t="shared" si="425"/>
        <v>1.2529459257902576E-2</v>
      </c>
      <c r="J2300" s="9">
        <f t="shared" si="426"/>
        <v>52167.641428571427</v>
      </c>
      <c r="K2300" s="9">
        <f t="shared" si="429"/>
        <v>52839.375333333337</v>
      </c>
      <c r="L2300" s="9">
        <f t="shared" si="428"/>
        <v>52994.543555555567</v>
      </c>
      <c r="M2300" s="9">
        <f t="shared" si="427"/>
        <v>7.2005064979015782E-3</v>
      </c>
      <c r="N2300" s="9">
        <f t="shared" si="430"/>
        <v>6.396010591266545E-3</v>
      </c>
    </row>
    <row r="2301" spans="1:14" x14ac:dyDescent="0.35">
      <c r="A2301" s="1">
        <v>45733</v>
      </c>
      <c r="B2301" s="2" t="s">
        <v>2300</v>
      </c>
      <c r="C2301">
        <f t="shared" si="419"/>
        <v>52550.99</v>
      </c>
      <c r="D2301">
        <f t="shared" si="420"/>
        <v>2025</v>
      </c>
      <c r="E2301">
        <f t="shared" si="421"/>
        <v>3</v>
      </c>
      <c r="F2301" t="str">
        <f t="shared" si="423"/>
        <v>March</v>
      </c>
      <c r="G2301">
        <f t="shared" si="422"/>
        <v>17</v>
      </c>
      <c r="H2301" s="7">
        <f t="shared" si="424"/>
        <v>-0.38399304236529197</v>
      </c>
      <c r="I2301" s="9">
        <f t="shared" si="425"/>
        <v>-3.8473218843460082E-3</v>
      </c>
      <c r="J2301" s="9">
        <f t="shared" si="426"/>
        <v>52182.814285714281</v>
      </c>
      <c r="K2301" s="9">
        <f t="shared" si="429"/>
        <v>52805.108</v>
      </c>
      <c r="L2301" s="9">
        <f t="shared" si="428"/>
        <v>52965.027777777788</v>
      </c>
      <c r="M2301" s="9">
        <f t="shared" si="427"/>
        <v>7.3661884183403841E-3</v>
      </c>
      <c r="N2301" s="9">
        <f t="shared" si="430"/>
        <v>6.4174405337330273E-3</v>
      </c>
    </row>
    <row r="2302" spans="1:14" x14ac:dyDescent="0.35">
      <c r="A2302" s="1">
        <v>45734</v>
      </c>
      <c r="B2302" s="2" t="s">
        <v>2301</v>
      </c>
      <c r="C2302">
        <f t="shared" si="419"/>
        <v>52748.97</v>
      </c>
      <c r="D2302">
        <f t="shared" si="420"/>
        <v>2025</v>
      </c>
      <c r="E2302">
        <f t="shared" si="421"/>
        <v>3</v>
      </c>
      <c r="F2302" t="str">
        <f t="shared" si="423"/>
        <v>March</v>
      </c>
      <c r="G2302">
        <f t="shared" si="422"/>
        <v>18</v>
      </c>
      <c r="H2302" s="7">
        <f t="shared" si="424"/>
        <v>0.37673885877317098</v>
      </c>
      <c r="I2302" s="9">
        <f t="shared" si="425"/>
        <v>3.760309752923228E-3</v>
      </c>
      <c r="J2302" s="9">
        <f t="shared" si="426"/>
        <v>52245.634285714281</v>
      </c>
      <c r="K2302" s="9">
        <f t="shared" si="429"/>
        <v>52783.196666666663</v>
      </c>
      <c r="L2302" s="9">
        <f t="shared" si="428"/>
        <v>52941.314000000006</v>
      </c>
      <c r="M2302" s="9">
        <f t="shared" si="427"/>
        <v>7.3437043328836828E-3</v>
      </c>
      <c r="N2302" s="9">
        <f t="shared" si="430"/>
        <v>6.4472339287596691E-3</v>
      </c>
    </row>
    <row r="2303" spans="1:14" x14ac:dyDescent="0.35">
      <c r="A2303" s="1">
        <v>45735</v>
      </c>
      <c r="B2303" s="2" t="s">
        <v>2302</v>
      </c>
      <c r="C2303">
        <f t="shared" si="419"/>
        <v>51701.599999999999</v>
      </c>
      <c r="D2303">
        <f t="shared" si="420"/>
        <v>2025</v>
      </c>
      <c r="E2303">
        <f t="shared" si="421"/>
        <v>3</v>
      </c>
      <c r="F2303" t="str">
        <f t="shared" si="423"/>
        <v>March</v>
      </c>
      <c r="G2303">
        <f t="shared" si="422"/>
        <v>19</v>
      </c>
      <c r="H2303" s="7">
        <f t="shared" si="424"/>
        <v>-1.98557431547953</v>
      </c>
      <c r="I2303" s="9">
        <f t="shared" si="425"/>
        <v>-2.0055517288049583E-2</v>
      </c>
      <c r="J2303" s="9">
        <f t="shared" si="426"/>
        <v>52242.302857142859</v>
      </c>
      <c r="K2303" s="9">
        <f t="shared" si="429"/>
        <v>52720.362333333331</v>
      </c>
      <c r="L2303" s="9">
        <f t="shared" si="428"/>
        <v>52905.899666666672</v>
      </c>
      <c r="M2303" s="9">
        <f t="shared" si="427"/>
        <v>1.0079701463117759E-2</v>
      </c>
      <c r="N2303" s="9">
        <f t="shared" si="430"/>
        <v>7.3312404764753654E-3</v>
      </c>
    </row>
    <row r="2304" spans="1:14" x14ac:dyDescent="0.35">
      <c r="A2304" s="1">
        <v>45736</v>
      </c>
      <c r="B2304" s="2" t="s">
        <v>2303</v>
      </c>
      <c r="C2304">
        <f t="shared" si="419"/>
        <v>51699.46</v>
      </c>
      <c r="D2304">
        <f t="shared" si="420"/>
        <v>2025</v>
      </c>
      <c r="E2304">
        <f t="shared" si="421"/>
        <v>3</v>
      </c>
      <c r="F2304" t="str">
        <f t="shared" si="423"/>
        <v>March</v>
      </c>
      <c r="G2304">
        <f t="shared" si="422"/>
        <v>20</v>
      </c>
      <c r="H2304" s="7">
        <f t="shared" si="424"/>
        <v>-4.1391368932478263E-3</v>
      </c>
      <c r="I2304" s="9">
        <f t="shared" si="425"/>
        <v>-4.1392225578791526E-5</v>
      </c>
      <c r="J2304" s="9">
        <f t="shared" si="426"/>
        <v>52225.609999999993</v>
      </c>
      <c r="K2304" s="9">
        <f t="shared" si="429"/>
        <v>52646.489666666668</v>
      </c>
      <c r="L2304" s="9">
        <f t="shared" si="428"/>
        <v>52871.047111111126</v>
      </c>
      <c r="M2304" s="9">
        <f t="shared" si="427"/>
        <v>1.0048123264993625E-2</v>
      </c>
      <c r="N2304" s="9">
        <f t="shared" si="430"/>
        <v>7.2044589257139538E-3</v>
      </c>
    </row>
    <row r="2305" spans="1:14" x14ac:dyDescent="0.35">
      <c r="A2305" s="1">
        <v>45740</v>
      </c>
      <c r="B2305" s="2" t="s">
        <v>2304</v>
      </c>
      <c r="C2305">
        <f t="shared" si="419"/>
        <v>51855.38</v>
      </c>
      <c r="D2305">
        <f t="shared" si="420"/>
        <v>2025</v>
      </c>
      <c r="E2305">
        <f t="shared" si="421"/>
        <v>3</v>
      </c>
      <c r="F2305" t="str">
        <f t="shared" si="423"/>
        <v>March</v>
      </c>
      <c r="G2305">
        <f t="shared" si="422"/>
        <v>24</v>
      </c>
      <c r="H2305" s="7">
        <f t="shared" si="424"/>
        <v>0.30158922356248641</v>
      </c>
      <c r="I2305" s="9">
        <f t="shared" si="425"/>
        <v>3.0113535557928892E-3</v>
      </c>
      <c r="J2305" s="9">
        <f t="shared" si="426"/>
        <v>52200.952857142853</v>
      </c>
      <c r="K2305" s="9">
        <f t="shared" si="429"/>
        <v>52581.091999999997</v>
      </c>
      <c r="L2305" s="9">
        <f t="shared" si="428"/>
        <v>52841.672333333328</v>
      </c>
      <c r="M2305" s="9">
        <f t="shared" si="427"/>
        <v>9.9782117190725331E-3</v>
      </c>
      <c r="N2305" s="9">
        <f t="shared" si="430"/>
        <v>7.2485747119978355E-3</v>
      </c>
    </row>
    <row r="2306" spans="1:14" x14ac:dyDescent="0.35">
      <c r="A2306" s="1">
        <v>45741</v>
      </c>
      <c r="B2306" s="2" t="s">
        <v>2305</v>
      </c>
      <c r="C2306">
        <f t="shared" si="419"/>
        <v>51269.54</v>
      </c>
      <c r="D2306">
        <f t="shared" si="420"/>
        <v>2025</v>
      </c>
      <c r="E2306">
        <f t="shared" si="421"/>
        <v>3</v>
      </c>
      <c r="F2306" t="str">
        <f t="shared" si="423"/>
        <v>March</v>
      </c>
      <c r="G2306">
        <f t="shared" si="422"/>
        <v>25</v>
      </c>
      <c r="H2306" s="7">
        <f t="shared" si="424"/>
        <v>-1.1297574137919664</v>
      </c>
      <c r="I2306" s="9">
        <f t="shared" si="425"/>
        <v>-1.1361876494439364E-2</v>
      </c>
      <c r="J2306" s="9">
        <f t="shared" si="426"/>
        <v>52082.785714285703</v>
      </c>
      <c r="K2306" s="9">
        <f t="shared" si="429"/>
        <v>52500.720333333338</v>
      </c>
      <c r="L2306" s="9">
        <f t="shared" si="428"/>
        <v>52807.23811111111</v>
      </c>
      <c r="M2306" s="9">
        <f t="shared" si="427"/>
        <v>1.0721636356397205E-2</v>
      </c>
      <c r="N2306" s="9">
        <f t="shared" si="430"/>
        <v>7.478509723472063E-3</v>
      </c>
    </row>
    <row r="2307" spans="1:14" x14ac:dyDescent="0.35">
      <c r="A2307" s="1">
        <v>45742</v>
      </c>
      <c r="B2307" s="2" t="s">
        <v>2306</v>
      </c>
      <c r="C2307">
        <f t="shared" ref="C2307:C2370" si="431">_xlfn.NUMBERVALUE(B2307,".",",")</f>
        <v>50910.71</v>
      </c>
      <c r="D2307">
        <f t="shared" ref="D2307:D2370" si="432">YEAR(A2307)</f>
        <v>2025</v>
      </c>
      <c r="E2307">
        <f t="shared" ref="E2307:E2370" si="433">MONTH(A2307)</f>
        <v>3</v>
      </c>
      <c r="F2307" t="str">
        <f t="shared" si="423"/>
        <v>March</v>
      </c>
      <c r="G2307">
        <f t="shared" ref="G2307:G2370" si="434">DAY(A2307)</f>
        <v>26</v>
      </c>
      <c r="H2307" s="7">
        <f t="shared" si="424"/>
        <v>-0.69988925198080909</v>
      </c>
      <c r="I2307" s="9">
        <f t="shared" si="425"/>
        <v>-7.0234996503840963E-3</v>
      </c>
      <c r="J2307" s="9">
        <f t="shared" si="426"/>
        <v>51819.521428571432</v>
      </c>
      <c r="K2307" s="9">
        <f t="shared" si="429"/>
        <v>52422.496000000006</v>
      </c>
      <c r="L2307" s="9">
        <f t="shared" si="428"/>
        <v>52771.104777777771</v>
      </c>
      <c r="M2307" s="9">
        <f t="shared" si="427"/>
        <v>8.544329729486367E-3</v>
      </c>
      <c r="N2307" s="9">
        <f t="shared" si="430"/>
        <v>7.4539774484375645E-3</v>
      </c>
    </row>
    <row r="2308" spans="1:14" x14ac:dyDescent="0.35">
      <c r="A2308" s="1">
        <v>45743</v>
      </c>
      <c r="B2308" s="2" t="s">
        <v>2307</v>
      </c>
      <c r="C2308">
        <f t="shared" si="431"/>
        <v>51299.99</v>
      </c>
      <c r="D2308">
        <f t="shared" si="432"/>
        <v>2025</v>
      </c>
      <c r="E2308">
        <f t="shared" si="433"/>
        <v>3</v>
      </c>
      <c r="F2308" t="str">
        <f t="shared" ref="F2308:F2371" si="435">TEXT(A2308,"mmmm")</f>
        <v>March</v>
      </c>
      <c r="G2308">
        <f t="shared" si="434"/>
        <v>27</v>
      </c>
      <c r="H2308" s="7">
        <f t="shared" ref="H2308:H2371" si="436">((C2308-C2307)/C2307)*100</f>
        <v>0.7646328248024804</v>
      </c>
      <c r="I2308" s="9">
        <f t="shared" ref="I2308:I2371" si="437">LN(C2308/C2307)</f>
        <v>7.617243248400859E-3</v>
      </c>
      <c r="J2308" s="9">
        <f t="shared" si="426"/>
        <v>51640.807142857149</v>
      </c>
      <c r="K2308" s="9">
        <f t="shared" si="429"/>
        <v>52368.448666666663</v>
      </c>
      <c r="L2308" s="9">
        <f t="shared" si="428"/>
        <v>52737.912222222221</v>
      </c>
      <c r="M2308" s="9">
        <f t="shared" si="427"/>
        <v>9.8230220435973365E-3</v>
      </c>
      <c r="N2308" s="9">
        <f t="shared" si="430"/>
        <v>7.5764319640880965E-3</v>
      </c>
    </row>
    <row r="2309" spans="1:14" x14ac:dyDescent="0.35">
      <c r="A2309" s="1">
        <v>45744</v>
      </c>
      <c r="B2309" s="2" t="s">
        <v>2308</v>
      </c>
      <c r="C2309">
        <f t="shared" si="431"/>
        <v>51377.78</v>
      </c>
      <c r="D2309">
        <f t="shared" si="432"/>
        <v>2025</v>
      </c>
      <c r="E2309">
        <f t="shared" si="433"/>
        <v>3</v>
      </c>
      <c r="F2309" t="str">
        <f t="shared" si="435"/>
        <v>March</v>
      </c>
      <c r="G2309">
        <f t="shared" si="434"/>
        <v>28</v>
      </c>
      <c r="H2309" s="7">
        <f t="shared" si="436"/>
        <v>0.15163745645954488</v>
      </c>
      <c r="I2309" s="9">
        <f t="shared" si="437"/>
        <v>1.5152260296115612E-3</v>
      </c>
      <c r="J2309" s="9">
        <f t="shared" si="426"/>
        <v>51444.922857142854</v>
      </c>
      <c r="K2309" s="9">
        <f t="shared" si="429"/>
        <v>52341.221666666672</v>
      </c>
      <c r="L2309" s="9">
        <f t="shared" si="428"/>
        <v>52707.764111111108</v>
      </c>
      <c r="M2309" s="9">
        <f t="shared" si="427"/>
        <v>9.5823773802715794E-3</v>
      </c>
      <c r="N2309" s="9">
        <f t="shared" si="430"/>
        <v>7.1912345771774069E-3</v>
      </c>
    </row>
    <row r="2310" spans="1:14" x14ac:dyDescent="0.35">
      <c r="A2310" s="1">
        <v>45747</v>
      </c>
      <c r="B2310" s="2" t="s">
        <v>2309</v>
      </c>
      <c r="C2310">
        <f t="shared" si="431"/>
        <v>51498.14</v>
      </c>
      <c r="D2310">
        <f t="shared" si="432"/>
        <v>2025</v>
      </c>
      <c r="E2310">
        <f t="shared" si="433"/>
        <v>3</v>
      </c>
      <c r="F2310" t="str">
        <f t="shared" si="435"/>
        <v>March</v>
      </c>
      <c r="G2310">
        <f t="shared" si="434"/>
        <v>31</v>
      </c>
      <c r="H2310" s="7">
        <f t="shared" si="436"/>
        <v>0.23426469574979805</v>
      </c>
      <c r="I2310" s="9">
        <f t="shared" si="437"/>
        <v>2.3399072380769909E-3</v>
      </c>
      <c r="J2310" s="9">
        <f t="shared" si="426"/>
        <v>51415.857142857145</v>
      </c>
      <c r="K2310" s="9">
        <f t="shared" si="429"/>
        <v>52307.938999999998</v>
      </c>
      <c r="L2310" s="9">
        <f t="shared" si="428"/>
        <v>52688.169666666661</v>
      </c>
      <c r="M2310" s="9">
        <f t="shared" si="427"/>
        <v>6.4686956459479228E-3</v>
      </c>
      <c r="N2310" s="9">
        <f t="shared" si="430"/>
        <v>7.1145450960376699E-3</v>
      </c>
    </row>
    <row r="2311" spans="1:14" x14ac:dyDescent="0.35">
      <c r="A2311" s="1">
        <v>45748</v>
      </c>
      <c r="B2311" s="2" t="s">
        <v>2310</v>
      </c>
      <c r="C2311">
        <f t="shared" si="431"/>
        <v>51708.61</v>
      </c>
      <c r="D2311">
        <f t="shared" si="432"/>
        <v>2025</v>
      </c>
      <c r="E2311">
        <f t="shared" si="433"/>
        <v>4</v>
      </c>
      <c r="F2311" t="str">
        <f t="shared" si="435"/>
        <v>April</v>
      </c>
      <c r="G2311">
        <f t="shared" si="434"/>
        <v>1</v>
      </c>
      <c r="H2311" s="7">
        <f t="shared" si="436"/>
        <v>0.40869437226276745</v>
      </c>
      <c r="I2311" s="9">
        <f t="shared" si="437"/>
        <v>4.0786148534992959E-3</v>
      </c>
      <c r="J2311" s="9">
        <f t="shared" si="426"/>
        <v>51417.16428571428</v>
      </c>
      <c r="K2311" s="9">
        <f t="shared" si="429"/>
        <v>52280.055333333337</v>
      </c>
      <c r="L2311" s="9">
        <f t="shared" si="428"/>
        <v>52664.627444444443</v>
      </c>
      <c r="M2311" s="9">
        <f t="shared" si="427"/>
        <v>6.7071371276074361E-3</v>
      </c>
      <c r="N2311" s="9">
        <f t="shared" si="430"/>
        <v>7.1616208761193772E-3</v>
      </c>
    </row>
    <row r="2312" spans="1:14" x14ac:dyDescent="0.35">
      <c r="A2312" s="1">
        <v>45749</v>
      </c>
      <c r="B2312" s="2" t="s">
        <v>2311</v>
      </c>
      <c r="C2312">
        <f t="shared" si="431"/>
        <v>51893.19</v>
      </c>
      <c r="D2312">
        <f t="shared" si="432"/>
        <v>2025</v>
      </c>
      <c r="E2312">
        <f t="shared" si="433"/>
        <v>4</v>
      </c>
      <c r="F2312" t="str">
        <f t="shared" si="435"/>
        <v>April</v>
      </c>
      <c r="G2312">
        <f t="shared" si="434"/>
        <v>2</v>
      </c>
      <c r="H2312" s="7">
        <f t="shared" si="436"/>
        <v>0.35696182898747764</v>
      </c>
      <c r="I2312" s="9">
        <f t="shared" si="437"/>
        <v>3.5632623235985626E-3</v>
      </c>
      <c r="J2312" s="9">
        <f t="shared" si="426"/>
        <v>51422.565714285709</v>
      </c>
      <c r="K2312" s="9">
        <f t="shared" si="429"/>
        <v>52254.07</v>
      </c>
      <c r="L2312" s="9">
        <f t="shared" si="428"/>
        <v>52645.685555555567</v>
      </c>
      <c r="M2312" s="9">
        <f t="shared" si="427"/>
        <v>6.7511887618978469E-3</v>
      </c>
      <c r="N2312" s="9">
        <f t="shared" si="430"/>
        <v>7.1808184859516793E-3</v>
      </c>
    </row>
    <row r="2313" spans="1:14" x14ac:dyDescent="0.35">
      <c r="A2313" s="1">
        <v>45750</v>
      </c>
      <c r="B2313" s="2" t="s">
        <v>2312</v>
      </c>
      <c r="C2313">
        <f t="shared" si="431"/>
        <v>51682.19</v>
      </c>
      <c r="D2313">
        <f t="shared" si="432"/>
        <v>2025</v>
      </c>
      <c r="E2313">
        <f t="shared" si="433"/>
        <v>4</v>
      </c>
      <c r="F2313" t="str">
        <f t="shared" si="435"/>
        <v>April</v>
      </c>
      <c r="G2313">
        <f t="shared" si="434"/>
        <v>3</v>
      </c>
      <c r="H2313" s="7">
        <f t="shared" si="436"/>
        <v>-0.40660441186984264</v>
      </c>
      <c r="I2313" s="9">
        <f t="shared" si="437"/>
        <v>-4.0743329522242308E-3</v>
      </c>
      <c r="J2313" s="9">
        <f t="shared" ref="J2313:J2376" si="438">AVERAGE(C2307:C2313)</f>
        <v>51481.515714285713</v>
      </c>
      <c r="K2313" s="9">
        <f t="shared" si="429"/>
        <v>52193.135666666662</v>
      </c>
      <c r="L2313" s="9">
        <f t="shared" si="428"/>
        <v>52627.69922222224</v>
      </c>
      <c r="M2313" s="9">
        <f t="shared" si="427"/>
        <v>5.0311482250987912E-3</v>
      </c>
      <c r="N2313" s="9">
        <f t="shared" si="430"/>
        <v>6.5132897423716115E-3</v>
      </c>
    </row>
    <row r="2314" spans="1:14" x14ac:dyDescent="0.35">
      <c r="A2314" s="1">
        <v>45751</v>
      </c>
      <c r="B2314" s="2" t="s">
        <v>2313</v>
      </c>
      <c r="C2314">
        <f t="shared" si="431"/>
        <v>51146.05</v>
      </c>
      <c r="D2314">
        <f t="shared" si="432"/>
        <v>2025</v>
      </c>
      <c r="E2314">
        <f t="shared" si="433"/>
        <v>4</v>
      </c>
      <c r="F2314" t="str">
        <f t="shared" si="435"/>
        <v>April</v>
      </c>
      <c r="G2314">
        <f t="shared" si="434"/>
        <v>4</v>
      </c>
      <c r="H2314" s="7">
        <f t="shared" si="436"/>
        <v>-1.0373786404949159</v>
      </c>
      <c r="I2314" s="9">
        <f t="shared" si="437"/>
        <v>-1.0427969173189973E-2</v>
      </c>
      <c r="J2314" s="9">
        <f t="shared" si="438"/>
        <v>51515.135714285709</v>
      </c>
      <c r="K2314" s="9">
        <f t="shared" si="429"/>
        <v>52112.960333333329</v>
      </c>
      <c r="L2314" s="9">
        <f t="shared" si="428"/>
        <v>52608.144444444464</v>
      </c>
      <c r="M2314" s="9">
        <f t="shared" ref="M2314:M2377" si="439">STDEV(I2308:I2314)</f>
        <v>6.0198221565385384E-3</v>
      </c>
      <c r="N2314" s="9">
        <f t="shared" si="430"/>
        <v>6.7166731280131437E-3</v>
      </c>
    </row>
    <row r="2315" spans="1:14" x14ac:dyDescent="0.35">
      <c r="A2315" s="1">
        <v>45754</v>
      </c>
      <c r="B2315" s="2" t="s">
        <v>2314</v>
      </c>
      <c r="C2315">
        <f t="shared" si="431"/>
        <v>51497.16</v>
      </c>
      <c r="D2315">
        <f t="shared" si="432"/>
        <v>2025</v>
      </c>
      <c r="E2315">
        <f t="shared" si="433"/>
        <v>4</v>
      </c>
      <c r="F2315" t="str">
        <f t="shared" si="435"/>
        <v>April</v>
      </c>
      <c r="G2315">
        <f t="shared" si="434"/>
        <v>7</v>
      </c>
      <c r="H2315" s="7">
        <f t="shared" si="436"/>
        <v>0.68648507558257299</v>
      </c>
      <c r="I2315" s="9">
        <f t="shared" si="437"/>
        <v>6.8413949537433783E-3</v>
      </c>
      <c r="J2315" s="9">
        <f t="shared" si="438"/>
        <v>51543.302857142859</v>
      </c>
      <c r="K2315" s="9">
        <f t="shared" si="429"/>
        <v>52045.026999999995</v>
      </c>
      <c r="L2315" s="9">
        <f t="shared" si="428"/>
        <v>52598.375333333359</v>
      </c>
      <c r="M2315" s="9">
        <f t="shared" si="439"/>
        <v>5.8757721070001696E-3</v>
      </c>
      <c r="N2315" s="9">
        <f t="shared" si="430"/>
        <v>6.8862532202149749E-3</v>
      </c>
    </row>
    <row r="2316" spans="1:14" x14ac:dyDescent="0.35">
      <c r="A2316" s="1">
        <v>45755</v>
      </c>
      <c r="B2316" s="2" t="s">
        <v>2315</v>
      </c>
      <c r="C2316">
        <f t="shared" si="431"/>
        <v>51609.86</v>
      </c>
      <c r="D2316">
        <f t="shared" si="432"/>
        <v>2025</v>
      </c>
      <c r="E2316">
        <f t="shared" si="433"/>
        <v>4</v>
      </c>
      <c r="F2316" t="str">
        <f t="shared" si="435"/>
        <v>April</v>
      </c>
      <c r="G2316">
        <f t="shared" si="434"/>
        <v>8</v>
      </c>
      <c r="H2316" s="7">
        <f t="shared" si="436"/>
        <v>0.21884701991332547</v>
      </c>
      <c r="I2316" s="9">
        <f t="shared" si="437"/>
        <v>2.1860789863234914E-3</v>
      </c>
      <c r="J2316" s="9">
        <f t="shared" si="438"/>
        <v>51576.457142857136</v>
      </c>
      <c r="K2316" s="9">
        <f t="shared" si="429"/>
        <v>51994.023666666668</v>
      </c>
      <c r="L2316" s="9">
        <f t="shared" si="428"/>
        <v>52591.952444444461</v>
      </c>
      <c r="M2316" s="9">
        <f t="shared" si="439"/>
        <v>5.8995995901310102E-3</v>
      </c>
      <c r="N2316" s="9">
        <f t="shared" si="430"/>
        <v>6.8148721972240978E-3</v>
      </c>
    </row>
    <row r="2317" spans="1:14" x14ac:dyDescent="0.35">
      <c r="A2317" s="1">
        <v>45756</v>
      </c>
      <c r="B2317" s="2" t="s">
        <v>2316</v>
      </c>
      <c r="C2317">
        <f t="shared" si="431"/>
        <v>52183.1</v>
      </c>
      <c r="D2317">
        <f t="shared" si="432"/>
        <v>2025</v>
      </c>
      <c r="E2317">
        <f t="shared" si="433"/>
        <v>4</v>
      </c>
      <c r="F2317" t="str">
        <f t="shared" si="435"/>
        <v>April</v>
      </c>
      <c r="G2317">
        <f t="shared" si="434"/>
        <v>9</v>
      </c>
      <c r="H2317" s="7">
        <f t="shared" si="436"/>
        <v>1.1107179907095233</v>
      </c>
      <c r="I2317" s="9">
        <f t="shared" si="437"/>
        <v>1.1045948175054887E-2</v>
      </c>
      <c r="J2317" s="9">
        <f t="shared" si="438"/>
        <v>51674.30857142857</v>
      </c>
      <c r="K2317" s="9">
        <f t="shared" si="429"/>
        <v>51971.681666666664</v>
      </c>
      <c r="L2317" s="9">
        <f t="shared" si="428"/>
        <v>52595.095111111135</v>
      </c>
      <c r="M2317" s="9">
        <f t="shared" si="439"/>
        <v>7.1102132449982402E-3</v>
      </c>
      <c r="N2317" s="9">
        <f t="shared" si="430"/>
        <v>7.1017809378613331E-3</v>
      </c>
    </row>
    <row r="2318" spans="1:14" x14ac:dyDescent="0.35">
      <c r="A2318" s="1">
        <v>45757</v>
      </c>
      <c r="B2318" s="2" t="s">
        <v>2317</v>
      </c>
      <c r="C2318">
        <f t="shared" si="431"/>
        <v>52088.56</v>
      </c>
      <c r="D2318">
        <f t="shared" si="432"/>
        <v>2025</v>
      </c>
      <c r="E2318">
        <f t="shared" si="433"/>
        <v>4</v>
      </c>
      <c r="F2318" t="str">
        <f t="shared" si="435"/>
        <v>April</v>
      </c>
      <c r="G2318">
        <f t="shared" si="434"/>
        <v>10</v>
      </c>
      <c r="H2318" s="7">
        <f t="shared" si="436"/>
        <v>-0.18116976569042637</v>
      </c>
      <c r="I2318" s="9">
        <f t="shared" si="437"/>
        <v>-1.8133407659487136E-3</v>
      </c>
      <c r="J2318" s="9">
        <f t="shared" si="438"/>
        <v>51728.587142857141</v>
      </c>
      <c r="K2318" s="9">
        <f t="shared" si="429"/>
        <v>51944.01966666666</v>
      </c>
      <c r="L2318" s="9">
        <f t="shared" si="428"/>
        <v>52592.911555555569</v>
      </c>
      <c r="M2318" s="9">
        <f t="shared" si="439"/>
        <v>7.1562043417821861E-3</v>
      </c>
      <c r="N2318" s="9">
        <f t="shared" si="430"/>
        <v>7.0990528065613696E-3</v>
      </c>
    </row>
    <row r="2319" spans="1:14" x14ac:dyDescent="0.35">
      <c r="A2319" s="1">
        <v>45758</v>
      </c>
      <c r="B2319" s="2" t="s">
        <v>2318</v>
      </c>
      <c r="C2319">
        <f t="shared" si="431"/>
        <v>52586.61</v>
      </c>
      <c r="D2319">
        <f t="shared" si="432"/>
        <v>2025</v>
      </c>
      <c r="E2319">
        <f t="shared" si="433"/>
        <v>4</v>
      </c>
      <c r="F2319" t="str">
        <f t="shared" si="435"/>
        <v>April</v>
      </c>
      <c r="G2319">
        <f t="shared" si="434"/>
        <v>11</v>
      </c>
      <c r="H2319" s="7">
        <f t="shared" si="436"/>
        <v>0.95616004742692629</v>
      </c>
      <c r="I2319" s="9">
        <f t="shared" si="437"/>
        <v>9.5161776859521673E-3</v>
      </c>
      <c r="J2319" s="9">
        <f t="shared" si="438"/>
        <v>51827.647142857146</v>
      </c>
      <c r="K2319" s="9">
        <f t="shared" si="429"/>
        <v>51930.570666666674</v>
      </c>
      <c r="L2319" s="9">
        <f t="shared" si="428"/>
        <v>52594.052777777797</v>
      </c>
      <c r="M2319" s="9">
        <f t="shared" si="439"/>
        <v>7.8274520838680327E-3</v>
      </c>
      <c r="N2319" s="9">
        <f t="shared" si="430"/>
        <v>7.3263973685455241E-3</v>
      </c>
    </row>
    <row r="2320" spans="1:14" x14ac:dyDescent="0.35">
      <c r="A2320" s="1">
        <v>45761</v>
      </c>
      <c r="B2320" s="2" t="s">
        <v>2319</v>
      </c>
      <c r="C2320">
        <f t="shared" si="431"/>
        <v>52558.61</v>
      </c>
      <c r="D2320">
        <f t="shared" si="432"/>
        <v>2025</v>
      </c>
      <c r="E2320">
        <f t="shared" si="433"/>
        <v>4</v>
      </c>
      <c r="F2320" t="str">
        <f t="shared" si="435"/>
        <v>April</v>
      </c>
      <c r="G2320">
        <f t="shared" si="434"/>
        <v>14</v>
      </c>
      <c r="H2320" s="7">
        <f t="shared" si="436"/>
        <v>-5.3245493482086029E-2</v>
      </c>
      <c r="I2320" s="9">
        <f t="shared" si="437"/>
        <v>-5.3259673928827023E-4</v>
      </c>
      <c r="J2320" s="9">
        <f t="shared" si="438"/>
        <v>51952.85</v>
      </c>
      <c r="K2320" s="9">
        <f t="shared" si="429"/>
        <v>51927.166333333342</v>
      </c>
      <c r="L2320" s="9">
        <f t="shared" si="428"/>
        <v>52599.712333333358</v>
      </c>
      <c r="M2320" s="9">
        <f t="shared" si="439"/>
        <v>7.4841307445665294E-3</v>
      </c>
      <c r="N2320" s="9">
        <f t="shared" si="430"/>
        <v>7.2393630433144895E-3</v>
      </c>
    </row>
    <row r="2321" spans="1:14" x14ac:dyDescent="0.35">
      <c r="A2321" s="1">
        <v>45762</v>
      </c>
      <c r="B2321" s="2" t="s">
        <v>2320</v>
      </c>
      <c r="C2321">
        <f t="shared" si="431"/>
        <v>52223.54</v>
      </c>
      <c r="D2321">
        <f t="shared" si="432"/>
        <v>2025</v>
      </c>
      <c r="E2321">
        <f t="shared" si="433"/>
        <v>4</v>
      </c>
      <c r="F2321" t="str">
        <f t="shared" si="435"/>
        <v>April</v>
      </c>
      <c r="G2321">
        <f t="shared" si="434"/>
        <v>15</v>
      </c>
      <c r="H2321" s="7">
        <f t="shared" si="436"/>
        <v>-0.63751685974952477</v>
      </c>
      <c r="I2321" s="9">
        <f t="shared" si="437"/>
        <v>-6.3955767680748442E-3</v>
      </c>
      <c r="J2321" s="9">
        <f t="shared" si="438"/>
        <v>52106.777142857136</v>
      </c>
      <c r="K2321" s="9">
        <f t="shared" si="429"/>
        <v>51919.359000000011</v>
      </c>
      <c r="L2321" s="9">
        <f t="shared" si="428"/>
        <v>52600.376111111138</v>
      </c>
      <c r="M2321" s="9">
        <f t="shared" si="439"/>
        <v>6.4101181902254589E-3</v>
      </c>
      <c r="N2321" s="9">
        <f t="shared" si="430"/>
        <v>7.2997164440356784E-3</v>
      </c>
    </row>
    <row r="2322" spans="1:14" x14ac:dyDescent="0.35">
      <c r="A2322" s="1">
        <v>45763</v>
      </c>
      <c r="B2322" s="2" t="s">
        <v>2321</v>
      </c>
      <c r="C2322">
        <f t="shared" si="431"/>
        <v>52586.37</v>
      </c>
      <c r="D2322">
        <f t="shared" si="432"/>
        <v>2025</v>
      </c>
      <c r="E2322">
        <f t="shared" si="433"/>
        <v>4</v>
      </c>
      <c r="F2322" t="str">
        <f t="shared" si="435"/>
        <v>April</v>
      </c>
      <c r="G2322">
        <f t="shared" si="434"/>
        <v>16</v>
      </c>
      <c r="H2322" s="7">
        <f t="shared" si="436"/>
        <v>0.69476331937666758</v>
      </c>
      <c r="I2322" s="9">
        <f t="shared" si="437"/>
        <v>6.9236095975071009E-3</v>
      </c>
      <c r="J2322" s="9">
        <f t="shared" si="438"/>
        <v>52262.37857142857</v>
      </c>
      <c r="K2322" s="9">
        <f t="shared" si="429"/>
        <v>51937.036000000015</v>
      </c>
      <c r="L2322" s="9">
        <f t="shared" si="428"/>
        <v>52611.213444444467</v>
      </c>
      <c r="M2322" s="9">
        <f t="shared" si="439"/>
        <v>6.4184459594677111E-3</v>
      </c>
      <c r="N2322" s="9">
        <f t="shared" si="430"/>
        <v>7.266784337135259E-3</v>
      </c>
    </row>
    <row r="2323" spans="1:14" x14ac:dyDescent="0.35">
      <c r="A2323" s="1">
        <v>45764</v>
      </c>
      <c r="B2323" s="2" t="s">
        <v>2322</v>
      </c>
      <c r="C2323">
        <f t="shared" si="431"/>
        <v>52485.16</v>
      </c>
      <c r="D2323">
        <f t="shared" si="432"/>
        <v>2025</v>
      </c>
      <c r="E2323">
        <f t="shared" si="433"/>
        <v>4</v>
      </c>
      <c r="F2323" t="str">
        <f t="shared" si="435"/>
        <v>April</v>
      </c>
      <c r="G2323">
        <f t="shared" si="434"/>
        <v>17</v>
      </c>
      <c r="H2323" s="7">
        <f t="shared" si="436"/>
        <v>-0.19246432107787459</v>
      </c>
      <c r="I2323" s="9">
        <f t="shared" si="437"/>
        <v>-1.9264977164130052E-3</v>
      </c>
      <c r="J2323" s="9">
        <f t="shared" si="438"/>
        <v>52387.421428571441</v>
      </c>
      <c r="K2323" s="9">
        <f t="shared" si="429"/>
        <v>51944.502000000008</v>
      </c>
      <c r="L2323" s="9">
        <f t="shared" si="428"/>
        <v>52623.760000000017</v>
      </c>
      <c r="M2323" s="9">
        <f t="shared" si="439"/>
        <v>6.6869091120695572E-3</v>
      </c>
      <c r="N2323" s="9">
        <f t="shared" si="430"/>
        <v>7.2455435443147132E-3</v>
      </c>
    </row>
    <row r="2324" spans="1:14" x14ac:dyDescent="0.35">
      <c r="A2324" s="1">
        <v>45769</v>
      </c>
      <c r="B2324" s="2" t="s">
        <v>2323</v>
      </c>
      <c r="C2324">
        <f t="shared" si="431"/>
        <v>52465.64</v>
      </c>
      <c r="D2324">
        <f t="shared" si="432"/>
        <v>2025</v>
      </c>
      <c r="E2324">
        <f t="shared" si="433"/>
        <v>4</v>
      </c>
      <c r="F2324" t="str">
        <f t="shared" si="435"/>
        <v>April</v>
      </c>
      <c r="G2324">
        <f t="shared" si="434"/>
        <v>22</v>
      </c>
      <c r="H2324" s="7">
        <f t="shared" si="436"/>
        <v>-3.7191465168447756E-2</v>
      </c>
      <c r="I2324" s="9">
        <f t="shared" si="437"/>
        <v>-3.7198382909117413E-4</v>
      </c>
      <c r="J2324" s="9">
        <f t="shared" si="438"/>
        <v>52427.784285714282</v>
      </c>
      <c r="K2324" s="9">
        <f t="shared" si="429"/>
        <v>51945.197333333337</v>
      </c>
      <c r="L2324" s="9">
        <f t="shared" si="428"/>
        <v>52633.413333333345</v>
      </c>
      <c r="M2324" s="9">
        <f t="shared" si="439"/>
        <v>5.5174518075917509E-3</v>
      </c>
      <c r="N2324" s="9">
        <f t="shared" si="430"/>
        <v>7.2179925274163973E-3</v>
      </c>
    </row>
    <row r="2325" spans="1:14" x14ac:dyDescent="0.35">
      <c r="A2325" s="1">
        <v>45770</v>
      </c>
      <c r="B2325" s="2" t="s">
        <v>2324</v>
      </c>
      <c r="C2325">
        <f t="shared" si="431"/>
        <v>52956.71</v>
      </c>
      <c r="D2325">
        <f t="shared" si="432"/>
        <v>2025</v>
      </c>
      <c r="E2325">
        <f t="shared" si="433"/>
        <v>4</v>
      </c>
      <c r="F2325" t="str">
        <f t="shared" si="435"/>
        <v>April</v>
      </c>
      <c r="G2325">
        <f t="shared" si="434"/>
        <v>23</v>
      </c>
      <c r="H2325" s="7">
        <f t="shared" si="436"/>
        <v>0.9359840078192122</v>
      </c>
      <c r="I2325" s="9">
        <f t="shared" si="437"/>
        <v>9.3163081985155691E-3</v>
      </c>
      <c r="J2325" s="9">
        <f t="shared" si="438"/>
        <v>52551.805714285721</v>
      </c>
      <c r="K2325" s="9">
        <f t="shared" si="429"/>
        <v>51966.780000000006</v>
      </c>
      <c r="L2325" s="9">
        <f t="shared" si="428"/>
        <v>52650.351888888901</v>
      </c>
      <c r="M2325" s="9">
        <f t="shared" si="439"/>
        <v>6.2087661335333581E-3</v>
      </c>
      <c r="N2325" s="9">
        <f t="shared" si="430"/>
        <v>7.3951049836190001E-3</v>
      </c>
    </row>
    <row r="2326" spans="1:14" x14ac:dyDescent="0.35">
      <c r="A2326" s="1">
        <v>45771</v>
      </c>
      <c r="B2326" s="2" t="s">
        <v>2325</v>
      </c>
      <c r="C2326">
        <f t="shared" si="431"/>
        <v>52687.29</v>
      </c>
      <c r="D2326">
        <f t="shared" si="432"/>
        <v>2025</v>
      </c>
      <c r="E2326">
        <f t="shared" si="433"/>
        <v>4</v>
      </c>
      <c r="F2326" t="str">
        <f t="shared" si="435"/>
        <v>April</v>
      </c>
      <c r="G2326">
        <f t="shared" si="434"/>
        <v>24</v>
      </c>
      <c r="H2326" s="7">
        <f t="shared" si="436"/>
        <v>-0.5087551700247207</v>
      </c>
      <c r="I2326" s="9">
        <f t="shared" si="437"/>
        <v>-5.1005373535772929E-3</v>
      </c>
      <c r="J2326" s="9">
        <f t="shared" si="438"/>
        <v>52566.188571428575</v>
      </c>
      <c r="K2326" s="9">
        <f t="shared" si="429"/>
        <v>51998.859000000011</v>
      </c>
      <c r="L2326" s="9">
        <f t="shared" si="428"/>
        <v>52665.891666666677</v>
      </c>
      <c r="M2326" s="9">
        <f t="shared" si="439"/>
        <v>5.848926269255982E-3</v>
      </c>
      <c r="N2326" s="9">
        <f t="shared" si="430"/>
        <v>7.1426068847540245E-3</v>
      </c>
    </row>
    <row r="2327" spans="1:14" x14ac:dyDescent="0.35">
      <c r="A2327" s="1">
        <v>45772</v>
      </c>
      <c r="B2327" s="2" t="s">
        <v>2326</v>
      </c>
      <c r="C2327">
        <f t="shared" si="431"/>
        <v>51904.34</v>
      </c>
      <c r="D2327">
        <f t="shared" si="432"/>
        <v>2025</v>
      </c>
      <c r="E2327">
        <f t="shared" si="433"/>
        <v>4</v>
      </c>
      <c r="F2327" t="str">
        <f t="shared" si="435"/>
        <v>April</v>
      </c>
      <c r="G2327">
        <f t="shared" si="434"/>
        <v>25</v>
      </c>
      <c r="H2327" s="7">
        <f t="shared" si="436"/>
        <v>-1.4860320202462574</v>
      </c>
      <c r="I2327" s="9">
        <f t="shared" si="437"/>
        <v>-1.4971840962643054E-2</v>
      </c>
      <c r="J2327" s="9">
        <f t="shared" si="438"/>
        <v>52472.721428571436</v>
      </c>
      <c r="K2327" s="9">
        <f t="shared" si="429"/>
        <v>52001.793333333342</v>
      </c>
      <c r="L2327" s="9">
        <f t="shared" si="428"/>
        <v>52670.345222222226</v>
      </c>
      <c r="M2327" s="9">
        <f t="shared" si="439"/>
        <v>8.2385111910970258E-3</v>
      </c>
      <c r="N2327" s="9">
        <f t="shared" si="430"/>
        <v>7.6828507652677985E-3</v>
      </c>
    </row>
    <row r="2328" spans="1:14" x14ac:dyDescent="0.35">
      <c r="A2328" s="1">
        <v>45776</v>
      </c>
      <c r="B2328" s="2" t="s">
        <v>2327</v>
      </c>
      <c r="C2328">
        <f t="shared" si="431"/>
        <v>51803.48</v>
      </c>
      <c r="D2328">
        <f t="shared" si="432"/>
        <v>2025</v>
      </c>
      <c r="E2328">
        <f t="shared" si="433"/>
        <v>4</v>
      </c>
      <c r="F2328" t="str">
        <f t="shared" si="435"/>
        <v>April</v>
      </c>
      <c r="G2328">
        <f t="shared" si="434"/>
        <v>29</v>
      </c>
      <c r="H2328" s="7">
        <f t="shared" si="436"/>
        <v>-0.19431901070313834</v>
      </c>
      <c r="I2328" s="9">
        <f t="shared" si="437"/>
        <v>-1.945080550318178E-3</v>
      </c>
      <c r="J2328" s="9">
        <f t="shared" si="438"/>
        <v>52412.712857142855</v>
      </c>
      <c r="K2328" s="9">
        <f t="shared" si="429"/>
        <v>51994.310000000005</v>
      </c>
      <c r="L2328" s="9">
        <f t="shared" si="428"/>
        <v>52678.463222222235</v>
      </c>
      <c r="M2328" s="9">
        <f t="shared" si="439"/>
        <v>7.9918409062582699E-3</v>
      </c>
      <c r="N2328" s="9">
        <f t="shared" si="430"/>
        <v>7.6528028825706678E-3</v>
      </c>
    </row>
    <row r="2329" spans="1:14" x14ac:dyDescent="0.35">
      <c r="A2329" s="1">
        <v>45777</v>
      </c>
      <c r="B2329" s="2" t="s">
        <v>2328</v>
      </c>
      <c r="C2329">
        <f t="shared" si="431"/>
        <v>52181.91</v>
      </c>
      <c r="D2329">
        <f t="shared" si="432"/>
        <v>2025</v>
      </c>
      <c r="E2329">
        <f t="shared" si="433"/>
        <v>4</v>
      </c>
      <c r="F2329" t="str">
        <f t="shared" si="435"/>
        <v>April</v>
      </c>
      <c r="G2329">
        <f t="shared" si="434"/>
        <v>30</v>
      </c>
      <c r="H2329" s="7">
        <f t="shared" si="436"/>
        <v>0.73051076877460797</v>
      </c>
      <c r="I2329" s="9">
        <f t="shared" si="437"/>
        <v>7.2785546254842994E-3</v>
      </c>
      <c r="J2329" s="9">
        <f t="shared" si="438"/>
        <v>52354.932857142863</v>
      </c>
      <c r="K2329" s="9">
        <f t="shared" si="429"/>
        <v>51997.149999999994</v>
      </c>
      <c r="L2329" s="9">
        <f t="shared" si="428"/>
        <v>52687.121222222246</v>
      </c>
      <c r="M2329" s="9">
        <f t="shared" si="439"/>
        <v>8.0525268146029224E-3</v>
      </c>
      <c r="N2329" s="9">
        <f t="shared" si="430"/>
        <v>7.7685600911331348E-3</v>
      </c>
    </row>
    <row r="2330" spans="1:14" x14ac:dyDescent="0.35">
      <c r="A2330" s="1">
        <v>45779</v>
      </c>
      <c r="B2330" s="2" t="s">
        <v>2329</v>
      </c>
      <c r="C2330">
        <f t="shared" si="431"/>
        <v>52151.16</v>
      </c>
      <c r="D2330">
        <f t="shared" si="432"/>
        <v>2025</v>
      </c>
      <c r="E2330">
        <f t="shared" si="433"/>
        <v>5</v>
      </c>
      <c r="F2330" t="str">
        <f t="shared" si="435"/>
        <v>May</v>
      </c>
      <c r="G2330">
        <f t="shared" si="434"/>
        <v>2</v>
      </c>
      <c r="H2330" s="7">
        <f t="shared" si="436"/>
        <v>-5.8928467739107288E-2</v>
      </c>
      <c r="I2330" s="9">
        <f t="shared" si="437"/>
        <v>-5.8945837384768497E-4</v>
      </c>
      <c r="J2330" s="9">
        <f t="shared" si="438"/>
        <v>52307.218571428573</v>
      </c>
      <c r="K2330" s="9">
        <f t="shared" si="429"/>
        <v>51977.069999999992</v>
      </c>
      <c r="L2330" s="9">
        <f t="shared" si="428"/>
        <v>52698.127777777801</v>
      </c>
      <c r="M2330" s="9">
        <f t="shared" si="439"/>
        <v>8.0455925069016481E-3</v>
      </c>
      <c r="N2330" s="9">
        <f t="shared" si="430"/>
        <v>7.4027433335750546E-3</v>
      </c>
    </row>
    <row r="2331" spans="1:14" x14ac:dyDescent="0.35">
      <c r="A2331" s="1">
        <v>45782</v>
      </c>
      <c r="B2331" s="2" t="s">
        <v>2330</v>
      </c>
      <c r="C2331">
        <f t="shared" si="431"/>
        <v>52265.16</v>
      </c>
      <c r="D2331">
        <f t="shared" si="432"/>
        <v>2025</v>
      </c>
      <c r="E2331">
        <f t="shared" si="433"/>
        <v>5</v>
      </c>
      <c r="F2331" t="str">
        <f t="shared" si="435"/>
        <v>May</v>
      </c>
      <c r="G2331">
        <f t="shared" si="434"/>
        <v>5</v>
      </c>
      <c r="H2331" s="7">
        <f t="shared" si="436"/>
        <v>0.21859532942316143</v>
      </c>
      <c r="I2331" s="9">
        <f t="shared" si="437"/>
        <v>2.1835675744115188E-3</v>
      </c>
      <c r="J2331" s="9">
        <f t="shared" si="438"/>
        <v>52278.578571428581</v>
      </c>
      <c r="K2331" s="9">
        <f t="shared" si="429"/>
        <v>51967.542333333324</v>
      </c>
      <c r="L2331" s="9">
        <f t="shared" si="428"/>
        <v>52705.341777777787</v>
      </c>
      <c r="M2331" s="9">
        <f t="shared" si="439"/>
        <v>8.131700562436785E-3</v>
      </c>
      <c r="N2331" s="9">
        <f t="shared" si="430"/>
        <v>7.3872885585928695E-3</v>
      </c>
    </row>
    <row r="2332" spans="1:14" x14ac:dyDescent="0.35">
      <c r="A2332" s="1">
        <v>45783</v>
      </c>
      <c r="B2332" s="2" t="s">
        <v>2331</v>
      </c>
      <c r="C2332">
        <f t="shared" si="431"/>
        <v>52719.58</v>
      </c>
      <c r="D2332">
        <f t="shared" si="432"/>
        <v>2025</v>
      </c>
      <c r="E2332">
        <f t="shared" si="433"/>
        <v>5</v>
      </c>
      <c r="F2332" t="str">
        <f t="shared" si="435"/>
        <v>May</v>
      </c>
      <c r="G2332">
        <f t="shared" si="434"/>
        <v>6</v>
      </c>
      <c r="H2332" s="7">
        <f t="shared" si="436"/>
        <v>0.86945108366643897</v>
      </c>
      <c r="I2332" s="9">
        <f t="shared" si="437"/>
        <v>8.6569312443398883E-3</v>
      </c>
      <c r="J2332" s="9">
        <f t="shared" si="438"/>
        <v>52244.70285714286</v>
      </c>
      <c r="K2332" s="9">
        <f t="shared" si="429"/>
        <v>51966.562666666665</v>
      </c>
      <c r="L2332" s="9">
        <f t="shared" ref="L2332:L2395" si="440">AVERAGE(C2243:C2332)</f>
        <v>52726.316111111126</v>
      </c>
      <c r="M2332" s="9">
        <f t="shared" si="439"/>
        <v>8.0011750334121803E-3</v>
      </c>
      <c r="N2332" s="9">
        <f t="shared" si="430"/>
        <v>7.5301065330220969E-3</v>
      </c>
    </row>
    <row r="2333" spans="1:14" x14ac:dyDescent="0.35">
      <c r="A2333" s="1">
        <v>45784</v>
      </c>
      <c r="B2333" s="2" t="s">
        <v>2332</v>
      </c>
      <c r="C2333">
        <f t="shared" si="431"/>
        <v>53104.12</v>
      </c>
      <c r="D2333">
        <f t="shared" si="432"/>
        <v>2025</v>
      </c>
      <c r="E2333">
        <f t="shared" si="433"/>
        <v>5</v>
      </c>
      <c r="F2333" t="str">
        <f t="shared" si="435"/>
        <v>May</v>
      </c>
      <c r="G2333">
        <f t="shared" si="434"/>
        <v>7</v>
      </c>
      <c r="H2333" s="7">
        <f t="shared" si="436"/>
        <v>0.72940641788117588</v>
      </c>
      <c r="I2333" s="9">
        <f t="shared" si="437"/>
        <v>7.2675911454146459E-3</v>
      </c>
      <c r="J2333" s="9">
        <f t="shared" si="438"/>
        <v>52304.25</v>
      </c>
      <c r="K2333" s="9">
        <f t="shared" si="429"/>
        <v>52013.313333333332</v>
      </c>
      <c r="L2333" s="9">
        <f t="shared" si="440"/>
        <v>52744.260111111122</v>
      </c>
      <c r="M2333" s="9">
        <f t="shared" si="439"/>
        <v>8.2150396753529753E-3</v>
      </c>
      <c r="N2333" s="9">
        <f t="shared" si="430"/>
        <v>6.6204928595938193E-3</v>
      </c>
    </row>
    <row r="2334" spans="1:14" x14ac:dyDescent="0.35">
      <c r="A2334" s="1">
        <v>45785</v>
      </c>
      <c r="B2334" s="2" t="s">
        <v>2333</v>
      </c>
      <c r="C2334">
        <f t="shared" si="431"/>
        <v>52788.12</v>
      </c>
      <c r="D2334">
        <f t="shared" si="432"/>
        <v>2025</v>
      </c>
      <c r="E2334">
        <f t="shared" si="433"/>
        <v>5</v>
      </c>
      <c r="F2334" t="str">
        <f t="shared" si="435"/>
        <v>May</v>
      </c>
      <c r="G2334">
        <f t="shared" si="434"/>
        <v>8</v>
      </c>
      <c r="H2334" s="7">
        <f t="shared" si="436"/>
        <v>-0.59505740797512507</v>
      </c>
      <c r="I2334" s="9">
        <f t="shared" si="437"/>
        <v>-5.9683492959295842E-3</v>
      </c>
      <c r="J2334" s="9">
        <f t="shared" si="438"/>
        <v>52430.504285714291</v>
      </c>
      <c r="K2334" s="9">
        <f t="shared" si="429"/>
        <v>52049.602000000006</v>
      </c>
      <c r="L2334" s="9">
        <f t="shared" si="440"/>
        <v>52757.182888888907</v>
      </c>
      <c r="M2334" s="9">
        <f t="shared" si="439"/>
        <v>5.5457885600855407E-3</v>
      </c>
      <c r="N2334" s="9">
        <f t="shared" si="430"/>
        <v>6.7367272887757807E-3</v>
      </c>
    </row>
    <row r="2335" spans="1:14" x14ac:dyDescent="0.35">
      <c r="A2335" s="1">
        <v>45786</v>
      </c>
      <c r="B2335" s="2" t="s">
        <v>2334</v>
      </c>
      <c r="C2335">
        <f t="shared" si="431"/>
        <v>52660.94</v>
      </c>
      <c r="D2335">
        <f t="shared" si="432"/>
        <v>2025</v>
      </c>
      <c r="E2335">
        <f t="shared" si="433"/>
        <v>5</v>
      </c>
      <c r="F2335" t="str">
        <f t="shared" si="435"/>
        <v>May</v>
      </c>
      <c r="G2335">
        <f t="shared" si="434"/>
        <v>9</v>
      </c>
      <c r="H2335" s="7">
        <f t="shared" si="436"/>
        <v>-0.24092542034078934</v>
      </c>
      <c r="I2335" s="9">
        <f t="shared" si="437"/>
        <v>-2.4121611262655444E-3</v>
      </c>
      <c r="J2335" s="9">
        <f t="shared" si="438"/>
        <v>52552.998571428572</v>
      </c>
      <c r="K2335" s="9">
        <f t="shared" si="429"/>
        <v>52076.453999999998</v>
      </c>
      <c r="L2335" s="9">
        <f t="shared" si="440"/>
        <v>52769.371111111133</v>
      </c>
      <c r="M2335" s="9">
        <f t="shared" si="439"/>
        <v>5.6093939858791637E-3</v>
      </c>
      <c r="N2335" s="9">
        <f t="shared" si="430"/>
        <v>6.745179059887179E-3</v>
      </c>
    </row>
    <row r="2336" spans="1:14" x14ac:dyDescent="0.35">
      <c r="A2336" s="1">
        <v>45789</v>
      </c>
      <c r="B2336" s="2" t="s">
        <v>2335</v>
      </c>
      <c r="C2336">
        <f t="shared" si="431"/>
        <v>52973.83</v>
      </c>
      <c r="D2336">
        <f t="shared" si="432"/>
        <v>2025</v>
      </c>
      <c r="E2336">
        <f t="shared" si="433"/>
        <v>5</v>
      </c>
      <c r="F2336" t="str">
        <f t="shared" si="435"/>
        <v>May</v>
      </c>
      <c r="G2336">
        <f t="shared" si="434"/>
        <v>12</v>
      </c>
      <c r="H2336" s="7">
        <f t="shared" si="436"/>
        <v>0.59415954215781075</v>
      </c>
      <c r="I2336" s="9">
        <f t="shared" si="437"/>
        <v>5.9240137512425496E-3</v>
      </c>
      <c r="J2336" s="9">
        <f t="shared" si="438"/>
        <v>52666.130000000005</v>
      </c>
      <c r="K2336" s="9">
        <f t="shared" ref="K2336:K2399" si="441">AVERAGE(C2307:C2336)</f>
        <v>52133.263666666666</v>
      </c>
      <c r="L2336" s="9">
        <f t="shared" si="440"/>
        <v>52777.78111111113</v>
      </c>
      <c r="M2336" s="9">
        <f t="shared" si="439"/>
        <v>5.4313859573313352E-3</v>
      </c>
      <c r="N2336" s="9">
        <f t="shared" si="430"/>
        <v>6.4265154269996403E-3</v>
      </c>
    </row>
    <row r="2337" spans="1:14" x14ac:dyDescent="0.35">
      <c r="A2337" s="1">
        <v>45790</v>
      </c>
      <c r="B2337" s="2" t="s">
        <v>2336</v>
      </c>
      <c r="C2337">
        <f t="shared" si="431"/>
        <v>53405.74</v>
      </c>
      <c r="D2337">
        <f t="shared" si="432"/>
        <v>2025</v>
      </c>
      <c r="E2337">
        <f t="shared" si="433"/>
        <v>5</v>
      </c>
      <c r="F2337" t="str">
        <f t="shared" si="435"/>
        <v>May</v>
      </c>
      <c r="G2337">
        <f t="shared" si="434"/>
        <v>13</v>
      </c>
      <c r="H2337" s="7">
        <f t="shared" si="436"/>
        <v>0.81532711529446933</v>
      </c>
      <c r="I2337" s="9">
        <f t="shared" si="437"/>
        <v>8.1202128052532321E-3</v>
      </c>
      <c r="J2337" s="9">
        <f t="shared" si="438"/>
        <v>52845.355714285724</v>
      </c>
      <c r="K2337" s="9">
        <f t="shared" si="441"/>
        <v>52216.431333333334</v>
      </c>
      <c r="L2337" s="9">
        <f t="shared" si="440"/>
        <v>52793.861333333371</v>
      </c>
      <c r="M2337" s="9">
        <f t="shared" si="439"/>
        <v>5.6902170652328244E-3</v>
      </c>
      <c r="N2337" s="9">
        <f t="shared" ref="N2337:N2400" si="442">STDEV(I2308:I2337)</f>
        <v>6.3616640475694089E-3</v>
      </c>
    </row>
    <row r="2338" spans="1:14" x14ac:dyDescent="0.35">
      <c r="A2338" s="1">
        <v>45791</v>
      </c>
      <c r="B2338" s="2" t="s">
        <v>2337</v>
      </c>
      <c r="C2338">
        <f t="shared" si="431"/>
        <v>53250.79</v>
      </c>
      <c r="D2338">
        <f t="shared" si="432"/>
        <v>2025</v>
      </c>
      <c r="E2338">
        <f t="shared" si="433"/>
        <v>5</v>
      </c>
      <c r="F2338" t="str">
        <f t="shared" si="435"/>
        <v>May</v>
      </c>
      <c r="G2338">
        <f t="shared" si="434"/>
        <v>14</v>
      </c>
      <c r="H2338" s="7">
        <f t="shared" si="436"/>
        <v>-0.29013735227710935</v>
      </c>
      <c r="I2338" s="9">
        <f t="shared" si="437"/>
        <v>-2.9055906659106396E-3</v>
      </c>
      <c r="J2338" s="9">
        <f t="shared" si="438"/>
        <v>52986.159999999996</v>
      </c>
      <c r="K2338" s="9">
        <f t="shared" si="441"/>
        <v>52281.458000000006</v>
      </c>
      <c r="L2338" s="9">
        <f t="shared" si="440"/>
        <v>52806.449888888914</v>
      </c>
      <c r="M2338" s="9">
        <f t="shared" si="439"/>
        <v>6.1753712304642508E-3</v>
      </c>
      <c r="N2338" s="9">
        <f t="shared" si="442"/>
        <v>6.3080289552075426E-3</v>
      </c>
    </row>
    <row r="2339" spans="1:14" x14ac:dyDescent="0.35">
      <c r="A2339" s="1">
        <v>45792</v>
      </c>
      <c r="B2339" s="2" t="s">
        <v>2338</v>
      </c>
      <c r="C2339">
        <f t="shared" si="431"/>
        <v>53342.04</v>
      </c>
      <c r="D2339">
        <f t="shared" si="432"/>
        <v>2025</v>
      </c>
      <c r="E2339">
        <f t="shared" si="433"/>
        <v>5</v>
      </c>
      <c r="F2339" t="str">
        <f t="shared" si="435"/>
        <v>May</v>
      </c>
      <c r="G2339">
        <f t="shared" si="434"/>
        <v>15</v>
      </c>
      <c r="H2339" s="7">
        <f t="shared" si="436"/>
        <v>0.17135896012059165</v>
      </c>
      <c r="I2339" s="9">
        <f t="shared" si="437"/>
        <v>1.7121230816480105E-3</v>
      </c>
      <c r="J2339" s="9">
        <f t="shared" si="438"/>
        <v>53075.08285714285</v>
      </c>
      <c r="K2339" s="9">
        <f t="shared" si="441"/>
        <v>52346.933333333342</v>
      </c>
      <c r="L2339" s="9">
        <f t="shared" si="440"/>
        <v>52818.562888888911</v>
      </c>
      <c r="M2339" s="9">
        <f t="shared" si="439"/>
        <v>5.5824248261152872E-3</v>
      </c>
      <c r="N2339" s="9">
        <f t="shared" si="442"/>
        <v>6.3084232297664069E-3</v>
      </c>
    </row>
    <row r="2340" spans="1:14" x14ac:dyDescent="0.35">
      <c r="A2340" s="1">
        <v>45793</v>
      </c>
      <c r="B2340" s="2" t="s">
        <v>2339</v>
      </c>
      <c r="C2340">
        <f t="shared" si="431"/>
        <v>53040.480000000003</v>
      </c>
      <c r="D2340">
        <f t="shared" si="432"/>
        <v>2025</v>
      </c>
      <c r="E2340">
        <f t="shared" si="433"/>
        <v>5</v>
      </c>
      <c r="F2340" t="str">
        <f t="shared" si="435"/>
        <v>May</v>
      </c>
      <c r="G2340">
        <f t="shared" si="434"/>
        <v>16</v>
      </c>
      <c r="H2340" s="7">
        <f t="shared" si="436"/>
        <v>-0.56533270943518033</v>
      </c>
      <c r="I2340" s="9">
        <f t="shared" si="437"/>
        <v>-5.6693676314722675E-3</v>
      </c>
      <c r="J2340" s="9">
        <f t="shared" si="438"/>
        <v>53065.991428571419</v>
      </c>
      <c r="K2340" s="9">
        <f t="shared" si="441"/>
        <v>52398.344666666679</v>
      </c>
      <c r="L2340" s="9">
        <f t="shared" si="440"/>
        <v>52820.455777777803</v>
      </c>
      <c r="M2340" s="9">
        <f t="shared" si="439"/>
        <v>5.5644953212723646E-3</v>
      </c>
      <c r="N2340" s="9">
        <f t="shared" si="442"/>
        <v>6.4290598549808222E-3</v>
      </c>
    </row>
    <row r="2341" spans="1:14" x14ac:dyDescent="0.35">
      <c r="A2341" s="1">
        <v>45796</v>
      </c>
      <c r="B2341" s="2" t="s">
        <v>2340</v>
      </c>
      <c r="C2341">
        <f t="shared" si="431"/>
        <v>52532.26</v>
      </c>
      <c r="D2341">
        <f t="shared" si="432"/>
        <v>2025</v>
      </c>
      <c r="E2341">
        <f t="shared" si="433"/>
        <v>5</v>
      </c>
      <c r="F2341" t="str">
        <f t="shared" si="435"/>
        <v>May</v>
      </c>
      <c r="G2341">
        <f t="shared" si="434"/>
        <v>19</v>
      </c>
      <c r="H2341" s="7">
        <f t="shared" si="436"/>
        <v>-0.95817383251433841</v>
      </c>
      <c r="I2341" s="9">
        <f t="shared" si="437"/>
        <v>-9.6279385355513523E-3</v>
      </c>
      <c r="J2341" s="9">
        <f t="shared" si="438"/>
        <v>53029.440000000002</v>
      </c>
      <c r="K2341" s="9">
        <f t="shared" si="441"/>
        <v>52425.79966666668</v>
      </c>
      <c r="L2341" s="9">
        <f t="shared" si="440"/>
        <v>52816.484222222243</v>
      </c>
      <c r="M2341" s="9">
        <f t="shared" si="439"/>
        <v>6.3204777424252156E-3</v>
      </c>
      <c r="N2341" s="9">
        <f t="shared" si="442"/>
        <v>6.6835267867604731E-3</v>
      </c>
    </row>
    <row r="2342" spans="1:14" x14ac:dyDescent="0.35">
      <c r="A2342" s="1">
        <v>45797</v>
      </c>
      <c r="B2342" s="2" t="s">
        <v>2341</v>
      </c>
      <c r="C2342">
        <f t="shared" si="431"/>
        <v>52900.77</v>
      </c>
      <c r="D2342">
        <f t="shared" si="432"/>
        <v>2025</v>
      </c>
      <c r="E2342">
        <f t="shared" si="433"/>
        <v>5</v>
      </c>
      <c r="F2342" t="str">
        <f t="shared" si="435"/>
        <v>May</v>
      </c>
      <c r="G2342">
        <f t="shared" si="434"/>
        <v>20</v>
      </c>
      <c r="H2342" s="7">
        <f t="shared" si="436"/>
        <v>0.70149275892564833</v>
      </c>
      <c r="I2342" s="9">
        <f t="shared" si="437"/>
        <v>6.9904374490525698E-3</v>
      </c>
      <c r="J2342" s="9">
        <f t="shared" si="438"/>
        <v>53063.701428571432</v>
      </c>
      <c r="K2342" s="9">
        <f t="shared" si="441"/>
        <v>52459.385666666676</v>
      </c>
      <c r="L2342" s="9">
        <f t="shared" si="440"/>
        <v>52817.151888888897</v>
      </c>
      <c r="M2342" s="9">
        <f t="shared" si="439"/>
        <v>6.869754973105555E-3</v>
      </c>
      <c r="N2342" s="9">
        <f t="shared" si="442"/>
        <v>6.7659990744101594E-3</v>
      </c>
    </row>
    <row r="2343" spans="1:14" x14ac:dyDescent="0.35">
      <c r="A2343" s="1">
        <v>45798</v>
      </c>
      <c r="B2343" s="2" t="s">
        <v>2342</v>
      </c>
      <c r="C2343">
        <f t="shared" si="431"/>
        <v>52933.279999999999</v>
      </c>
      <c r="D2343">
        <f t="shared" si="432"/>
        <v>2025</v>
      </c>
      <c r="E2343">
        <f t="shared" si="433"/>
        <v>5</v>
      </c>
      <c r="F2343" t="str">
        <f t="shared" si="435"/>
        <v>May</v>
      </c>
      <c r="G2343">
        <f t="shared" si="434"/>
        <v>21</v>
      </c>
      <c r="H2343" s="7">
        <f t="shared" si="436"/>
        <v>6.1454682039603657E-2</v>
      </c>
      <c r="I2343" s="9">
        <f t="shared" si="437"/>
        <v>6.143580638279443E-4</v>
      </c>
      <c r="J2343" s="9">
        <f t="shared" si="438"/>
        <v>53057.908571428568</v>
      </c>
      <c r="K2343" s="9">
        <f t="shared" si="441"/>
        <v>52501.08866666667</v>
      </c>
      <c r="L2343" s="9">
        <f t="shared" si="440"/>
        <v>52810.159777777801</v>
      </c>
      <c r="M2343" s="9">
        <f t="shared" si="439"/>
        <v>6.4718684699634228E-3</v>
      </c>
      <c r="N2343" s="9">
        <f t="shared" si="442"/>
        <v>6.7072195005768902E-3</v>
      </c>
    </row>
    <row r="2344" spans="1:14" x14ac:dyDescent="0.35">
      <c r="A2344" s="1">
        <v>45799</v>
      </c>
      <c r="B2344" s="2" t="s">
        <v>2343</v>
      </c>
      <c r="C2344">
        <f t="shared" si="431"/>
        <v>52817.73</v>
      </c>
      <c r="D2344">
        <f t="shared" si="432"/>
        <v>2025</v>
      </c>
      <c r="E2344">
        <f t="shared" si="433"/>
        <v>5</v>
      </c>
      <c r="F2344" t="str">
        <f t="shared" si="435"/>
        <v>May</v>
      </c>
      <c r="G2344">
        <f t="shared" si="434"/>
        <v>22</v>
      </c>
      <c r="H2344" s="7">
        <f t="shared" si="436"/>
        <v>-0.21829367082484902</v>
      </c>
      <c r="I2344" s="9">
        <f t="shared" si="437"/>
        <v>-2.1853227876572822E-3</v>
      </c>
      <c r="J2344" s="9">
        <f t="shared" si="438"/>
        <v>52973.907142857141</v>
      </c>
      <c r="K2344" s="9">
        <f t="shared" si="441"/>
        <v>52556.811333333339</v>
      </c>
      <c r="L2344" s="9">
        <f t="shared" si="440"/>
        <v>52795.267444444471</v>
      </c>
      <c r="M2344" s="9">
        <f t="shared" si="439"/>
        <v>5.3653441969200152E-3</v>
      </c>
      <c r="N2344" s="9">
        <f t="shared" si="442"/>
        <v>6.392996337582839E-3</v>
      </c>
    </row>
    <row r="2345" spans="1:14" x14ac:dyDescent="0.35">
      <c r="A2345" s="1">
        <v>45800</v>
      </c>
      <c r="B2345" s="2" t="s">
        <v>2344</v>
      </c>
      <c r="C2345">
        <f t="shared" si="431"/>
        <v>53158.54</v>
      </c>
      <c r="D2345">
        <f t="shared" si="432"/>
        <v>2025</v>
      </c>
      <c r="E2345">
        <f t="shared" si="433"/>
        <v>5</v>
      </c>
      <c r="F2345" t="str">
        <f t="shared" si="435"/>
        <v>May</v>
      </c>
      <c r="G2345">
        <f t="shared" si="434"/>
        <v>23</v>
      </c>
      <c r="H2345" s="7">
        <f t="shared" si="436"/>
        <v>0.64525681054448503</v>
      </c>
      <c r="I2345" s="9">
        <f t="shared" si="437"/>
        <v>6.4318394089679081E-3</v>
      </c>
      <c r="J2345" s="9">
        <f t="shared" si="438"/>
        <v>52960.728571428561</v>
      </c>
      <c r="K2345" s="9">
        <f t="shared" si="441"/>
        <v>52612.190666666676</v>
      </c>
      <c r="L2345" s="9">
        <f t="shared" si="440"/>
        <v>52786.537666666693</v>
      </c>
      <c r="M2345" s="9">
        <f t="shared" si="439"/>
        <v>6.0927370425946301E-3</v>
      </c>
      <c r="N2345" s="9">
        <f t="shared" si="442"/>
        <v>6.3806768574157053E-3</v>
      </c>
    </row>
    <row r="2346" spans="1:14" x14ac:dyDescent="0.35">
      <c r="A2346" s="1">
        <v>45803</v>
      </c>
      <c r="B2346" s="2" t="s">
        <v>2345</v>
      </c>
      <c r="C2346">
        <f t="shared" si="431"/>
        <v>52794.81</v>
      </c>
      <c r="D2346">
        <f t="shared" si="432"/>
        <v>2025</v>
      </c>
      <c r="E2346">
        <f t="shared" si="433"/>
        <v>5</v>
      </c>
      <c r="F2346" t="str">
        <f t="shared" si="435"/>
        <v>May</v>
      </c>
      <c r="G2346">
        <f t="shared" si="434"/>
        <v>26</v>
      </c>
      <c r="H2346" s="7">
        <f t="shared" si="436"/>
        <v>-0.68423624877583777</v>
      </c>
      <c r="I2346" s="9">
        <f t="shared" si="437"/>
        <v>-6.8658787826982055E-3</v>
      </c>
      <c r="J2346" s="9">
        <f t="shared" si="438"/>
        <v>52882.552857142859</v>
      </c>
      <c r="K2346" s="9">
        <f t="shared" si="441"/>
        <v>52651.689000000013</v>
      </c>
      <c r="L2346" s="9">
        <f t="shared" si="440"/>
        <v>52773.189555555575</v>
      </c>
      <c r="M2346" s="9">
        <f t="shared" si="439"/>
        <v>6.4830084612158331E-3</v>
      </c>
      <c r="N2346" s="9">
        <f t="shared" si="442"/>
        <v>6.5376084757307893E-3</v>
      </c>
    </row>
    <row r="2347" spans="1:14" x14ac:dyDescent="0.35">
      <c r="A2347" s="1">
        <v>45804</v>
      </c>
      <c r="B2347" s="2" t="s">
        <v>2346</v>
      </c>
      <c r="C2347">
        <f t="shared" si="431"/>
        <v>52444.36</v>
      </c>
      <c r="D2347">
        <f t="shared" si="432"/>
        <v>2025</v>
      </c>
      <c r="E2347">
        <f t="shared" si="433"/>
        <v>5</v>
      </c>
      <c r="F2347" t="str">
        <f t="shared" si="435"/>
        <v>May</v>
      </c>
      <c r="G2347">
        <f t="shared" si="434"/>
        <v>27</v>
      </c>
      <c r="H2347" s="7">
        <f t="shared" si="436"/>
        <v>-0.66379630876595086</v>
      </c>
      <c r="I2347" s="9">
        <f t="shared" si="437"/>
        <v>-6.6600923478073474E-3</v>
      </c>
      <c r="J2347" s="9">
        <f t="shared" si="438"/>
        <v>52797.392857142855</v>
      </c>
      <c r="K2347" s="9">
        <f t="shared" si="441"/>
        <v>52660.397666666679</v>
      </c>
      <c r="L2347" s="9">
        <f t="shared" si="440"/>
        <v>52755.589222222232</v>
      </c>
      <c r="M2347" s="9">
        <f t="shared" si="439"/>
        <v>6.5996508943102321E-3</v>
      </c>
      <c r="N2347" s="9">
        <f t="shared" si="442"/>
        <v>6.3738649085796359E-3</v>
      </c>
    </row>
    <row r="2348" spans="1:14" x14ac:dyDescent="0.35">
      <c r="A2348" s="1">
        <v>45805</v>
      </c>
      <c r="B2348" s="2" t="s">
        <v>2347</v>
      </c>
      <c r="C2348">
        <f t="shared" si="431"/>
        <v>52437.91</v>
      </c>
      <c r="D2348">
        <f t="shared" si="432"/>
        <v>2025</v>
      </c>
      <c r="E2348">
        <f t="shared" si="433"/>
        <v>5</v>
      </c>
      <c r="F2348" t="str">
        <f t="shared" si="435"/>
        <v>May</v>
      </c>
      <c r="G2348">
        <f t="shared" si="434"/>
        <v>28</v>
      </c>
      <c r="H2348" s="7">
        <f t="shared" si="436"/>
        <v>-1.2298748616623579E-2</v>
      </c>
      <c r="I2348" s="9">
        <f t="shared" si="437"/>
        <v>-1.2299504974727088E-4</v>
      </c>
      <c r="J2348" s="9">
        <f t="shared" si="438"/>
        <v>52783.914285714287</v>
      </c>
      <c r="K2348" s="9">
        <f t="shared" si="441"/>
        <v>52672.042666666668</v>
      </c>
      <c r="L2348" s="9">
        <f t="shared" si="440"/>
        <v>52734.803000000029</v>
      </c>
      <c r="M2348" s="9">
        <f t="shared" si="439"/>
        <v>5.5743227288542864E-3</v>
      </c>
      <c r="N2348" s="9">
        <f t="shared" si="442"/>
        <v>6.3632223408076095E-3</v>
      </c>
    </row>
    <row r="2349" spans="1:14" x14ac:dyDescent="0.35">
      <c r="A2349" s="1">
        <v>45806</v>
      </c>
      <c r="B2349" s="2" t="s">
        <v>2348</v>
      </c>
      <c r="C2349">
        <f t="shared" si="431"/>
        <v>51740.17</v>
      </c>
      <c r="D2349">
        <f t="shared" si="432"/>
        <v>2025</v>
      </c>
      <c r="E2349">
        <f t="shared" si="433"/>
        <v>5</v>
      </c>
      <c r="F2349" t="str">
        <f t="shared" si="435"/>
        <v>May</v>
      </c>
      <c r="G2349">
        <f t="shared" si="434"/>
        <v>29</v>
      </c>
      <c r="H2349" s="7">
        <f t="shared" si="436"/>
        <v>-1.3306022303329885</v>
      </c>
      <c r="I2349" s="9">
        <f t="shared" si="437"/>
        <v>-1.3395340617251067E-2</v>
      </c>
      <c r="J2349" s="9">
        <f t="shared" si="438"/>
        <v>52618.114285714284</v>
      </c>
      <c r="K2349" s="9">
        <f t="shared" si="441"/>
        <v>52643.828000000001</v>
      </c>
      <c r="L2349" s="9">
        <f t="shared" si="440"/>
        <v>52703.594777777798</v>
      </c>
      <c r="M2349" s="9">
        <f t="shared" si="439"/>
        <v>6.4183118694250817E-3</v>
      </c>
      <c r="N2349" s="9">
        <f t="shared" si="442"/>
        <v>6.5805801483491176E-3</v>
      </c>
    </row>
    <row r="2350" spans="1:14" x14ac:dyDescent="0.35">
      <c r="A2350" s="1">
        <v>45807</v>
      </c>
      <c r="B2350" s="2" t="s">
        <v>2349</v>
      </c>
      <c r="C2350">
        <f t="shared" si="431"/>
        <v>51049.71</v>
      </c>
      <c r="D2350">
        <f t="shared" si="432"/>
        <v>2025</v>
      </c>
      <c r="E2350">
        <f t="shared" si="433"/>
        <v>5</v>
      </c>
      <c r="F2350" t="str">
        <f t="shared" si="435"/>
        <v>May</v>
      </c>
      <c r="G2350">
        <f t="shared" si="434"/>
        <v>30</v>
      </c>
      <c r="H2350" s="7">
        <f t="shared" si="436"/>
        <v>-1.3344757081393415</v>
      </c>
      <c r="I2350" s="9">
        <f t="shared" si="437"/>
        <v>-1.3434598522201498E-2</v>
      </c>
      <c r="J2350" s="9">
        <f t="shared" si="438"/>
        <v>52349.032857142854</v>
      </c>
      <c r="K2350" s="9">
        <f t="shared" si="441"/>
        <v>52593.53133333334</v>
      </c>
      <c r="L2350" s="9">
        <f t="shared" si="440"/>
        <v>52665.068666666681</v>
      </c>
      <c r="M2350" s="9">
        <f t="shared" si="439"/>
        <v>7.1884070450140419E-3</v>
      </c>
      <c r="N2350" s="9">
        <f t="shared" si="442"/>
        <v>6.9889460382883337E-3</v>
      </c>
    </row>
    <row r="2351" spans="1:14" x14ac:dyDescent="0.35">
      <c r="A2351" s="1">
        <v>45810</v>
      </c>
      <c r="B2351" s="2" t="s">
        <v>2350</v>
      </c>
      <c r="C2351">
        <f t="shared" si="431"/>
        <v>51216</v>
      </c>
      <c r="D2351">
        <f t="shared" si="432"/>
        <v>2025</v>
      </c>
      <c r="E2351">
        <f t="shared" si="433"/>
        <v>6</v>
      </c>
      <c r="F2351" t="str">
        <f t="shared" si="435"/>
        <v>June</v>
      </c>
      <c r="G2351">
        <f t="shared" si="434"/>
        <v>2</v>
      </c>
      <c r="H2351" s="7">
        <f t="shared" si="436"/>
        <v>0.32574132154717605</v>
      </c>
      <c r="I2351" s="9">
        <f t="shared" si="437"/>
        <v>3.2521193381588767E-3</v>
      </c>
      <c r="J2351" s="9">
        <f t="shared" si="438"/>
        <v>52120.214285714297</v>
      </c>
      <c r="K2351" s="9">
        <f t="shared" si="441"/>
        <v>52559.946666666663</v>
      </c>
      <c r="L2351" s="9">
        <f t="shared" si="440"/>
        <v>52629.387555555571</v>
      </c>
      <c r="M2351" s="9">
        <f t="shared" si="439"/>
        <v>7.8305506608489454E-3</v>
      </c>
      <c r="N2351" s="9">
        <f t="shared" si="442"/>
        <v>6.9526009410397129E-3</v>
      </c>
    </row>
    <row r="2352" spans="1:14" x14ac:dyDescent="0.35">
      <c r="A2352" s="1">
        <v>45811</v>
      </c>
      <c r="B2352" s="2" t="s">
        <v>2351</v>
      </c>
      <c r="C2352">
        <f t="shared" si="431"/>
        <v>50474.95</v>
      </c>
      <c r="D2352">
        <f t="shared" si="432"/>
        <v>2025</v>
      </c>
      <c r="E2352">
        <f t="shared" si="433"/>
        <v>6</v>
      </c>
      <c r="F2352" t="str">
        <f t="shared" si="435"/>
        <v>June</v>
      </c>
      <c r="G2352">
        <f t="shared" si="434"/>
        <v>3</v>
      </c>
      <c r="H2352" s="7">
        <f t="shared" si="436"/>
        <v>-1.4469111215245292</v>
      </c>
      <c r="I2352" s="9">
        <f t="shared" si="437"/>
        <v>-1.4574809618497444E-2</v>
      </c>
      <c r="J2352" s="9">
        <f t="shared" si="438"/>
        <v>51736.84428571428</v>
      </c>
      <c r="K2352" s="9">
        <f t="shared" si="441"/>
        <v>52489.565999999999</v>
      </c>
      <c r="L2352" s="9">
        <f t="shared" si="440"/>
        <v>52588.030111111118</v>
      </c>
      <c r="M2352" s="9">
        <f t="shared" si="439"/>
        <v>6.9653137927389985E-3</v>
      </c>
      <c r="N2352" s="9">
        <f t="shared" si="442"/>
        <v>7.2468364859338379E-3</v>
      </c>
    </row>
    <row r="2353" spans="1:14" x14ac:dyDescent="0.35">
      <c r="A2353" s="1">
        <v>45812</v>
      </c>
      <c r="B2353" s="2" t="s">
        <v>2352</v>
      </c>
      <c r="C2353">
        <f t="shared" si="431"/>
        <v>50760.24</v>
      </c>
      <c r="D2353">
        <f t="shared" si="432"/>
        <v>2025</v>
      </c>
      <c r="E2353">
        <f t="shared" si="433"/>
        <v>6</v>
      </c>
      <c r="F2353" t="str">
        <f t="shared" si="435"/>
        <v>June</v>
      </c>
      <c r="G2353">
        <f t="shared" si="434"/>
        <v>4</v>
      </c>
      <c r="H2353" s="7">
        <f t="shared" si="436"/>
        <v>0.56521106013973443</v>
      </c>
      <c r="I2353" s="9">
        <f t="shared" si="437"/>
        <v>5.6361973583872078E-3</v>
      </c>
      <c r="J2353" s="9">
        <f t="shared" si="438"/>
        <v>51446.191428571423</v>
      </c>
      <c r="K2353" s="9">
        <f t="shared" si="441"/>
        <v>52432.068666666666</v>
      </c>
      <c r="L2353" s="9">
        <f t="shared" si="440"/>
        <v>52552.011222222238</v>
      </c>
      <c r="M2353" s="9">
        <f t="shared" si="439"/>
        <v>8.5481731871128851E-3</v>
      </c>
      <c r="N2353" s="9">
        <f t="shared" si="442"/>
        <v>7.3573621510004154E-3</v>
      </c>
    </row>
    <row r="2354" spans="1:14" x14ac:dyDescent="0.35">
      <c r="A2354" s="1">
        <v>45813</v>
      </c>
      <c r="B2354" s="2" t="s">
        <v>2353</v>
      </c>
      <c r="C2354">
        <f t="shared" si="431"/>
        <v>51020.66</v>
      </c>
      <c r="D2354">
        <f t="shared" si="432"/>
        <v>2025</v>
      </c>
      <c r="E2354">
        <f t="shared" si="433"/>
        <v>6</v>
      </c>
      <c r="F2354" t="str">
        <f t="shared" si="435"/>
        <v>June</v>
      </c>
      <c r="G2354">
        <f t="shared" si="434"/>
        <v>5</v>
      </c>
      <c r="H2354" s="7">
        <f t="shared" si="436"/>
        <v>0.51303933945151869</v>
      </c>
      <c r="I2354" s="9">
        <f t="shared" si="437"/>
        <v>5.1172777660866498E-3</v>
      </c>
      <c r="J2354" s="9">
        <f t="shared" si="438"/>
        <v>51242.805714285714</v>
      </c>
      <c r="K2354" s="9">
        <f t="shared" si="441"/>
        <v>52383.902666666669</v>
      </c>
      <c r="L2354" s="9">
        <f t="shared" si="440"/>
        <v>52518.650555555563</v>
      </c>
      <c r="M2354" s="9">
        <f t="shared" si="439"/>
        <v>9.4223449713200635E-3</v>
      </c>
      <c r="N2354" s="9">
        <f t="shared" si="442"/>
        <v>7.4441954417257834E-3</v>
      </c>
    </row>
    <row r="2355" spans="1:14" x14ac:dyDescent="0.35">
      <c r="A2355" s="1">
        <v>45814</v>
      </c>
      <c r="B2355" s="2" t="s">
        <v>2354</v>
      </c>
      <c r="C2355">
        <f t="shared" si="431"/>
        <v>50653.54</v>
      </c>
      <c r="D2355">
        <f t="shared" si="432"/>
        <v>2025</v>
      </c>
      <c r="E2355">
        <f t="shared" si="433"/>
        <v>6</v>
      </c>
      <c r="F2355" t="str">
        <f t="shared" si="435"/>
        <v>June</v>
      </c>
      <c r="G2355">
        <f t="shared" si="434"/>
        <v>6</v>
      </c>
      <c r="H2355" s="7">
        <f t="shared" si="436"/>
        <v>-0.71955164829306906</v>
      </c>
      <c r="I2355" s="9">
        <f t="shared" si="437"/>
        <v>-7.2215290694335266E-3</v>
      </c>
      <c r="J2355" s="9">
        <f t="shared" si="438"/>
        <v>50987.895714285711</v>
      </c>
      <c r="K2355" s="9">
        <f t="shared" si="441"/>
        <v>52307.130333333327</v>
      </c>
      <c r="L2355" s="9">
        <f t="shared" si="440"/>
        <v>52480.887888888901</v>
      </c>
      <c r="M2355" s="9">
        <f t="shared" si="439"/>
        <v>9.3256035525578259E-3</v>
      </c>
      <c r="N2355" s="9">
        <f t="shared" si="442"/>
        <v>7.269479138544194E-3</v>
      </c>
    </row>
    <row r="2356" spans="1:14" x14ac:dyDescent="0.35">
      <c r="A2356" s="1">
        <v>45817</v>
      </c>
      <c r="B2356" s="2" t="s">
        <v>2355</v>
      </c>
      <c r="C2356">
        <f t="shared" si="431"/>
        <v>50682.080000000002</v>
      </c>
      <c r="D2356">
        <f t="shared" si="432"/>
        <v>2025</v>
      </c>
      <c r="E2356">
        <f t="shared" si="433"/>
        <v>6</v>
      </c>
      <c r="F2356" t="str">
        <f t="shared" si="435"/>
        <v>June</v>
      </c>
      <c r="G2356">
        <f t="shared" si="434"/>
        <v>9</v>
      </c>
      <c r="H2356" s="7">
        <f t="shared" si="436"/>
        <v>5.6343544794699191E-2</v>
      </c>
      <c r="I2356" s="9">
        <f t="shared" si="437"/>
        <v>5.6327677779236343E-4</v>
      </c>
      <c r="J2356" s="9">
        <f t="shared" si="438"/>
        <v>50836.74</v>
      </c>
      <c r="K2356" s="9">
        <f t="shared" si="441"/>
        <v>52240.29</v>
      </c>
      <c r="L2356" s="9">
        <f t="shared" si="440"/>
        <v>52443.318333333351</v>
      </c>
      <c r="M2356" s="9">
        <f t="shared" si="439"/>
        <v>8.6883264428518764E-3</v>
      </c>
      <c r="N2356" s="9">
        <f t="shared" si="442"/>
        <v>7.2457756372431344E-3</v>
      </c>
    </row>
    <row r="2357" spans="1:14" x14ac:dyDescent="0.35">
      <c r="A2357" s="1">
        <v>45818</v>
      </c>
      <c r="B2357" s="2" t="s">
        <v>2356</v>
      </c>
      <c r="C2357">
        <f t="shared" si="431"/>
        <v>50322.720000000001</v>
      </c>
      <c r="D2357">
        <f t="shared" si="432"/>
        <v>2025</v>
      </c>
      <c r="E2357">
        <f t="shared" si="433"/>
        <v>6</v>
      </c>
      <c r="F2357" t="str">
        <f t="shared" si="435"/>
        <v>June</v>
      </c>
      <c r="G2357">
        <f t="shared" si="434"/>
        <v>10</v>
      </c>
      <c r="H2357" s="7">
        <f t="shared" si="436"/>
        <v>-0.70904745819429782</v>
      </c>
      <c r="I2357" s="9">
        <f t="shared" si="437"/>
        <v>-7.1157314564711137E-3</v>
      </c>
      <c r="J2357" s="9">
        <f t="shared" si="438"/>
        <v>50732.884285714295</v>
      </c>
      <c r="K2357" s="9">
        <f t="shared" si="441"/>
        <v>52187.569333333333</v>
      </c>
      <c r="L2357" s="9">
        <f t="shared" si="440"/>
        <v>52401.193000000014</v>
      </c>
      <c r="M2357" s="9">
        <f t="shared" si="439"/>
        <v>7.6883719871698114E-3</v>
      </c>
      <c r="N2357" s="9">
        <f t="shared" si="442"/>
        <v>6.8664077613385891E-3</v>
      </c>
    </row>
    <row r="2358" spans="1:14" x14ac:dyDescent="0.35">
      <c r="A2358" s="1">
        <v>45819</v>
      </c>
      <c r="B2358" s="2" t="s">
        <v>2357</v>
      </c>
      <c r="C2358">
        <f t="shared" si="431"/>
        <v>49400.56</v>
      </c>
      <c r="D2358">
        <f t="shared" si="432"/>
        <v>2025</v>
      </c>
      <c r="E2358">
        <f t="shared" si="433"/>
        <v>6</v>
      </c>
      <c r="F2358" t="str">
        <f t="shared" si="435"/>
        <v>June</v>
      </c>
      <c r="G2358">
        <f t="shared" si="434"/>
        <v>11</v>
      </c>
      <c r="H2358" s="7">
        <f t="shared" si="436"/>
        <v>-1.8324923613032114</v>
      </c>
      <c r="I2358" s="9">
        <f t="shared" si="437"/>
        <v>-1.8494904823358263E-2</v>
      </c>
      <c r="J2358" s="9">
        <f t="shared" si="438"/>
        <v>50473.535714285725</v>
      </c>
      <c r="K2358" s="9">
        <f t="shared" si="441"/>
        <v>52107.471999999994</v>
      </c>
      <c r="L2358" s="9">
        <f t="shared" si="440"/>
        <v>52347.262000000002</v>
      </c>
      <c r="M2358" s="9">
        <f t="shared" si="439"/>
        <v>9.3938738949535788E-3</v>
      </c>
      <c r="N2358" s="9">
        <f t="shared" si="442"/>
        <v>7.5710070369236267E-3</v>
      </c>
    </row>
    <row r="2359" spans="1:14" x14ac:dyDescent="0.35">
      <c r="A2359" s="1">
        <v>45820</v>
      </c>
      <c r="B2359" s="2" t="s">
        <v>2358</v>
      </c>
      <c r="C2359">
        <f t="shared" si="431"/>
        <v>49833.77</v>
      </c>
      <c r="D2359">
        <f t="shared" si="432"/>
        <v>2025</v>
      </c>
      <c r="E2359">
        <f t="shared" si="433"/>
        <v>6</v>
      </c>
      <c r="F2359" t="str">
        <f t="shared" si="435"/>
        <v>June</v>
      </c>
      <c r="G2359">
        <f t="shared" si="434"/>
        <v>12</v>
      </c>
      <c r="H2359" s="7">
        <f t="shared" si="436"/>
        <v>0.87693337889286904</v>
      </c>
      <c r="I2359" s="9">
        <f t="shared" si="437"/>
        <v>8.7311065040334822E-3</v>
      </c>
      <c r="J2359" s="9">
        <f t="shared" si="438"/>
        <v>50381.938571428582</v>
      </c>
      <c r="K2359" s="9">
        <f t="shared" si="441"/>
        <v>52029.200666666664</v>
      </c>
      <c r="L2359" s="9">
        <f t="shared" si="440"/>
        <v>52299.050999999999</v>
      </c>
      <c r="M2359" s="9">
        <f t="shared" si="439"/>
        <v>9.6263528649356868E-3</v>
      </c>
      <c r="N2359" s="9">
        <f t="shared" si="442"/>
        <v>7.6340167278304066E-3</v>
      </c>
    </row>
    <row r="2360" spans="1:14" x14ac:dyDescent="0.35">
      <c r="A2360" s="1">
        <v>45821</v>
      </c>
      <c r="B2360" s="2" t="s">
        <v>2359</v>
      </c>
      <c r="C2360">
        <f t="shared" si="431"/>
        <v>50163.92</v>
      </c>
      <c r="D2360">
        <f t="shared" si="432"/>
        <v>2025</v>
      </c>
      <c r="E2360">
        <f t="shared" si="433"/>
        <v>6</v>
      </c>
      <c r="F2360" t="str">
        <f t="shared" si="435"/>
        <v>June</v>
      </c>
      <c r="G2360">
        <f t="shared" si="434"/>
        <v>13</v>
      </c>
      <c r="H2360" s="7">
        <f t="shared" si="436"/>
        <v>0.66250255599767283</v>
      </c>
      <c r="I2360" s="9">
        <f t="shared" si="437"/>
        <v>6.6031765253278928E-3</v>
      </c>
      <c r="J2360" s="9">
        <f t="shared" si="438"/>
        <v>50296.75</v>
      </c>
      <c r="K2360" s="9">
        <f t="shared" si="441"/>
        <v>51962.95933333334</v>
      </c>
      <c r="L2360" s="9">
        <f t="shared" si="440"/>
        <v>52259.801555555554</v>
      </c>
      <c r="M2360" s="9">
        <f t="shared" si="439"/>
        <v>9.7573365844694955E-3</v>
      </c>
      <c r="N2360" s="9">
        <f t="shared" si="442"/>
        <v>7.7763482777562128E-3</v>
      </c>
    </row>
    <row r="2361" spans="1:14" x14ac:dyDescent="0.35">
      <c r="A2361" s="1">
        <v>45825</v>
      </c>
      <c r="B2361" s="2" t="s">
        <v>2360</v>
      </c>
      <c r="C2361">
        <f t="shared" si="431"/>
        <v>50343.24</v>
      </c>
      <c r="D2361">
        <f t="shared" si="432"/>
        <v>2025</v>
      </c>
      <c r="E2361">
        <f t="shared" si="433"/>
        <v>6</v>
      </c>
      <c r="F2361" t="str">
        <f t="shared" si="435"/>
        <v>June</v>
      </c>
      <c r="G2361">
        <f t="shared" si="434"/>
        <v>17</v>
      </c>
      <c r="H2361" s="7">
        <f t="shared" si="436"/>
        <v>0.35746807665748553</v>
      </c>
      <c r="I2361" s="9">
        <f t="shared" si="437"/>
        <v>3.5683067807434315E-3</v>
      </c>
      <c r="J2361" s="9">
        <f t="shared" si="438"/>
        <v>50199.975714285705</v>
      </c>
      <c r="K2361" s="9">
        <f t="shared" si="441"/>
        <v>51898.895333333334</v>
      </c>
      <c r="L2361" s="9">
        <f t="shared" si="440"/>
        <v>52223.84855555556</v>
      </c>
      <c r="M2361" s="9">
        <f t="shared" si="439"/>
        <v>9.5934640292253352E-3</v>
      </c>
      <c r="N2361" s="9">
        <f t="shared" si="442"/>
        <v>7.8017761516916001E-3</v>
      </c>
    </row>
    <row r="2362" spans="1:14" x14ac:dyDescent="0.35">
      <c r="A2362" s="1">
        <v>45826</v>
      </c>
      <c r="B2362" s="2" t="s">
        <v>2361</v>
      </c>
      <c r="C2362">
        <f t="shared" si="431"/>
        <v>49880.99</v>
      </c>
      <c r="D2362">
        <f t="shared" si="432"/>
        <v>2025</v>
      </c>
      <c r="E2362">
        <f t="shared" si="433"/>
        <v>6</v>
      </c>
      <c r="F2362" t="str">
        <f t="shared" si="435"/>
        <v>June</v>
      </c>
      <c r="G2362">
        <f t="shared" si="434"/>
        <v>18</v>
      </c>
      <c r="H2362" s="7">
        <f t="shared" si="436"/>
        <v>-0.91819676286230301</v>
      </c>
      <c r="I2362" s="9">
        <f t="shared" si="437"/>
        <v>-9.2243817229215302E-3</v>
      </c>
      <c r="J2362" s="9">
        <f t="shared" si="438"/>
        <v>50089.611428571421</v>
      </c>
      <c r="K2362" s="9">
        <f t="shared" si="441"/>
        <v>51804.275666666668</v>
      </c>
      <c r="L2362" s="9">
        <f t="shared" si="440"/>
        <v>52184.67833333333</v>
      </c>
      <c r="M2362" s="9">
        <f t="shared" si="439"/>
        <v>9.805816382823818E-3</v>
      </c>
      <c r="N2362" s="9">
        <f t="shared" si="442"/>
        <v>7.701298618505382E-3</v>
      </c>
    </row>
    <row r="2363" spans="1:14" x14ac:dyDescent="0.35">
      <c r="A2363" s="1">
        <v>45827</v>
      </c>
      <c r="B2363" s="2" t="s">
        <v>2362</v>
      </c>
      <c r="C2363">
        <f t="shared" si="431"/>
        <v>49691.31</v>
      </c>
      <c r="D2363">
        <f t="shared" si="432"/>
        <v>2025</v>
      </c>
      <c r="E2363">
        <f t="shared" si="433"/>
        <v>6</v>
      </c>
      <c r="F2363" t="str">
        <f t="shared" si="435"/>
        <v>June</v>
      </c>
      <c r="G2363">
        <f t="shared" si="434"/>
        <v>19</v>
      </c>
      <c r="H2363" s="7">
        <f t="shared" si="436"/>
        <v>-0.38026510700770033</v>
      </c>
      <c r="I2363" s="9">
        <f t="shared" si="437"/>
        <v>-3.8098995290658075E-3</v>
      </c>
      <c r="J2363" s="9">
        <f t="shared" si="438"/>
        <v>49948.072857142848</v>
      </c>
      <c r="K2363" s="9">
        <f t="shared" si="441"/>
        <v>51690.515333333336</v>
      </c>
      <c r="L2363" s="9">
        <f t="shared" si="440"/>
        <v>52141.396999999997</v>
      </c>
      <c r="M2363" s="9">
        <f t="shared" si="439"/>
        <v>9.7398386053008951E-3</v>
      </c>
      <c r="N2363" s="9">
        <f t="shared" si="442"/>
        <v>7.51257202209832E-3</v>
      </c>
    </row>
    <row r="2364" spans="1:14" x14ac:dyDescent="0.35">
      <c r="A2364" s="1">
        <v>45828</v>
      </c>
      <c r="B2364" s="2" t="s">
        <v>2363</v>
      </c>
      <c r="C2364">
        <f t="shared" si="431"/>
        <v>50716.25</v>
      </c>
      <c r="D2364">
        <f t="shared" si="432"/>
        <v>2025</v>
      </c>
      <c r="E2364">
        <f t="shared" si="433"/>
        <v>6</v>
      </c>
      <c r="F2364" t="str">
        <f t="shared" si="435"/>
        <v>June</v>
      </c>
      <c r="G2364">
        <f t="shared" si="434"/>
        <v>20</v>
      </c>
      <c r="H2364" s="7">
        <f t="shared" si="436"/>
        <v>2.0626141673463678</v>
      </c>
      <c r="I2364" s="9">
        <f t="shared" si="437"/>
        <v>2.0416303344258271E-2</v>
      </c>
      <c r="J2364" s="9">
        <f t="shared" si="438"/>
        <v>50004.291428571429</v>
      </c>
      <c r="K2364" s="9">
        <f t="shared" si="441"/>
        <v>51621.453000000001</v>
      </c>
      <c r="L2364" s="9">
        <f t="shared" si="440"/>
        <v>52105.848222222223</v>
      </c>
      <c r="M2364" s="9">
        <f t="shared" si="439"/>
        <v>1.279576732332359E-2</v>
      </c>
      <c r="N2364" s="9">
        <f t="shared" si="442"/>
        <v>8.5330225228928448E-3</v>
      </c>
    </row>
    <row r="2365" spans="1:14" x14ac:dyDescent="0.35">
      <c r="A2365" s="1">
        <v>45831</v>
      </c>
      <c r="B2365" s="2" t="s">
        <v>2364</v>
      </c>
      <c r="C2365">
        <f t="shared" si="431"/>
        <v>50839.25</v>
      </c>
      <c r="D2365">
        <f t="shared" si="432"/>
        <v>2025</v>
      </c>
      <c r="E2365">
        <f t="shared" si="433"/>
        <v>6</v>
      </c>
      <c r="F2365" t="str">
        <f t="shared" si="435"/>
        <v>June</v>
      </c>
      <c r="G2365">
        <f t="shared" si="434"/>
        <v>23</v>
      </c>
      <c r="H2365" s="7">
        <f t="shared" si="436"/>
        <v>0.24252581766199197</v>
      </c>
      <c r="I2365" s="9">
        <f t="shared" si="437"/>
        <v>2.4223219843995882E-3</v>
      </c>
      <c r="J2365" s="9">
        <f t="shared" si="438"/>
        <v>50209.818571428572</v>
      </c>
      <c r="K2365" s="9">
        <f t="shared" si="441"/>
        <v>51560.73</v>
      </c>
      <c r="L2365" s="9">
        <f t="shared" si="440"/>
        <v>52072.758666666668</v>
      </c>
      <c r="M2365" s="9">
        <f t="shared" si="439"/>
        <v>9.4616572560306325E-3</v>
      </c>
      <c r="N2365" s="9">
        <f t="shared" si="442"/>
        <v>8.5575869876463369E-3</v>
      </c>
    </row>
    <row r="2366" spans="1:14" x14ac:dyDescent="0.35">
      <c r="A2366" s="1">
        <v>45832</v>
      </c>
      <c r="B2366" s="2" t="s">
        <v>2365</v>
      </c>
      <c r="C2366">
        <f t="shared" si="431"/>
        <v>50527.86</v>
      </c>
      <c r="D2366">
        <f t="shared" si="432"/>
        <v>2025</v>
      </c>
      <c r="E2366">
        <f t="shared" si="433"/>
        <v>6</v>
      </c>
      <c r="F2366" t="str">
        <f t="shared" si="435"/>
        <v>June</v>
      </c>
      <c r="G2366">
        <f t="shared" si="434"/>
        <v>24</v>
      </c>
      <c r="H2366" s="7">
        <f t="shared" si="436"/>
        <v>-0.61249920091267951</v>
      </c>
      <c r="I2366" s="9">
        <f t="shared" si="437"/>
        <v>-6.1438267203705642E-3</v>
      </c>
      <c r="J2366" s="9">
        <f t="shared" si="438"/>
        <v>50308.974285714277</v>
      </c>
      <c r="K2366" s="9">
        <f t="shared" si="441"/>
        <v>51479.197666666674</v>
      </c>
      <c r="L2366" s="9">
        <f t="shared" si="440"/>
        <v>52037.727222222238</v>
      </c>
      <c r="M2366" s="9">
        <f t="shared" si="439"/>
        <v>9.9083042973306876E-3</v>
      </c>
      <c r="N2366" s="9">
        <f t="shared" si="442"/>
        <v>8.4958637550220668E-3</v>
      </c>
    </row>
    <row r="2367" spans="1:14" x14ac:dyDescent="0.35">
      <c r="A2367" s="1">
        <v>45833</v>
      </c>
      <c r="B2367" s="2" t="s">
        <v>2366</v>
      </c>
      <c r="C2367">
        <f t="shared" si="431"/>
        <v>50899.92</v>
      </c>
      <c r="D2367">
        <f t="shared" si="432"/>
        <v>2025</v>
      </c>
      <c r="E2367">
        <f t="shared" si="433"/>
        <v>6</v>
      </c>
      <c r="F2367" t="str">
        <f t="shared" si="435"/>
        <v>June</v>
      </c>
      <c r="G2367">
        <f t="shared" si="434"/>
        <v>25</v>
      </c>
      <c r="H2367" s="7">
        <f t="shared" si="436"/>
        <v>0.73634624541786986</v>
      </c>
      <c r="I2367" s="9">
        <f t="shared" si="437"/>
        <v>7.3364845175903489E-3</v>
      </c>
      <c r="J2367" s="9">
        <f t="shared" si="438"/>
        <v>50414.117142857132</v>
      </c>
      <c r="K2367" s="9">
        <f t="shared" si="441"/>
        <v>51395.670333333328</v>
      </c>
      <c r="L2367" s="9">
        <f t="shared" si="440"/>
        <v>52011.532555555576</v>
      </c>
      <c r="M2367" s="9">
        <f t="shared" si="439"/>
        <v>9.9690702987762225E-3</v>
      </c>
      <c r="N2367" s="9">
        <f t="shared" si="442"/>
        <v>8.4661741724238234E-3</v>
      </c>
    </row>
    <row r="2368" spans="1:14" x14ac:dyDescent="0.35">
      <c r="A2368" s="1">
        <v>45834</v>
      </c>
      <c r="B2368" s="2" t="s">
        <v>2367</v>
      </c>
      <c r="C2368">
        <f t="shared" si="431"/>
        <v>50543.44</v>
      </c>
      <c r="D2368">
        <f t="shared" si="432"/>
        <v>2025</v>
      </c>
      <c r="E2368">
        <f t="shared" si="433"/>
        <v>6</v>
      </c>
      <c r="F2368" t="str">
        <f t="shared" si="435"/>
        <v>June</v>
      </c>
      <c r="G2368">
        <f t="shared" si="434"/>
        <v>26</v>
      </c>
      <c r="H2368" s="7">
        <f t="shared" si="436"/>
        <v>-0.70035473533159964</v>
      </c>
      <c r="I2368" s="9">
        <f t="shared" si="437"/>
        <v>-7.0281873031801823E-3</v>
      </c>
      <c r="J2368" s="9">
        <f t="shared" si="438"/>
        <v>50442.717142857138</v>
      </c>
      <c r="K2368" s="9">
        <f t="shared" si="441"/>
        <v>51305.425333333325</v>
      </c>
      <c r="L2368" s="9">
        <f t="shared" si="440"/>
        <v>51985.110666666689</v>
      </c>
      <c r="M2368" s="9">
        <f t="shared" si="439"/>
        <v>1.0496137817628362E-2</v>
      </c>
      <c r="N2368" s="9">
        <f t="shared" si="442"/>
        <v>8.5213434659059967E-3</v>
      </c>
    </row>
    <row r="2369" spans="1:14" x14ac:dyDescent="0.35">
      <c r="A2369" s="1">
        <v>45835</v>
      </c>
      <c r="B2369" s="2" t="s">
        <v>2368</v>
      </c>
      <c r="C2369">
        <f t="shared" si="431"/>
        <v>49476.06</v>
      </c>
      <c r="D2369">
        <f t="shared" si="432"/>
        <v>2025</v>
      </c>
      <c r="E2369">
        <f t="shared" si="433"/>
        <v>6</v>
      </c>
      <c r="F2369" t="str">
        <f t="shared" si="435"/>
        <v>June</v>
      </c>
      <c r="G2369">
        <f t="shared" si="434"/>
        <v>27</v>
      </c>
      <c r="H2369" s="7">
        <f t="shared" si="436"/>
        <v>-2.1118071900131938</v>
      </c>
      <c r="I2369" s="9">
        <f t="shared" si="437"/>
        <v>-2.1344248321607667E-2</v>
      </c>
      <c r="J2369" s="9">
        <f t="shared" si="438"/>
        <v>50384.869999999995</v>
      </c>
      <c r="K2369" s="9">
        <f t="shared" si="441"/>
        <v>51176.559333333331</v>
      </c>
      <c r="L2369" s="9">
        <f t="shared" si="440"/>
        <v>51954.904777777803</v>
      </c>
      <c r="M2369" s="9">
        <f t="shared" si="439"/>
        <v>1.3065603743165011E-2</v>
      </c>
      <c r="N2369" s="9">
        <f t="shared" si="442"/>
        <v>9.2111375806901343E-3</v>
      </c>
    </row>
    <row r="2370" spans="1:14" x14ac:dyDescent="0.35">
      <c r="A2370" s="1">
        <v>45838</v>
      </c>
      <c r="B2370" s="2" t="s">
        <v>2369</v>
      </c>
      <c r="C2370">
        <f t="shared" si="431"/>
        <v>48935.9</v>
      </c>
      <c r="D2370">
        <f t="shared" si="432"/>
        <v>2025</v>
      </c>
      <c r="E2370">
        <f t="shared" si="433"/>
        <v>6</v>
      </c>
      <c r="F2370" t="str">
        <f t="shared" si="435"/>
        <v>June</v>
      </c>
      <c r="G2370">
        <f t="shared" si="434"/>
        <v>30</v>
      </c>
      <c r="H2370" s="7">
        <f t="shared" si="436"/>
        <v>-1.0917603382322607</v>
      </c>
      <c r="I2370" s="9">
        <f t="shared" si="437"/>
        <v>-1.0977637768413026E-2</v>
      </c>
      <c r="J2370" s="9">
        <f t="shared" si="438"/>
        <v>50276.954285714288</v>
      </c>
      <c r="K2370" s="9">
        <f t="shared" si="441"/>
        <v>51039.740000000005</v>
      </c>
      <c r="L2370" s="9">
        <f t="shared" si="440"/>
        <v>51915.341222222254</v>
      </c>
      <c r="M2370" s="9">
        <f t="shared" si="439"/>
        <v>1.357829740629723E-2</v>
      </c>
      <c r="N2370" s="9">
        <f t="shared" si="442"/>
        <v>9.3242533970434062E-3</v>
      </c>
    </row>
    <row r="2371" spans="1:14" x14ac:dyDescent="0.35">
      <c r="A2371" s="1">
        <v>45839</v>
      </c>
      <c r="B2371" s="2" t="s">
        <v>2370</v>
      </c>
      <c r="C2371">
        <f t="shared" ref="C2371:C2434" si="443">_xlfn.NUMBERVALUE(B2371,".",",")</f>
        <v>49713.56</v>
      </c>
      <c r="D2371">
        <f t="shared" ref="D2371:D2434" si="444">YEAR(A2371)</f>
        <v>2025</v>
      </c>
      <c r="E2371">
        <f t="shared" ref="E2371:E2434" si="445">MONTH(A2371)</f>
        <v>7</v>
      </c>
      <c r="F2371" t="str">
        <f t="shared" si="435"/>
        <v>July</v>
      </c>
      <c r="G2371">
        <f t="shared" ref="G2371:G2434" si="446">DAY(A2371)</f>
        <v>1</v>
      </c>
      <c r="H2371" s="7">
        <f t="shared" si="436"/>
        <v>1.5891400791647772</v>
      </c>
      <c r="I2371" s="9">
        <f t="shared" si="437"/>
        <v>1.5766454458656851E-2</v>
      </c>
      <c r="J2371" s="9">
        <f t="shared" si="438"/>
        <v>50133.712857142855</v>
      </c>
      <c r="K2371" s="9">
        <f t="shared" si="441"/>
        <v>50945.78333333334</v>
      </c>
      <c r="L2371" s="9">
        <f t="shared" si="440"/>
        <v>51883.879444444472</v>
      </c>
      <c r="M2371" s="9">
        <f t="shared" si="439"/>
        <v>1.2345960427028313E-2</v>
      </c>
      <c r="N2371" s="9">
        <f t="shared" si="442"/>
        <v>9.8121236019560864E-3</v>
      </c>
    </row>
    <row r="2372" spans="1:14" x14ac:dyDescent="0.35">
      <c r="A2372" s="1">
        <v>45840</v>
      </c>
      <c r="B2372" s="2" t="s">
        <v>2371</v>
      </c>
      <c r="C2372">
        <f t="shared" si="443"/>
        <v>49256.1</v>
      </c>
      <c r="D2372">
        <f t="shared" si="444"/>
        <v>2025</v>
      </c>
      <c r="E2372">
        <f t="shared" si="445"/>
        <v>7</v>
      </c>
      <c r="F2372" t="str">
        <f t="shared" ref="F2372:F2435" si="447">TEXT(A2372,"mmmm")</f>
        <v>July</v>
      </c>
      <c r="G2372">
        <f t="shared" si="446"/>
        <v>2</v>
      </c>
      <c r="H2372" s="7">
        <f t="shared" ref="H2372:H2435" si="448">((C2372-C2371)/C2371)*100</f>
        <v>-0.92019159360142211</v>
      </c>
      <c r="I2372" s="9">
        <f t="shared" ref="I2372:I2435" si="449">LN(C2372/C2371)</f>
        <v>-9.2445150950984066E-3</v>
      </c>
      <c r="J2372" s="9">
        <f t="shared" si="438"/>
        <v>49907.548571428568</v>
      </c>
      <c r="K2372" s="9">
        <f t="shared" si="441"/>
        <v>50824.294333333339</v>
      </c>
      <c r="L2372" s="9">
        <f t="shared" si="440"/>
        <v>51845.916666666686</v>
      </c>
      <c r="M2372" s="9">
        <f t="shared" si="439"/>
        <v>1.2302585998345437E-2</v>
      </c>
      <c r="N2372" s="9">
        <f t="shared" si="442"/>
        <v>9.7559427718453984E-3</v>
      </c>
    </row>
    <row r="2373" spans="1:14" x14ac:dyDescent="0.35">
      <c r="A2373" s="1">
        <v>45841</v>
      </c>
      <c r="B2373" s="2" t="s">
        <v>2372</v>
      </c>
      <c r="C2373">
        <f t="shared" si="443"/>
        <v>49927</v>
      </c>
      <c r="D2373">
        <f t="shared" si="444"/>
        <v>2025</v>
      </c>
      <c r="E2373">
        <f t="shared" si="445"/>
        <v>7</v>
      </c>
      <c r="F2373" t="str">
        <f t="shared" si="447"/>
        <v>July</v>
      </c>
      <c r="G2373">
        <f t="shared" si="446"/>
        <v>3</v>
      </c>
      <c r="H2373" s="7">
        <f t="shared" si="448"/>
        <v>1.3620648000958286</v>
      </c>
      <c r="I2373" s="9">
        <f t="shared" si="449"/>
        <v>1.3528720773264311E-2</v>
      </c>
      <c r="J2373" s="9">
        <f t="shared" si="438"/>
        <v>49821.711428571427</v>
      </c>
      <c r="K2373" s="9">
        <f t="shared" si="441"/>
        <v>50724.084999999999</v>
      </c>
      <c r="L2373" s="9">
        <f t="shared" si="440"/>
        <v>51806.103111111137</v>
      </c>
      <c r="M2373" s="9">
        <f t="shared" si="439"/>
        <v>1.399957616683341E-2</v>
      </c>
      <c r="N2373" s="9">
        <f t="shared" si="442"/>
        <v>1.0168787312120757E-2</v>
      </c>
    </row>
    <row r="2374" spans="1:14" x14ac:dyDescent="0.35">
      <c r="A2374" s="1">
        <v>45842</v>
      </c>
      <c r="B2374" s="2" t="s">
        <v>2373</v>
      </c>
      <c r="C2374">
        <f t="shared" si="443"/>
        <v>50209.43</v>
      </c>
      <c r="D2374">
        <f t="shared" si="444"/>
        <v>2025</v>
      </c>
      <c r="E2374">
        <f t="shared" si="445"/>
        <v>7</v>
      </c>
      <c r="F2374" t="str">
        <f t="shared" si="447"/>
        <v>July</v>
      </c>
      <c r="G2374">
        <f t="shared" si="446"/>
        <v>4</v>
      </c>
      <c r="H2374" s="7">
        <f t="shared" si="448"/>
        <v>0.56568590141606812</v>
      </c>
      <c r="I2374" s="9">
        <f t="shared" si="449"/>
        <v>5.6409190722908923E-3</v>
      </c>
      <c r="J2374" s="9">
        <f t="shared" si="438"/>
        <v>49723.07</v>
      </c>
      <c r="K2374" s="9">
        <f t="shared" si="441"/>
        <v>50637.14166666667</v>
      </c>
      <c r="L2374" s="9">
        <f t="shared" si="440"/>
        <v>51768.971111111139</v>
      </c>
      <c r="M2374" s="9">
        <f t="shared" si="439"/>
        <v>1.3830634149197961E-2</v>
      </c>
      <c r="N2374" s="9">
        <f t="shared" si="442"/>
        <v>1.0262473226049191E-2</v>
      </c>
    </row>
    <row r="2375" spans="1:14" x14ac:dyDescent="0.35">
      <c r="A2375" s="1">
        <v>45845</v>
      </c>
      <c r="B2375" s="2" t="s">
        <v>2374</v>
      </c>
      <c r="C2375">
        <f t="shared" si="443"/>
        <v>50157.279999999999</v>
      </c>
      <c r="D2375">
        <f t="shared" si="444"/>
        <v>2025</v>
      </c>
      <c r="E2375">
        <f t="shared" si="445"/>
        <v>7</v>
      </c>
      <c r="F2375" t="str">
        <f t="shared" si="447"/>
        <v>July</v>
      </c>
      <c r="G2375">
        <f t="shared" si="446"/>
        <v>7</v>
      </c>
      <c r="H2375" s="7">
        <f t="shared" si="448"/>
        <v>-0.10386495126513376</v>
      </c>
      <c r="I2375" s="9">
        <f t="shared" si="449"/>
        <v>-1.0391892828434442E-3</v>
      </c>
      <c r="J2375" s="9">
        <f t="shared" si="438"/>
        <v>49667.904285714278</v>
      </c>
      <c r="K2375" s="9">
        <f t="shared" si="441"/>
        <v>50537.099666666669</v>
      </c>
      <c r="L2375" s="9">
        <f t="shared" si="440"/>
        <v>51731.439111111125</v>
      </c>
      <c r="M2375" s="9">
        <f t="shared" si="439"/>
        <v>1.3648264581681361E-2</v>
      </c>
      <c r="N2375" s="9">
        <f t="shared" si="442"/>
        <v>1.0148651919203307E-2</v>
      </c>
    </row>
    <row r="2376" spans="1:14" x14ac:dyDescent="0.35">
      <c r="A2376" s="1">
        <v>45846</v>
      </c>
      <c r="B2376" s="2" t="s">
        <v>2375</v>
      </c>
      <c r="C2376">
        <f t="shared" si="443"/>
        <v>50193.64</v>
      </c>
      <c r="D2376">
        <f t="shared" si="444"/>
        <v>2025</v>
      </c>
      <c r="E2376">
        <f t="shared" si="445"/>
        <v>7</v>
      </c>
      <c r="F2376" t="str">
        <f t="shared" si="447"/>
        <v>July</v>
      </c>
      <c r="G2376">
        <f t="shared" si="446"/>
        <v>8</v>
      </c>
      <c r="H2376" s="7">
        <f t="shared" si="448"/>
        <v>7.249196926149222E-2</v>
      </c>
      <c r="I2376" s="9">
        <f t="shared" si="449"/>
        <v>7.2465706524936491E-4</v>
      </c>
      <c r="J2376" s="9">
        <f t="shared" si="438"/>
        <v>49770.415714285722</v>
      </c>
      <c r="K2376" s="9">
        <f t="shared" si="441"/>
        <v>50450.393999999993</v>
      </c>
      <c r="L2376" s="9">
        <f t="shared" si="440"/>
        <v>51698.702222222237</v>
      </c>
      <c r="M2376" s="9">
        <f t="shared" si="439"/>
        <v>1.0339096881223784E-2</v>
      </c>
      <c r="N2376" s="9">
        <f t="shared" si="442"/>
        <v>1.0116104521264567E-2</v>
      </c>
    </row>
    <row r="2377" spans="1:14" x14ac:dyDescent="0.35">
      <c r="A2377" s="1">
        <v>45847</v>
      </c>
      <c r="B2377" s="2" t="s">
        <v>2376</v>
      </c>
      <c r="C2377">
        <f t="shared" si="443"/>
        <v>50696.1</v>
      </c>
      <c r="D2377">
        <f t="shared" si="444"/>
        <v>2025</v>
      </c>
      <c r="E2377">
        <f t="shared" si="445"/>
        <v>7</v>
      </c>
      <c r="F2377" t="str">
        <f t="shared" si="447"/>
        <v>July</v>
      </c>
      <c r="G2377">
        <f t="shared" si="446"/>
        <v>9</v>
      </c>
      <c r="H2377" s="7">
        <f t="shared" si="448"/>
        <v>1.0010431600497576</v>
      </c>
      <c r="I2377" s="9">
        <f t="shared" si="449"/>
        <v>9.9606591171557748E-3</v>
      </c>
      <c r="J2377" s="9">
        <f t="shared" ref="J2377:J2440" si="450">AVERAGE(C2371:C2377)</f>
        <v>50021.872857142858</v>
      </c>
      <c r="K2377" s="9">
        <f t="shared" si="441"/>
        <v>50392.118666666669</v>
      </c>
      <c r="L2377" s="9">
        <f t="shared" si="440"/>
        <v>51674.73266666667</v>
      </c>
      <c r="M2377" s="9">
        <f t="shared" si="439"/>
        <v>8.8629831158254929E-3</v>
      </c>
      <c r="N2377" s="9">
        <f t="shared" si="442"/>
        <v>1.0287865108712681E-2</v>
      </c>
    </row>
    <row r="2378" spans="1:14" x14ac:dyDescent="0.35">
      <c r="A2378" s="1">
        <v>45848</v>
      </c>
      <c r="B2378" s="2" t="s">
        <v>2377</v>
      </c>
      <c r="C2378">
        <f t="shared" si="443"/>
        <v>50561.43</v>
      </c>
      <c r="D2378">
        <f t="shared" si="444"/>
        <v>2025</v>
      </c>
      <c r="E2378">
        <f t="shared" si="445"/>
        <v>7</v>
      </c>
      <c r="F2378" t="str">
        <f t="shared" si="447"/>
        <v>July</v>
      </c>
      <c r="G2378">
        <f t="shared" si="446"/>
        <v>10</v>
      </c>
      <c r="H2378" s="7">
        <f t="shared" si="448"/>
        <v>-0.26564173575481792</v>
      </c>
      <c r="I2378" s="9">
        <f t="shared" si="449"/>
        <v>-2.6599518949956195E-3</v>
      </c>
      <c r="J2378" s="9">
        <f t="shared" si="450"/>
        <v>50142.997142857137</v>
      </c>
      <c r="K2378" s="9">
        <f t="shared" si="441"/>
        <v>50329.569333333326</v>
      </c>
      <c r="L2378" s="9">
        <f t="shared" si="440"/>
        <v>51648.543888888889</v>
      </c>
      <c r="M2378" s="9">
        <f t="shared" ref="M2378:M2441" si="451">STDEV(I2372:I2378)</f>
        <v>7.8246024495170884E-3</v>
      </c>
      <c r="N2378" s="9">
        <f t="shared" si="442"/>
        <v>1.0289727714757757E-2</v>
      </c>
    </row>
    <row r="2379" spans="1:14" x14ac:dyDescent="0.35">
      <c r="A2379" s="1">
        <v>45849</v>
      </c>
      <c r="B2379" s="2" t="s">
        <v>2378</v>
      </c>
      <c r="C2379">
        <f t="shared" si="443"/>
        <v>50616.43</v>
      </c>
      <c r="D2379">
        <f t="shared" si="444"/>
        <v>2025</v>
      </c>
      <c r="E2379">
        <f t="shared" si="445"/>
        <v>7</v>
      </c>
      <c r="F2379" t="str">
        <f t="shared" si="447"/>
        <v>July</v>
      </c>
      <c r="G2379">
        <f t="shared" si="446"/>
        <v>11</v>
      </c>
      <c r="H2379" s="7">
        <f t="shared" si="448"/>
        <v>0.10877856896056935</v>
      </c>
      <c r="I2379" s="9">
        <f t="shared" si="449"/>
        <v>1.0871944794535226E-3</v>
      </c>
      <c r="J2379" s="9">
        <f t="shared" si="450"/>
        <v>50337.33</v>
      </c>
      <c r="K2379" s="9">
        <f t="shared" si="441"/>
        <v>50292.111333333327</v>
      </c>
      <c r="L2379" s="9">
        <f t="shared" si="440"/>
        <v>51622.17</v>
      </c>
      <c r="M2379" s="9">
        <f t="shared" si="451"/>
        <v>6.0262955062969688E-3</v>
      </c>
      <c r="N2379" s="9">
        <f t="shared" si="442"/>
        <v>1.0035137280202932E-2</v>
      </c>
    </row>
    <row r="2380" spans="1:14" x14ac:dyDescent="0.35">
      <c r="A2380" s="1">
        <v>45852</v>
      </c>
      <c r="B2380" s="2" t="s">
        <v>2379</v>
      </c>
      <c r="C2380">
        <f t="shared" si="443"/>
        <v>51117.74</v>
      </c>
      <c r="D2380">
        <f t="shared" si="444"/>
        <v>2025</v>
      </c>
      <c r="E2380">
        <f t="shared" si="445"/>
        <v>7</v>
      </c>
      <c r="F2380" t="str">
        <f t="shared" si="447"/>
        <v>July</v>
      </c>
      <c r="G2380">
        <f t="shared" si="446"/>
        <v>14</v>
      </c>
      <c r="H2380" s="7">
        <f t="shared" si="448"/>
        <v>0.99040963576450902</v>
      </c>
      <c r="I2380" s="9">
        <f t="shared" si="449"/>
        <v>9.8553722434005283E-3</v>
      </c>
      <c r="J2380" s="9">
        <f t="shared" si="450"/>
        <v>50507.435714285712</v>
      </c>
      <c r="K2380" s="9">
        <f t="shared" si="441"/>
        <v>50294.378999999994</v>
      </c>
      <c r="L2380" s="9">
        <f t="shared" si="440"/>
        <v>51605.025555555556</v>
      </c>
      <c r="M2380" s="9">
        <f t="shared" si="451"/>
        <v>5.1423756725257385E-3</v>
      </c>
      <c r="N2380" s="9">
        <f t="shared" si="442"/>
        <v>9.9187533465900073E-3</v>
      </c>
    </row>
    <row r="2381" spans="1:14" x14ac:dyDescent="0.35">
      <c r="A2381" s="1">
        <v>45853</v>
      </c>
      <c r="B2381" s="2" t="s">
        <v>2380</v>
      </c>
      <c r="C2381">
        <f t="shared" si="443"/>
        <v>50596.52</v>
      </c>
      <c r="D2381">
        <f t="shared" si="444"/>
        <v>2025</v>
      </c>
      <c r="E2381">
        <f t="shared" si="445"/>
        <v>7</v>
      </c>
      <c r="F2381" t="str">
        <f t="shared" si="447"/>
        <v>July</v>
      </c>
      <c r="G2381">
        <f t="shared" si="446"/>
        <v>15</v>
      </c>
      <c r="H2381" s="7">
        <f t="shared" si="448"/>
        <v>-1.0196460172143784</v>
      </c>
      <c r="I2381" s="9">
        <f t="shared" si="449"/>
        <v>-1.0248800164567123E-2</v>
      </c>
      <c r="J2381" s="9">
        <f t="shared" si="450"/>
        <v>50562.734285714287</v>
      </c>
      <c r="K2381" s="9">
        <f t="shared" si="441"/>
        <v>50273.729666666666</v>
      </c>
      <c r="L2381" s="9">
        <f t="shared" si="440"/>
        <v>51584.345111111106</v>
      </c>
      <c r="M2381" s="9">
        <f t="shared" si="451"/>
        <v>7.1041941385528084E-3</v>
      </c>
      <c r="N2381" s="9">
        <f t="shared" si="442"/>
        <v>1.0073270898415053E-2</v>
      </c>
    </row>
    <row r="2382" spans="1:14" x14ac:dyDescent="0.35">
      <c r="A2382" s="1">
        <v>45854</v>
      </c>
      <c r="B2382" s="2" t="s">
        <v>2381</v>
      </c>
      <c r="C2382">
        <f t="shared" si="443"/>
        <v>50626.06</v>
      </c>
      <c r="D2382">
        <f t="shared" si="444"/>
        <v>2025</v>
      </c>
      <c r="E2382">
        <f t="shared" si="445"/>
        <v>7</v>
      </c>
      <c r="F2382" t="str">
        <f t="shared" si="447"/>
        <v>July</v>
      </c>
      <c r="G2382">
        <f t="shared" si="446"/>
        <v>16</v>
      </c>
      <c r="H2382" s="7">
        <f t="shared" si="448"/>
        <v>5.838346194560589E-2</v>
      </c>
      <c r="I2382" s="9">
        <f t="shared" si="449"/>
        <v>5.836642543313674E-4</v>
      </c>
      <c r="J2382" s="9">
        <f t="shared" si="450"/>
        <v>50629.702857142853</v>
      </c>
      <c r="K2382" s="9">
        <f t="shared" si="441"/>
        <v>50278.76666666667</v>
      </c>
      <c r="L2382" s="9">
        <f t="shared" si="440"/>
        <v>51568.456222222216</v>
      </c>
      <c r="M2382" s="9">
        <f t="shared" si="451"/>
        <v>7.0491250317488872E-3</v>
      </c>
      <c r="N2382" s="9">
        <f t="shared" si="442"/>
        <v>9.7117185510888146E-3</v>
      </c>
    </row>
    <row r="2383" spans="1:14" x14ac:dyDescent="0.35">
      <c r="A2383" s="1">
        <v>45855</v>
      </c>
      <c r="B2383" s="2" t="s">
        <v>2382</v>
      </c>
      <c r="C2383">
        <f t="shared" si="443"/>
        <v>50617.57</v>
      </c>
      <c r="D2383">
        <f t="shared" si="444"/>
        <v>2025</v>
      </c>
      <c r="E2383">
        <f t="shared" si="445"/>
        <v>7</v>
      </c>
      <c r="F2383" t="str">
        <f t="shared" si="447"/>
        <v>July</v>
      </c>
      <c r="G2383">
        <f t="shared" si="446"/>
        <v>17</v>
      </c>
      <c r="H2383" s="7">
        <f t="shared" si="448"/>
        <v>-1.677001923514878E-2</v>
      </c>
      <c r="I2383" s="9">
        <f t="shared" si="449"/>
        <v>-1.6771425560101338E-4</v>
      </c>
      <c r="J2383" s="9">
        <f t="shared" si="450"/>
        <v>50690.264285714286</v>
      </c>
      <c r="K2383" s="9">
        <f t="shared" si="441"/>
        <v>50274.011000000006</v>
      </c>
      <c r="L2383" s="9">
        <f t="shared" si="440"/>
        <v>51550.193888888891</v>
      </c>
      <c r="M2383" s="9">
        <f t="shared" si="451"/>
        <v>7.069913864142509E-3</v>
      </c>
      <c r="N2383" s="9">
        <f t="shared" si="442"/>
        <v>9.6552684182151412E-3</v>
      </c>
    </row>
    <row r="2384" spans="1:14" x14ac:dyDescent="0.35">
      <c r="A2384" s="1">
        <v>45856</v>
      </c>
      <c r="B2384" s="2" t="s">
        <v>2383</v>
      </c>
      <c r="C2384">
        <f t="shared" si="443"/>
        <v>50004.82</v>
      </c>
      <c r="D2384">
        <f t="shared" si="444"/>
        <v>2025</v>
      </c>
      <c r="E2384">
        <f t="shared" si="445"/>
        <v>7</v>
      </c>
      <c r="F2384" t="str">
        <f t="shared" si="447"/>
        <v>July</v>
      </c>
      <c r="G2384">
        <f t="shared" si="446"/>
        <v>18</v>
      </c>
      <c r="H2384" s="7">
        <f t="shared" si="448"/>
        <v>-1.2105480369760935</v>
      </c>
      <c r="I2384" s="9">
        <f t="shared" si="449"/>
        <v>-1.2179348441539825E-2</v>
      </c>
      <c r="J2384" s="9">
        <f t="shared" si="450"/>
        <v>50591.51</v>
      </c>
      <c r="K2384" s="9">
        <f t="shared" si="441"/>
        <v>50240.149666666664</v>
      </c>
      <c r="L2384" s="9">
        <f t="shared" si="440"/>
        <v>51523.083222222223</v>
      </c>
      <c r="M2384" s="9">
        <f t="shared" si="451"/>
        <v>7.4408796718516152E-3</v>
      </c>
      <c r="N2384" s="9">
        <f t="shared" si="442"/>
        <v>9.8478669644061923E-3</v>
      </c>
    </row>
    <row r="2385" spans="1:14" x14ac:dyDescent="0.35">
      <c r="A2385" s="1">
        <v>45859</v>
      </c>
      <c r="B2385" s="2" t="s">
        <v>2384</v>
      </c>
      <c r="C2385">
        <f t="shared" si="443"/>
        <v>49430.21</v>
      </c>
      <c r="D2385">
        <f t="shared" si="444"/>
        <v>2025</v>
      </c>
      <c r="E2385">
        <f t="shared" si="445"/>
        <v>7</v>
      </c>
      <c r="F2385" t="str">
        <f t="shared" si="447"/>
        <v>July</v>
      </c>
      <c r="G2385">
        <f t="shared" si="446"/>
        <v>21</v>
      </c>
      <c r="H2385" s="7">
        <f t="shared" si="448"/>
        <v>-1.1491092258706272</v>
      </c>
      <c r="I2385" s="9">
        <f t="shared" si="449"/>
        <v>-1.1557625039995046E-2</v>
      </c>
      <c r="J2385" s="9">
        <f t="shared" si="450"/>
        <v>50429.907142857148</v>
      </c>
      <c r="K2385" s="9">
        <f t="shared" si="441"/>
        <v>50199.372000000003</v>
      </c>
      <c r="L2385" s="9">
        <f t="shared" si="440"/>
        <v>51491.094111111117</v>
      </c>
      <c r="M2385" s="9">
        <f t="shared" si="451"/>
        <v>8.2914660292858038E-3</v>
      </c>
      <c r="N2385" s="9">
        <f t="shared" si="442"/>
        <v>9.9782900525628888E-3</v>
      </c>
    </row>
    <row r="2386" spans="1:14" x14ac:dyDescent="0.35">
      <c r="A2386" s="1">
        <v>45860</v>
      </c>
      <c r="B2386" s="2" t="s">
        <v>2385</v>
      </c>
      <c r="C2386">
        <f t="shared" si="443"/>
        <v>49731.89</v>
      </c>
      <c r="D2386">
        <f t="shared" si="444"/>
        <v>2025</v>
      </c>
      <c r="E2386">
        <f t="shared" si="445"/>
        <v>7</v>
      </c>
      <c r="F2386" t="str">
        <f t="shared" si="447"/>
        <v>July</v>
      </c>
      <c r="G2386">
        <f t="shared" si="446"/>
        <v>22</v>
      </c>
      <c r="H2386" s="7">
        <f t="shared" si="448"/>
        <v>0.61031502799603787</v>
      </c>
      <c r="I2386" s="9">
        <f t="shared" si="449"/>
        <v>6.0846014907297115E-3</v>
      </c>
      <c r="J2386" s="9">
        <f t="shared" si="450"/>
        <v>50303.544285714292</v>
      </c>
      <c r="K2386" s="9">
        <f t="shared" si="441"/>
        <v>50167.699000000001</v>
      </c>
      <c r="L2386" s="9">
        <f t="shared" si="440"/>
        <v>51468.949333333338</v>
      </c>
      <c r="M2386" s="9">
        <f t="shared" si="451"/>
        <v>8.9169408146198299E-3</v>
      </c>
      <c r="N2386" s="9">
        <f t="shared" si="442"/>
        <v>1.0055208990523042E-2</v>
      </c>
    </row>
    <row r="2387" spans="1:14" x14ac:dyDescent="0.35">
      <c r="A2387" s="1">
        <v>45861</v>
      </c>
      <c r="B2387" s="2" t="s">
        <v>2386</v>
      </c>
      <c r="C2387">
        <f t="shared" si="443"/>
        <v>50294.720000000001</v>
      </c>
      <c r="D2387">
        <f t="shared" si="444"/>
        <v>2025</v>
      </c>
      <c r="E2387">
        <f t="shared" si="445"/>
        <v>7</v>
      </c>
      <c r="F2387" t="str">
        <f t="shared" si="447"/>
        <v>July</v>
      </c>
      <c r="G2387">
        <f t="shared" si="446"/>
        <v>23</v>
      </c>
      <c r="H2387" s="7">
        <f t="shared" si="448"/>
        <v>1.131728554856857</v>
      </c>
      <c r="I2387" s="9">
        <f t="shared" si="449"/>
        <v>1.1253724184313084E-2</v>
      </c>
      <c r="J2387" s="9">
        <f t="shared" si="450"/>
        <v>50185.970000000008</v>
      </c>
      <c r="K2387" s="9">
        <f t="shared" si="441"/>
        <v>50166.765666666666</v>
      </c>
      <c r="L2387" s="9">
        <f t="shared" si="440"/>
        <v>51452.04277777778</v>
      </c>
      <c r="M2387" s="9">
        <f t="shared" si="451"/>
        <v>9.2498040003714862E-3</v>
      </c>
      <c r="N2387" s="9">
        <f t="shared" si="442"/>
        <v>1.0204886866260979E-2</v>
      </c>
    </row>
    <row r="2388" spans="1:14" x14ac:dyDescent="0.35">
      <c r="A2388" s="1">
        <v>45862</v>
      </c>
      <c r="B2388" s="2" t="s">
        <v>2387</v>
      </c>
      <c r="C2388">
        <f t="shared" si="443"/>
        <v>51493</v>
      </c>
      <c r="D2388">
        <f t="shared" si="444"/>
        <v>2025</v>
      </c>
      <c r="E2388">
        <f t="shared" si="445"/>
        <v>7</v>
      </c>
      <c r="F2388" t="str">
        <f t="shared" si="447"/>
        <v>July</v>
      </c>
      <c r="G2388">
        <f t="shared" si="446"/>
        <v>24</v>
      </c>
      <c r="H2388" s="7">
        <f t="shared" si="448"/>
        <v>2.3825164947732067</v>
      </c>
      <c r="I2388" s="9">
        <f t="shared" si="449"/>
        <v>2.3545774684304095E-2</v>
      </c>
      <c r="J2388" s="9">
        <f t="shared" si="450"/>
        <v>50314.038571428573</v>
      </c>
      <c r="K2388" s="9">
        <f t="shared" si="441"/>
        <v>50236.513666666673</v>
      </c>
      <c r="L2388" s="9">
        <f t="shared" si="440"/>
        <v>51446.09855555556</v>
      </c>
      <c r="M2388" s="9">
        <f t="shared" si="451"/>
        <v>1.2624646880164875E-2</v>
      </c>
      <c r="N2388" s="9">
        <f t="shared" si="442"/>
        <v>1.046346631642303E-2</v>
      </c>
    </row>
    <row r="2389" spans="1:14" x14ac:dyDescent="0.35">
      <c r="A2389" s="1">
        <v>45863</v>
      </c>
      <c r="B2389" s="2" t="s">
        <v>2388</v>
      </c>
      <c r="C2389">
        <f t="shared" si="443"/>
        <v>50977.85</v>
      </c>
      <c r="D2389">
        <f t="shared" si="444"/>
        <v>2025</v>
      </c>
      <c r="E2389">
        <f t="shared" si="445"/>
        <v>7</v>
      </c>
      <c r="F2389" t="str">
        <f t="shared" si="447"/>
        <v>July</v>
      </c>
      <c r="G2389">
        <f t="shared" si="446"/>
        <v>25</v>
      </c>
      <c r="H2389" s="7">
        <f t="shared" si="448"/>
        <v>-1.0004272425378233</v>
      </c>
      <c r="I2389" s="9">
        <f t="shared" si="449"/>
        <v>-1.0054651444003759E-2</v>
      </c>
      <c r="J2389" s="9">
        <f t="shared" si="450"/>
        <v>50364.294285714277</v>
      </c>
      <c r="K2389" s="9">
        <f t="shared" si="441"/>
        <v>50274.649666666672</v>
      </c>
      <c r="L2389" s="9">
        <f t="shared" si="440"/>
        <v>51433.666777777784</v>
      </c>
      <c r="M2389" s="9">
        <f t="shared" si="451"/>
        <v>1.350469811155545E-2</v>
      </c>
      <c r="N2389" s="9">
        <f t="shared" si="442"/>
        <v>1.0570117337772068E-2</v>
      </c>
    </row>
    <row r="2390" spans="1:14" x14ac:dyDescent="0.35">
      <c r="A2390" s="1">
        <v>45866</v>
      </c>
      <c r="B2390" s="2" t="s">
        <v>2389</v>
      </c>
      <c r="C2390">
        <f t="shared" si="443"/>
        <v>50700.7</v>
      </c>
      <c r="D2390">
        <f t="shared" si="444"/>
        <v>2025</v>
      </c>
      <c r="E2390">
        <f t="shared" si="445"/>
        <v>7</v>
      </c>
      <c r="F2390" t="str">
        <f t="shared" si="447"/>
        <v>July</v>
      </c>
      <c r="G2390">
        <f t="shared" si="446"/>
        <v>28</v>
      </c>
      <c r="H2390" s="7">
        <f t="shared" si="448"/>
        <v>-0.5436674948041188</v>
      </c>
      <c r="I2390" s="9">
        <f t="shared" si="449"/>
        <v>-5.4515074493725179E-3</v>
      </c>
      <c r="J2390" s="9">
        <f t="shared" si="450"/>
        <v>50376.17</v>
      </c>
      <c r="K2390" s="9">
        <f t="shared" si="441"/>
        <v>50292.542333333338</v>
      </c>
      <c r="L2390" s="9">
        <f t="shared" si="440"/>
        <v>51410.857222222236</v>
      </c>
      <c r="M2390" s="9">
        <f t="shared" si="451"/>
        <v>1.3725995292892207E-2</v>
      </c>
      <c r="N2390" s="9">
        <f t="shared" si="442"/>
        <v>1.0569325521446488E-2</v>
      </c>
    </row>
    <row r="2391" spans="1:14" x14ac:dyDescent="0.35">
      <c r="A2391" s="1">
        <v>45867</v>
      </c>
      <c r="B2391" s="2" t="s">
        <v>2390</v>
      </c>
      <c r="C2391">
        <f t="shared" si="443"/>
        <v>50303.77</v>
      </c>
      <c r="D2391">
        <f t="shared" si="444"/>
        <v>2025</v>
      </c>
      <c r="E2391">
        <f t="shared" si="445"/>
        <v>7</v>
      </c>
      <c r="F2391" t="str">
        <f t="shared" si="447"/>
        <v>July</v>
      </c>
      <c r="G2391">
        <f t="shared" si="446"/>
        <v>29</v>
      </c>
      <c r="H2391" s="7">
        <f t="shared" si="448"/>
        <v>-0.78288859917121523</v>
      </c>
      <c r="I2391" s="9">
        <f t="shared" si="449"/>
        <v>-7.859692612669212E-3</v>
      </c>
      <c r="J2391" s="9">
        <f t="shared" si="450"/>
        <v>50418.877142857142</v>
      </c>
      <c r="K2391" s="9">
        <f t="shared" si="441"/>
        <v>50291.226666666676</v>
      </c>
      <c r="L2391" s="9">
        <f t="shared" si="440"/>
        <v>51385.888111111119</v>
      </c>
      <c r="M2391" s="9">
        <f t="shared" si="451"/>
        <v>1.3160325640962731E-2</v>
      </c>
      <c r="N2391" s="9">
        <f t="shared" si="442"/>
        <v>1.065510453418409E-2</v>
      </c>
    </row>
    <row r="2392" spans="1:14" x14ac:dyDescent="0.35">
      <c r="A2392" s="1">
        <v>45868</v>
      </c>
      <c r="B2392" s="2" t="s">
        <v>2391</v>
      </c>
      <c r="C2392">
        <f t="shared" si="443"/>
        <v>49686.1</v>
      </c>
      <c r="D2392">
        <f t="shared" si="444"/>
        <v>2025</v>
      </c>
      <c r="E2392">
        <f t="shared" si="445"/>
        <v>7</v>
      </c>
      <c r="F2392" t="str">
        <f t="shared" si="447"/>
        <v>July</v>
      </c>
      <c r="G2392">
        <f t="shared" si="446"/>
        <v>30</v>
      </c>
      <c r="H2392" s="7">
        <f t="shared" si="448"/>
        <v>-1.2278801370155721</v>
      </c>
      <c r="I2392" s="9">
        <f t="shared" si="449"/>
        <v>-1.2354808678302976E-2</v>
      </c>
      <c r="J2392" s="9">
        <f t="shared" si="450"/>
        <v>50455.432857142856</v>
      </c>
      <c r="K2392" s="9">
        <f t="shared" si="441"/>
        <v>50284.73033333334</v>
      </c>
      <c r="L2392" s="9">
        <f t="shared" si="440"/>
        <v>51351.856222222224</v>
      </c>
      <c r="M2392" s="9">
        <f t="shared" si="451"/>
        <v>1.3288431514800692E-2</v>
      </c>
      <c r="N2392" s="9">
        <f t="shared" si="442"/>
        <v>1.0763072353938098E-2</v>
      </c>
    </row>
    <row r="2393" spans="1:14" x14ac:dyDescent="0.35">
      <c r="A2393" s="1">
        <v>45869</v>
      </c>
      <c r="B2393" s="2" t="s">
        <v>2392</v>
      </c>
      <c r="C2393">
        <f t="shared" si="443"/>
        <v>50239.27</v>
      </c>
      <c r="D2393">
        <f t="shared" si="444"/>
        <v>2025</v>
      </c>
      <c r="E2393">
        <f t="shared" si="445"/>
        <v>7</v>
      </c>
      <c r="F2393" t="str">
        <f t="shared" si="447"/>
        <v>July</v>
      </c>
      <c r="G2393">
        <f t="shared" si="446"/>
        <v>31</v>
      </c>
      <c r="H2393" s="7">
        <f t="shared" si="448"/>
        <v>1.1133294824910756</v>
      </c>
      <c r="I2393" s="9">
        <f t="shared" si="449"/>
        <v>1.1071775882633018E-2</v>
      </c>
      <c r="J2393" s="9">
        <f t="shared" si="450"/>
        <v>50527.915714285722</v>
      </c>
      <c r="K2393" s="9">
        <f t="shared" si="441"/>
        <v>50302.995666666669</v>
      </c>
      <c r="L2393" s="9">
        <f t="shared" si="440"/>
        <v>51335.608111111113</v>
      </c>
      <c r="M2393" s="9">
        <f t="shared" si="451"/>
        <v>1.3748610638727465E-2</v>
      </c>
      <c r="N2393" s="9">
        <f t="shared" si="442"/>
        <v>1.0929300518090332E-2</v>
      </c>
    </row>
    <row r="2394" spans="1:14" x14ac:dyDescent="0.35">
      <c r="A2394" s="1">
        <v>45870</v>
      </c>
      <c r="B2394" s="2" t="s">
        <v>2393</v>
      </c>
      <c r="C2394">
        <f t="shared" si="443"/>
        <v>50384.87</v>
      </c>
      <c r="D2394">
        <f t="shared" si="444"/>
        <v>2025</v>
      </c>
      <c r="E2394">
        <f t="shared" si="445"/>
        <v>8</v>
      </c>
      <c r="F2394" t="str">
        <f t="shared" si="447"/>
        <v>August</v>
      </c>
      <c r="G2394">
        <f t="shared" si="446"/>
        <v>1</v>
      </c>
      <c r="H2394" s="7">
        <f t="shared" si="448"/>
        <v>0.28981312825605515</v>
      </c>
      <c r="I2394" s="9">
        <f t="shared" si="449"/>
        <v>2.8939397964601447E-3</v>
      </c>
      <c r="J2394" s="9">
        <f t="shared" si="450"/>
        <v>50540.794285714284</v>
      </c>
      <c r="K2394" s="9">
        <f t="shared" si="441"/>
        <v>50291.949666666667</v>
      </c>
      <c r="L2394" s="9">
        <f t="shared" si="440"/>
        <v>51321.001555555566</v>
      </c>
      <c r="M2394" s="9">
        <f t="shared" si="451"/>
        <v>1.3103024304536999E-2</v>
      </c>
      <c r="N2394" s="9">
        <f t="shared" si="442"/>
        <v>1.0269077760242261E-2</v>
      </c>
    </row>
    <row r="2395" spans="1:14" x14ac:dyDescent="0.35">
      <c r="A2395" s="1">
        <v>45873</v>
      </c>
      <c r="B2395" s="2" t="s">
        <v>2394</v>
      </c>
      <c r="C2395">
        <f t="shared" si="443"/>
        <v>51002.69</v>
      </c>
      <c r="D2395">
        <f t="shared" si="444"/>
        <v>2025</v>
      </c>
      <c r="E2395">
        <f t="shared" si="445"/>
        <v>8</v>
      </c>
      <c r="F2395" t="str">
        <f t="shared" si="447"/>
        <v>August</v>
      </c>
      <c r="G2395">
        <f t="shared" si="446"/>
        <v>4</v>
      </c>
      <c r="H2395" s="7">
        <f t="shared" si="448"/>
        <v>1.2262014370583862</v>
      </c>
      <c r="I2395" s="9">
        <f t="shared" si="449"/>
        <v>1.218744483533005E-2</v>
      </c>
      <c r="J2395" s="9">
        <f t="shared" si="450"/>
        <v>50470.75</v>
      </c>
      <c r="K2395" s="9">
        <f t="shared" si="441"/>
        <v>50297.397666666664</v>
      </c>
      <c r="L2395" s="9">
        <f t="shared" si="440"/>
        <v>51311.527222222234</v>
      </c>
      <c r="M2395" s="9">
        <f t="shared" si="451"/>
        <v>1.0096593596439229E-2</v>
      </c>
      <c r="N2395" s="9">
        <f t="shared" si="442"/>
        <v>1.0507665525548411E-2</v>
      </c>
    </row>
    <row r="2396" spans="1:14" x14ac:dyDescent="0.35">
      <c r="A2396" s="1">
        <v>45874</v>
      </c>
      <c r="B2396" s="2" t="s">
        <v>2395</v>
      </c>
      <c r="C2396">
        <f t="shared" si="443"/>
        <v>50590.080000000002</v>
      </c>
      <c r="D2396">
        <f t="shared" si="444"/>
        <v>2025</v>
      </c>
      <c r="E2396">
        <f t="shared" si="445"/>
        <v>8</v>
      </c>
      <c r="F2396" t="str">
        <f t="shared" si="447"/>
        <v>August</v>
      </c>
      <c r="G2396">
        <f t="shared" si="446"/>
        <v>5</v>
      </c>
      <c r="H2396" s="7">
        <f t="shared" si="448"/>
        <v>-0.80899654508419172</v>
      </c>
      <c r="I2396" s="9">
        <f t="shared" si="449"/>
        <v>-8.1228667886110439E-3</v>
      </c>
      <c r="J2396" s="9">
        <f t="shared" si="450"/>
        <v>50415.354285714289</v>
      </c>
      <c r="K2396" s="9">
        <f t="shared" si="441"/>
        <v>50299.471666666679</v>
      </c>
      <c r="L2396" s="9">
        <f t="shared" ref="L2396:L2459" si="452">AVERAGE(C2307:C2396)</f>
        <v>51303.97766666668</v>
      </c>
      <c r="M2396" s="9">
        <f t="shared" si="451"/>
        <v>9.8427614751197667E-3</v>
      </c>
      <c r="N2396" s="9">
        <f t="shared" si="442"/>
        <v>1.0554370375301882E-2</v>
      </c>
    </row>
    <row r="2397" spans="1:14" x14ac:dyDescent="0.35">
      <c r="A2397" s="1">
        <v>45875</v>
      </c>
      <c r="B2397" s="2" t="s">
        <v>2396</v>
      </c>
      <c r="C2397">
        <f t="shared" si="443"/>
        <v>50797.7</v>
      </c>
      <c r="D2397">
        <f t="shared" si="444"/>
        <v>2025</v>
      </c>
      <c r="E2397">
        <f t="shared" si="445"/>
        <v>8</v>
      </c>
      <c r="F2397" t="str">
        <f t="shared" si="447"/>
        <v>August</v>
      </c>
      <c r="G2397">
        <f t="shared" si="446"/>
        <v>6</v>
      </c>
      <c r="H2397" s="7">
        <f t="shared" si="448"/>
        <v>0.41039666274494002</v>
      </c>
      <c r="I2397" s="9">
        <f t="shared" si="449"/>
        <v>4.0955683261342168E-3</v>
      </c>
      <c r="J2397" s="9">
        <f t="shared" si="450"/>
        <v>50429.211428571427</v>
      </c>
      <c r="K2397" s="9">
        <f t="shared" si="441"/>
        <v>50296.064333333336</v>
      </c>
      <c r="L2397" s="9">
        <f t="shared" si="452"/>
        <v>51302.722000000016</v>
      </c>
      <c r="M2397" s="9">
        <f t="shared" si="451"/>
        <v>9.7991643400818455E-3</v>
      </c>
      <c r="N2397" s="9">
        <f t="shared" si="442"/>
        <v>1.0493532880929222E-2</v>
      </c>
    </row>
    <row r="2398" spans="1:14" x14ac:dyDescent="0.35">
      <c r="A2398" s="1">
        <v>45876</v>
      </c>
      <c r="B2398" s="2" t="s">
        <v>2397</v>
      </c>
      <c r="C2398">
        <f t="shared" si="443"/>
        <v>51139.66</v>
      </c>
      <c r="D2398">
        <f t="shared" si="444"/>
        <v>2025</v>
      </c>
      <c r="E2398">
        <f t="shared" si="445"/>
        <v>8</v>
      </c>
      <c r="F2398" t="str">
        <f t="shared" si="447"/>
        <v>August</v>
      </c>
      <c r="G2398">
        <f t="shared" si="446"/>
        <v>7</v>
      </c>
      <c r="H2398" s="7">
        <f t="shared" si="448"/>
        <v>0.67318008492511749</v>
      </c>
      <c r="I2398" s="9">
        <f t="shared" si="449"/>
        <v>6.7092434559127027E-3</v>
      </c>
      <c r="J2398" s="9">
        <f t="shared" si="450"/>
        <v>50548.624285714286</v>
      </c>
      <c r="K2398" s="9">
        <f t="shared" si="441"/>
        <v>50315.938333333332</v>
      </c>
      <c r="L2398" s="9">
        <f t="shared" si="452"/>
        <v>51300.940555555579</v>
      </c>
      <c r="M2398" s="9">
        <f t="shared" si="451"/>
        <v>9.3193596358651237E-3</v>
      </c>
      <c r="N2398" s="9">
        <f t="shared" si="442"/>
        <v>1.0479013128225464E-2</v>
      </c>
    </row>
    <row r="2399" spans="1:14" x14ac:dyDescent="0.35">
      <c r="A2399" s="1">
        <v>45877</v>
      </c>
      <c r="B2399" s="2" t="s">
        <v>2398</v>
      </c>
      <c r="C2399">
        <f t="shared" si="443"/>
        <v>51552.32</v>
      </c>
      <c r="D2399">
        <f t="shared" si="444"/>
        <v>2025</v>
      </c>
      <c r="E2399">
        <f t="shared" si="445"/>
        <v>8</v>
      </c>
      <c r="F2399" t="str">
        <f t="shared" si="447"/>
        <v>August</v>
      </c>
      <c r="G2399">
        <f t="shared" si="446"/>
        <v>8</v>
      </c>
      <c r="H2399" s="7">
        <f t="shared" si="448"/>
        <v>0.80692753921319804</v>
      </c>
      <c r="I2399" s="9">
        <f t="shared" si="449"/>
        <v>8.0368928751145159E-3</v>
      </c>
      <c r="J2399" s="9">
        <f t="shared" si="450"/>
        <v>50815.227142857148</v>
      </c>
      <c r="K2399" s="9">
        <f t="shared" si="441"/>
        <v>50385.146999999997</v>
      </c>
      <c r="L2399" s="9">
        <f t="shared" si="452"/>
        <v>51302.879888888921</v>
      </c>
      <c r="M2399" s="9">
        <f t="shared" si="451"/>
        <v>6.802359280925486E-3</v>
      </c>
      <c r="N2399" s="9">
        <f t="shared" si="442"/>
        <v>9.7233294756972812E-3</v>
      </c>
    </row>
    <row r="2400" spans="1:14" x14ac:dyDescent="0.35">
      <c r="A2400" s="1">
        <v>45880</v>
      </c>
      <c r="B2400" s="2" t="s">
        <v>2399</v>
      </c>
      <c r="C2400">
        <f t="shared" si="443"/>
        <v>51749.86</v>
      </c>
      <c r="D2400">
        <f t="shared" si="444"/>
        <v>2025</v>
      </c>
      <c r="E2400">
        <f t="shared" si="445"/>
        <v>8</v>
      </c>
      <c r="F2400" t="str">
        <f t="shared" si="447"/>
        <v>August</v>
      </c>
      <c r="G2400">
        <f t="shared" si="446"/>
        <v>11</v>
      </c>
      <c r="H2400" s="7">
        <f t="shared" si="448"/>
        <v>0.38318353082848816</v>
      </c>
      <c r="I2400" s="9">
        <f t="shared" si="449"/>
        <v>3.8245125278678696E-3</v>
      </c>
      <c r="J2400" s="9">
        <f t="shared" si="450"/>
        <v>51031.025714285715</v>
      </c>
      <c r="K2400" s="9">
        <f t="shared" ref="K2400:K2463" si="453">AVERAGE(C2371:C2400)</f>
        <v>50478.945666666674</v>
      </c>
      <c r="L2400" s="9">
        <f t="shared" si="452"/>
        <v>51305.676777777822</v>
      </c>
      <c r="M2400" s="9">
        <f t="shared" si="451"/>
        <v>6.3050356263328377E-3</v>
      </c>
      <c r="N2400" s="9">
        <f t="shared" si="442"/>
        <v>9.4467651391711392E-3</v>
      </c>
    </row>
    <row r="2401" spans="1:14" x14ac:dyDescent="0.35">
      <c r="A2401" s="1">
        <v>45881</v>
      </c>
      <c r="B2401" s="2" t="s">
        <v>2400</v>
      </c>
      <c r="C2401">
        <f t="shared" si="443"/>
        <v>51683.39</v>
      </c>
      <c r="D2401">
        <f t="shared" si="444"/>
        <v>2025</v>
      </c>
      <c r="E2401">
        <f t="shared" si="445"/>
        <v>8</v>
      </c>
      <c r="F2401" t="str">
        <f t="shared" si="447"/>
        <v>August</v>
      </c>
      <c r="G2401">
        <f t="shared" si="446"/>
        <v>12</v>
      </c>
      <c r="H2401" s="7">
        <f t="shared" si="448"/>
        <v>-0.12844479192794175</v>
      </c>
      <c r="I2401" s="9">
        <f t="shared" si="449"/>
        <v>-1.285273529552723E-3</v>
      </c>
      <c r="J2401" s="9">
        <f t="shared" si="450"/>
        <v>51216.528571428571</v>
      </c>
      <c r="K2401" s="9">
        <f t="shared" si="453"/>
        <v>50544.606666666667</v>
      </c>
      <c r="L2401" s="9">
        <f t="shared" si="452"/>
        <v>51305.396555555599</v>
      </c>
      <c r="M2401" s="9">
        <f t="shared" si="451"/>
        <v>6.6417430887065155E-3</v>
      </c>
      <c r="N2401" s="9">
        <f t="shared" ref="N2401:N2464" si="454">STDEV(I2372:I2401)</f>
        <v>9.0875749853956567E-3</v>
      </c>
    </row>
    <row r="2402" spans="1:14" x14ac:dyDescent="0.35">
      <c r="A2402" s="1">
        <v>45882</v>
      </c>
      <c r="B2402" s="2" t="s">
        <v>2401</v>
      </c>
      <c r="C2402">
        <f t="shared" si="443"/>
        <v>51629.23</v>
      </c>
      <c r="D2402">
        <f t="shared" si="444"/>
        <v>2025</v>
      </c>
      <c r="E2402">
        <f t="shared" si="445"/>
        <v>8</v>
      </c>
      <c r="F2402" t="str">
        <f t="shared" si="447"/>
        <v>August</v>
      </c>
      <c r="G2402">
        <f t="shared" si="446"/>
        <v>13</v>
      </c>
      <c r="H2402" s="7">
        <f t="shared" si="448"/>
        <v>-0.10479188768383076</v>
      </c>
      <c r="I2402" s="9">
        <f t="shared" si="449"/>
        <v>-1.048468327711356E-3</v>
      </c>
      <c r="J2402" s="9">
        <f t="shared" si="450"/>
        <v>51306.034285714282</v>
      </c>
      <c r="K2402" s="9">
        <f t="shared" si="453"/>
        <v>50623.710999999996</v>
      </c>
      <c r="L2402" s="9">
        <f t="shared" si="452"/>
        <v>51302.463666666714</v>
      </c>
      <c r="M2402" s="9">
        <f t="shared" si="451"/>
        <v>5.6041946584371215E-3</v>
      </c>
      <c r="N2402" s="9">
        <f t="shared" si="454"/>
        <v>8.8806319325150061E-3</v>
      </c>
    </row>
    <row r="2403" spans="1:14" x14ac:dyDescent="0.35">
      <c r="A2403" s="1">
        <v>45883</v>
      </c>
      <c r="B2403" s="2" t="s">
        <v>2402</v>
      </c>
      <c r="C2403">
        <f t="shared" si="443"/>
        <v>51420.66</v>
      </c>
      <c r="D2403">
        <f t="shared" si="444"/>
        <v>2025</v>
      </c>
      <c r="E2403">
        <f t="shared" si="445"/>
        <v>8</v>
      </c>
      <c r="F2403" t="str">
        <f t="shared" si="447"/>
        <v>August</v>
      </c>
      <c r="G2403">
        <f t="shared" si="446"/>
        <v>14</v>
      </c>
      <c r="H2403" s="7">
        <f t="shared" si="448"/>
        <v>-0.40397658458202784</v>
      </c>
      <c r="I2403" s="9">
        <f t="shared" si="449"/>
        <v>-4.0479477425971059E-3</v>
      </c>
      <c r="J2403" s="9">
        <f t="shared" si="450"/>
        <v>51424.688571428567</v>
      </c>
      <c r="K2403" s="9">
        <f t="shared" si="453"/>
        <v>50673.499666666656</v>
      </c>
      <c r="L2403" s="9">
        <f t="shared" si="452"/>
        <v>51299.557777777824</v>
      </c>
      <c r="M2403" s="9">
        <f t="shared" si="451"/>
        <v>4.5140442767458936E-3</v>
      </c>
      <c r="N2403" s="9">
        <f t="shared" si="454"/>
        <v>8.6409259515188297E-3</v>
      </c>
    </row>
    <row r="2404" spans="1:14" x14ac:dyDescent="0.35">
      <c r="A2404" s="1">
        <v>45884</v>
      </c>
      <c r="B2404" s="2" t="s">
        <v>2403</v>
      </c>
      <c r="C2404">
        <f t="shared" si="443"/>
        <v>51504.87</v>
      </c>
      <c r="D2404">
        <f t="shared" si="444"/>
        <v>2025</v>
      </c>
      <c r="E2404">
        <f t="shared" si="445"/>
        <v>8</v>
      </c>
      <c r="F2404" t="str">
        <f t="shared" si="447"/>
        <v>August</v>
      </c>
      <c r="G2404">
        <f t="shared" si="446"/>
        <v>15</v>
      </c>
      <c r="H2404" s="7">
        <f t="shared" si="448"/>
        <v>0.16376685946854652</v>
      </c>
      <c r="I2404" s="9">
        <f t="shared" si="449"/>
        <v>1.6363290777296508E-3</v>
      </c>
      <c r="J2404" s="9">
        <f t="shared" si="450"/>
        <v>51525.712857142862</v>
      </c>
      <c r="K2404" s="9">
        <f t="shared" si="453"/>
        <v>50716.680999999997</v>
      </c>
      <c r="L2404" s="9">
        <f t="shared" si="452"/>
        <v>51303.544666666705</v>
      </c>
      <c r="M2404" s="9">
        <f t="shared" si="451"/>
        <v>4.4486260918007526E-3</v>
      </c>
      <c r="N2404" s="9">
        <f t="shared" si="454"/>
        <v>8.5973037696403642E-3</v>
      </c>
    </row>
    <row r="2405" spans="1:14" x14ac:dyDescent="0.35">
      <c r="A2405" s="1">
        <v>45887</v>
      </c>
      <c r="B2405" s="2" t="s">
        <v>2404</v>
      </c>
      <c r="C2405">
        <f t="shared" si="443"/>
        <v>51126.79</v>
      </c>
      <c r="D2405">
        <f t="shared" si="444"/>
        <v>2025</v>
      </c>
      <c r="E2405">
        <f t="shared" si="445"/>
        <v>8</v>
      </c>
      <c r="F2405" t="str">
        <f t="shared" si="447"/>
        <v>August</v>
      </c>
      <c r="G2405">
        <f t="shared" si="446"/>
        <v>18</v>
      </c>
      <c r="H2405" s="7">
        <f t="shared" si="448"/>
        <v>-0.7340665067206299</v>
      </c>
      <c r="I2405" s="9">
        <f t="shared" si="449"/>
        <v>-7.3677403306868445E-3</v>
      </c>
      <c r="J2405" s="9">
        <f t="shared" si="450"/>
        <v>51523.874285714286</v>
      </c>
      <c r="K2405" s="9">
        <f t="shared" si="453"/>
        <v>50748.998</v>
      </c>
      <c r="L2405" s="9">
        <f t="shared" si="452"/>
        <v>51299.429444444482</v>
      </c>
      <c r="M2405" s="9">
        <f t="shared" si="451"/>
        <v>5.0876936214437956E-3</v>
      </c>
      <c r="N2405" s="9">
        <f t="shared" si="454"/>
        <v>8.7219725618244946E-3</v>
      </c>
    </row>
    <row r="2406" spans="1:14" x14ac:dyDescent="0.35">
      <c r="A2406" s="1">
        <v>45888</v>
      </c>
      <c r="B2406" s="2" t="s">
        <v>2405</v>
      </c>
      <c r="C2406">
        <f t="shared" si="443"/>
        <v>50769.01</v>
      </c>
      <c r="D2406">
        <f t="shared" si="444"/>
        <v>2025</v>
      </c>
      <c r="E2406">
        <f t="shared" si="445"/>
        <v>8</v>
      </c>
      <c r="F2406" t="str">
        <f t="shared" si="447"/>
        <v>August</v>
      </c>
      <c r="G2406">
        <f t="shared" si="446"/>
        <v>19</v>
      </c>
      <c r="H2406" s="7">
        <f t="shared" si="448"/>
        <v>-0.69978967973541628</v>
      </c>
      <c r="I2406" s="9">
        <f t="shared" si="449"/>
        <v>-7.0224969103597316E-3</v>
      </c>
      <c r="J2406" s="9">
        <f t="shared" si="450"/>
        <v>51411.972857142857</v>
      </c>
      <c r="K2406" s="9">
        <f t="shared" si="453"/>
        <v>50768.177000000003</v>
      </c>
      <c r="L2406" s="9">
        <f t="shared" si="452"/>
        <v>51290.086666666699</v>
      </c>
      <c r="M2406" s="9">
        <f t="shared" si="451"/>
        <v>4.2140779879123371E-3</v>
      </c>
      <c r="N2406" s="9">
        <f t="shared" si="454"/>
        <v>8.8333010319307705E-3</v>
      </c>
    </row>
    <row r="2407" spans="1:14" x14ac:dyDescent="0.35">
      <c r="A2407" s="1">
        <v>45889</v>
      </c>
      <c r="B2407" s="2" t="s">
        <v>2406</v>
      </c>
      <c r="C2407">
        <f t="shared" si="443"/>
        <v>51146.78</v>
      </c>
      <c r="D2407">
        <f t="shared" si="444"/>
        <v>2025</v>
      </c>
      <c r="E2407">
        <f t="shared" si="445"/>
        <v>8</v>
      </c>
      <c r="F2407" t="str">
        <f t="shared" si="447"/>
        <v>August</v>
      </c>
      <c r="G2407">
        <f t="shared" si="446"/>
        <v>20</v>
      </c>
      <c r="H2407" s="7">
        <f t="shared" si="448"/>
        <v>0.74409565993112092</v>
      </c>
      <c r="I2407" s="9">
        <f t="shared" si="449"/>
        <v>7.4134092497756118E-3</v>
      </c>
      <c r="J2407" s="9">
        <f t="shared" si="450"/>
        <v>51325.818571428572</v>
      </c>
      <c r="K2407" s="9">
        <f t="shared" si="453"/>
        <v>50783.199666666667</v>
      </c>
      <c r="L2407" s="9">
        <f t="shared" si="452"/>
        <v>51278.572000000036</v>
      </c>
      <c r="M2407" s="9">
        <f t="shared" si="451"/>
        <v>5.1759444733851384E-3</v>
      </c>
      <c r="N2407" s="9">
        <f t="shared" si="454"/>
        <v>8.7498811171132489E-3</v>
      </c>
    </row>
    <row r="2408" spans="1:14" x14ac:dyDescent="0.35">
      <c r="A2408" s="1">
        <v>45890</v>
      </c>
      <c r="B2408" s="2" t="s">
        <v>2407</v>
      </c>
      <c r="C2408">
        <f t="shared" si="443"/>
        <v>50494.51</v>
      </c>
      <c r="D2408">
        <f t="shared" si="444"/>
        <v>2025</v>
      </c>
      <c r="E2408">
        <f t="shared" si="445"/>
        <v>8</v>
      </c>
      <c r="F2408" t="str">
        <f t="shared" si="447"/>
        <v>August</v>
      </c>
      <c r="G2408">
        <f t="shared" si="446"/>
        <v>21</v>
      </c>
      <c r="H2408" s="7">
        <f t="shared" si="448"/>
        <v>-1.2752904483918575</v>
      </c>
      <c r="I2408" s="9">
        <f t="shared" si="449"/>
        <v>-1.283492081405237E-2</v>
      </c>
      <c r="J2408" s="9">
        <f t="shared" si="450"/>
        <v>51155.978571428575</v>
      </c>
      <c r="K2408" s="9">
        <f t="shared" si="453"/>
        <v>50780.969000000005</v>
      </c>
      <c r="L2408" s="9">
        <f t="shared" si="452"/>
        <v>51260.860333333352</v>
      </c>
      <c r="M2408" s="9">
        <f t="shared" si="451"/>
        <v>6.6594205775148503E-3</v>
      </c>
      <c r="N2408" s="9">
        <f t="shared" si="454"/>
        <v>9.0600765451287583E-3</v>
      </c>
    </row>
    <row r="2409" spans="1:14" x14ac:dyDescent="0.35">
      <c r="A2409" s="1">
        <v>45891</v>
      </c>
      <c r="B2409" s="2" t="s">
        <v>2408</v>
      </c>
      <c r="C2409">
        <f t="shared" si="443"/>
        <v>51548.13</v>
      </c>
      <c r="D2409">
        <f t="shared" si="444"/>
        <v>2025</v>
      </c>
      <c r="E2409">
        <f t="shared" si="445"/>
        <v>8</v>
      </c>
      <c r="F2409" t="str">
        <f t="shared" si="447"/>
        <v>August</v>
      </c>
      <c r="G2409">
        <f t="shared" si="446"/>
        <v>22</v>
      </c>
      <c r="H2409" s="7">
        <f t="shared" si="448"/>
        <v>2.0866030782356249</v>
      </c>
      <c r="I2409" s="9">
        <f t="shared" si="449"/>
        <v>2.0651316843926164E-2</v>
      </c>
      <c r="J2409" s="9">
        <f t="shared" si="450"/>
        <v>51144.392857142855</v>
      </c>
      <c r="K2409" s="9">
        <f t="shared" si="453"/>
        <v>50812.025666666661</v>
      </c>
      <c r="L2409" s="9">
        <f t="shared" si="452"/>
        <v>51249.321666666692</v>
      </c>
      <c r="M2409" s="9">
        <f t="shared" si="451"/>
        <v>1.1317244817719832E-2</v>
      </c>
      <c r="N2409" s="9">
        <f t="shared" si="454"/>
        <v>9.8168195282990617E-3</v>
      </c>
    </row>
    <row r="2410" spans="1:14" x14ac:dyDescent="0.35">
      <c r="A2410" s="1">
        <v>45894</v>
      </c>
      <c r="B2410" s="2" t="s">
        <v>2409</v>
      </c>
      <c r="C2410">
        <f t="shared" si="443"/>
        <v>51898.82</v>
      </c>
      <c r="D2410">
        <f t="shared" si="444"/>
        <v>2025</v>
      </c>
      <c r="E2410">
        <f t="shared" si="445"/>
        <v>8</v>
      </c>
      <c r="F2410" t="str">
        <f t="shared" si="447"/>
        <v>August</v>
      </c>
      <c r="G2410">
        <f t="shared" si="446"/>
        <v>25</v>
      </c>
      <c r="H2410" s="7">
        <f t="shared" si="448"/>
        <v>0.68031565839537211</v>
      </c>
      <c r="I2410" s="9">
        <f t="shared" si="449"/>
        <v>6.7801195382662461E-3</v>
      </c>
      <c r="J2410" s="9">
        <f t="shared" si="450"/>
        <v>51212.701428571432</v>
      </c>
      <c r="K2410" s="9">
        <f t="shared" si="453"/>
        <v>50838.061666666661</v>
      </c>
      <c r="L2410" s="9">
        <f t="shared" si="452"/>
        <v>51241.990666666687</v>
      </c>
      <c r="M2410" s="9">
        <f t="shared" si="451"/>
        <v>1.1446820883403847E-2</v>
      </c>
      <c r="N2410" s="9">
        <f t="shared" si="454"/>
        <v>9.7326225170730786E-3</v>
      </c>
    </row>
    <row r="2411" spans="1:14" x14ac:dyDescent="0.35">
      <c r="A2411" s="1">
        <v>45895</v>
      </c>
      <c r="B2411" s="2" t="s">
        <v>2410</v>
      </c>
      <c r="C2411">
        <f t="shared" si="443"/>
        <v>51675.51</v>
      </c>
      <c r="D2411">
        <f t="shared" si="444"/>
        <v>2025</v>
      </c>
      <c r="E2411">
        <f t="shared" si="445"/>
        <v>8</v>
      </c>
      <c r="F2411" t="str">
        <f t="shared" si="447"/>
        <v>August</v>
      </c>
      <c r="G2411">
        <f t="shared" si="446"/>
        <v>26</v>
      </c>
      <c r="H2411" s="7">
        <f t="shared" si="448"/>
        <v>-0.43027953236701272</v>
      </c>
      <c r="I2411" s="9">
        <f t="shared" si="449"/>
        <v>-4.3120789875098712E-3</v>
      </c>
      <c r="J2411" s="9">
        <f t="shared" si="450"/>
        <v>51237.078571428581</v>
      </c>
      <c r="K2411" s="9">
        <f t="shared" si="453"/>
        <v>50874.028000000006</v>
      </c>
      <c r="L2411" s="9">
        <f t="shared" si="452"/>
        <v>51235.901444444455</v>
      </c>
      <c r="M2411" s="9">
        <f t="shared" si="451"/>
        <v>1.16388066871952E-2</v>
      </c>
      <c r="N2411" s="9">
        <f t="shared" si="454"/>
        <v>9.5653357277698577E-3</v>
      </c>
    </row>
    <row r="2412" spans="1:14" x14ac:dyDescent="0.35">
      <c r="A2412" s="1">
        <v>45896</v>
      </c>
      <c r="B2412" s="2" t="s">
        <v>2411</v>
      </c>
      <c r="C2412">
        <f t="shared" si="443"/>
        <v>51662.07</v>
      </c>
      <c r="D2412">
        <f t="shared" si="444"/>
        <v>2025</v>
      </c>
      <c r="E2412">
        <f t="shared" si="445"/>
        <v>8</v>
      </c>
      <c r="F2412" t="str">
        <f t="shared" si="447"/>
        <v>August</v>
      </c>
      <c r="G2412">
        <f t="shared" si="446"/>
        <v>27</v>
      </c>
      <c r="H2412" s="7">
        <f t="shared" si="448"/>
        <v>-2.6008451585678258E-2</v>
      </c>
      <c r="I2412" s="9">
        <f t="shared" si="449"/>
        <v>-2.6011834370001565E-4</v>
      </c>
      <c r="J2412" s="9">
        <f t="shared" si="450"/>
        <v>51313.547142857147</v>
      </c>
      <c r="K2412" s="9">
        <f t="shared" si="453"/>
        <v>50908.561666666668</v>
      </c>
      <c r="L2412" s="9">
        <f t="shared" si="452"/>
        <v>51225.631444444458</v>
      </c>
      <c r="M2412" s="9">
        <f t="shared" si="451"/>
        <v>1.1140176305251695E-2</v>
      </c>
      <c r="N2412" s="9">
        <f t="shared" si="454"/>
        <v>9.5669402600482983E-3</v>
      </c>
    </row>
    <row r="2413" spans="1:14" x14ac:dyDescent="0.35">
      <c r="A2413" s="1">
        <v>45897</v>
      </c>
      <c r="B2413" s="2" t="s">
        <v>2412</v>
      </c>
      <c r="C2413">
        <f t="shared" si="443"/>
        <v>51610.78</v>
      </c>
      <c r="D2413">
        <f t="shared" si="444"/>
        <v>2025</v>
      </c>
      <c r="E2413">
        <f t="shared" si="445"/>
        <v>8</v>
      </c>
      <c r="F2413" t="str">
        <f t="shared" si="447"/>
        <v>August</v>
      </c>
      <c r="G2413">
        <f t="shared" si="446"/>
        <v>28</v>
      </c>
      <c r="H2413" s="7">
        <f t="shared" si="448"/>
        <v>-9.927980044160227E-2</v>
      </c>
      <c r="I2413" s="9">
        <f t="shared" si="449"/>
        <v>-9.9329115478092125E-4</v>
      </c>
      <c r="J2413" s="9">
        <f t="shared" si="450"/>
        <v>51433.799999999996</v>
      </c>
      <c r="K2413" s="9">
        <f t="shared" si="453"/>
        <v>50941.668666666679</v>
      </c>
      <c r="L2413" s="9">
        <f t="shared" si="452"/>
        <v>51215.916111111132</v>
      </c>
      <c r="M2413" s="9">
        <f t="shared" si="451"/>
        <v>1.059211732242722E-2</v>
      </c>
      <c r="N2413" s="9">
        <f t="shared" si="454"/>
        <v>9.5706353119643425E-3</v>
      </c>
    </row>
    <row r="2414" spans="1:14" x14ac:dyDescent="0.35">
      <c r="A2414" s="1">
        <v>45898</v>
      </c>
      <c r="B2414" s="2" t="s">
        <v>2413</v>
      </c>
      <c r="C2414">
        <f t="shared" si="443"/>
        <v>51868.53</v>
      </c>
      <c r="D2414">
        <f t="shared" si="444"/>
        <v>2025</v>
      </c>
      <c r="E2414">
        <f t="shared" si="445"/>
        <v>8</v>
      </c>
      <c r="F2414" t="str">
        <f t="shared" si="447"/>
        <v>August</v>
      </c>
      <c r="G2414">
        <f t="shared" si="446"/>
        <v>29</v>
      </c>
      <c r="H2414" s="7">
        <f t="shared" si="448"/>
        <v>0.49941116952698639</v>
      </c>
      <c r="I2414" s="9">
        <f t="shared" si="449"/>
        <v>4.981682484193283E-3</v>
      </c>
      <c r="J2414" s="9">
        <f t="shared" si="450"/>
        <v>51536.907142857141</v>
      </c>
      <c r="K2414" s="9">
        <f t="shared" si="453"/>
        <v>51003.792333333331</v>
      </c>
      <c r="L2414" s="9">
        <f t="shared" si="452"/>
        <v>51209.281555555586</v>
      </c>
      <c r="M2414" s="9">
        <f t="shared" si="451"/>
        <v>1.0437087027691336E-2</v>
      </c>
      <c r="N2414" s="9">
        <f t="shared" si="454"/>
        <v>9.2861545941424952E-3</v>
      </c>
    </row>
    <row r="2415" spans="1:14" x14ac:dyDescent="0.35">
      <c r="A2415" s="1">
        <v>45901</v>
      </c>
      <c r="B2415" s="2" t="s">
        <v>2414</v>
      </c>
      <c r="C2415">
        <f t="shared" si="443"/>
        <v>52040.85</v>
      </c>
      <c r="D2415">
        <f t="shared" si="444"/>
        <v>2025</v>
      </c>
      <c r="E2415">
        <f t="shared" si="445"/>
        <v>9</v>
      </c>
      <c r="F2415" t="str">
        <f t="shared" si="447"/>
        <v>September</v>
      </c>
      <c r="G2415">
        <f t="shared" si="446"/>
        <v>1</v>
      </c>
      <c r="H2415" s="7">
        <f t="shared" si="448"/>
        <v>0.33222456853895749</v>
      </c>
      <c r="I2415" s="9">
        <f t="shared" si="449"/>
        <v>3.3167392197099793E-3</v>
      </c>
      <c r="J2415" s="9">
        <f t="shared" si="450"/>
        <v>51757.812857142846</v>
      </c>
      <c r="K2415" s="9">
        <f t="shared" si="453"/>
        <v>51090.813666666669</v>
      </c>
      <c r="L2415" s="9">
        <f t="shared" si="452"/>
        <v>51199.105333333348</v>
      </c>
      <c r="M2415" s="9">
        <f t="shared" si="451"/>
        <v>8.1438010305388345E-3</v>
      </c>
      <c r="N2415" s="9">
        <f t="shared" si="454"/>
        <v>8.9721949098735421E-3</v>
      </c>
    </row>
    <row r="2416" spans="1:14" x14ac:dyDescent="0.35">
      <c r="A2416" s="1">
        <v>45902</v>
      </c>
      <c r="B2416" s="2" t="s">
        <v>2415</v>
      </c>
      <c r="C2416">
        <f t="shared" si="443"/>
        <v>51658.99</v>
      </c>
      <c r="D2416">
        <f t="shared" si="444"/>
        <v>2025</v>
      </c>
      <c r="E2416">
        <f t="shared" si="445"/>
        <v>9</v>
      </c>
      <c r="F2416" t="str">
        <f t="shared" si="447"/>
        <v>September</v>
      </c>
      <c r="G2416">
        <f t="shared" si="446"/>
        <v>2</v>
      </c>
      <c r="H2416" s="7">
        <f t="shared" si="448"/>
        <v>-0.73376972128625984</v>
      </c>
      <c r="I2416" s="9">
        <f t="shared" si="449"/>
        <v>-7.3647505336813194E-3</v>
      </c>
      <c r="J2416" s="9">
        <f t="shared" si="450"/>
        <v>51773.65</v>
      </c>
      <c r="K2416" s="9">
        <f t="shared" si="453"/>
        <v>51155.05033333334</v>
      </c>
      <c r="L2416" s="9">
        <f t="shared" si="452"/>
        <v>51187.679777777805</v>
      </c>
      <c r="M2416" s="9">
        <f t="shared" si="451"/>
        <v>5.082920588150565E-3</v>
      </c>
      <c r="N2416" s="9">
        <f t="shared" si="454"/>
        <v>9.0817029883069628E-3</v>
      </c>
    </row>
    <row r="2417" spans="1:14" x14ac:dyDescent="0.35">
      <c r="A2417" s="1">
        <v>45903</v>
      </c>
      <c r="B2417" s="2" t="s">
        <v>2416</v>
      </c>
      <c r="C2417">
        <f t="shared" si="443"/>
        <v>51949.83</v>
      </c>
      <c r="D2417">
        <f t="shared" si="444"/>
        <v>2025</v>
      </c>
      <c r="E2417">
        <f t="shared" si="445"/>
        <v>9</v>
      </c>
      <c r="F2417" t="str">
        <f t="shared" si="447"/>
        <v>September</v>
      </c>
      <c r="G2417">
        <f t="shared" si="446"/>
        <v>3</v>
      </c>
      <c r="H2417" s="7">
        <f t="shared" si="448"/>
        <v>0.56299977990278904</v>
      </c>
      <c r="I2417" s="9">
        <f t="shared" si="449"/>
        <v>5.6142085958183511E-3</v>
      </c>
      <c r="J2417" s="9">
        <f t="shared" si="450"/>
        <v>51780.937142857139</v>
      </c>
      <c r="K2417" s="9">
        <f t="shared" si="453"/>
        <v>51210.220666666675</v>
      </c>
      <c r="L2417" s="9">
        <f t="shared" si="452"/>
        <v>51188.185222222244</v>
      </c>
      <c r="M2417" s="9">
        <f t="shared" si="451"/>
        <v>4.8491795129986916E-3</v>
      </c>
      <c r="N2417" s="9">
        <f t="shared" si="454"/>
        <v>8.9248759780731074E-3</v>
      </c>
    </row>
    <row r="2418" spans="1:14" x14ac:dyDescent="0.35">
      <c r="A2418" s="1">
        <v>45904</v>
      </c>
      <c r="B2418" s="2" t="s">
        <v>2417</v>
      </c>
      <c r="C2418">
        <f t="shared" si="443"/>
        <v>52698.58</v>
      </c>
      <c r="D2418">
        <f t="shared" si="444"/>
        <v>2025</v>
      </c>
      <c r="E2418">
        <f t="shared" si="445"/>
        <v>9</v>
      </c>
      <c r="F2418" t="str">
        <f t="shared" si="447"/>
        <v>September</v>
      </c>
      <c r="G2418">
        <f t="shared" si="446"/>
        <v>4</v>
      </c>
      <c r="H2418" s="7">
        <f t="shared" si="448"/>
        <v>1.4412944180953047</v>
      </c>
      <c r="I2418" s="9">
        <f t="shared" si="449"/>
        <v>1.4310065050161086E-2</v>
      </c>
      <c r="J2418" s="9">
        <f t="shared" si="450"/>
        <v>51927.090000000004</v>
      </c>
      <c r="K2418" s="9">
        <f t="shared" si="453"/>
        <v>51250.406666666684</v>
      </c>
      <c r="L2418" s="9">
        <f t="shared" si="452"/>
        <v>51198.130777777791</v>
      </c>
      <c r="M2418" s="9">
        <f t="shared" si="451"/>
        <v>6.7392341045880867E-3</v>
      </c>
      <c r="N2418" s="9">
        <f t="shared" si="454"/>
        <v>8.2575271884139483E-3</v>
      </c>
    </row>
    <row r="2419" spans="1:14" x14ac:dyDescent="0.35">
      <c r="A2419" s="1">
        <v>45905</v>
      </c>
      <c r="B2419" s="2" t="s">
        <v>2418</v>
      </c>
      <c r="C2419">
        <f t="shared" si="443"/>
        <v>51773.5</v>
      </c>
      <c r="D2419">
        <f t="shared" si="444"/>
        <v>2025</v>
      </c>
      <c r="E2419">
        <f t="shared" si="445"/>
        <v>9</v>
      </c>
      <c r="F2419" t="str">
        <f t="shared" si="447"/>
        <v>September</v>
      </c>
      <c r="G2419">
        <f t="shared" si="446"/>
        <v>5</v>
      </c>
      <c r="H2419" s="7">
        <f t="shared" si="448"/>
        <v>-1.7554173186450219</v>
      </c>
      <c r="I2419" s="9">
        <f t="shared" si="449"/>
        <v>-1.7710074862139099E-2</v>
      </c>
      <c r="J2419" s="9">
        <f t="shared" si="450"/>
        <v>51943.008571428574</v>
      </c>
      <c r="K2419" s="9">
        <f t="shared" si="453"/>
        <v>51276.928333333351</v>
      </c>
      <c r="L2419" s="9">
        <f t="shared" si="452"/>
        <v>51193.592888888903</v>
      </c>
      <c r="M2419" s="9">
        <f t="shared" si="451"/>
        <v>1.0330577394780325E-2</v>
      </c>
      <c r="N2419" s="9">
        <f t="shared" si="454"/>
        <v>8.7095354653995861E-3</v>
      </c>
    </row>
    <row r="2420" spans="1:14" x14ac:dyDescent="0.35">
      <c r="A2420" s="1">
        <v>45908</v>
      </c>
      <c r="B2420" s="2" t="s">
        <v>2419</v>
      </c>
      <c r="C2420">
        <f t="shared" si="443"/>
        <v>50899.66</v>
      </c>
      <c r="D2420">
        <f t="shared" si="444"/>
        <v>2025</v>
      </c>
      <c r="E2420">
        <f t="shared" si="445"/>
        <v>9</v>
      </c>
      <c r="F2420" t="str">
        <f t="shared" si="447"/>
        <v>September</v>
      </c>
      <c r="G2420">
        <f t="shared" si="446"/>
        <v>8</v>
      </c>
      <c r="H2420" s="7">
        <f t="shared" si="448"/>
        <v>-1.6878132635421528</v>
      </c>
      <c r="I2420" s="9">
        <f t="shared" si="449"/>
        <v>-1.7022191580694509E-2</v>
      </c>
      <c r="J2420" s="9">
        <f t="shared" si="450"/>
        <v>51841.420000000006</v>
      </c>
      <c r="K2420" s="9">
        <f t="shared" si="453"/>
        <v>51283.560333333342</v>
      </c>
      <c r="L2420" s="9">
        <f t="shared" si="452"/>
        <v>51179.68733333335</v>
      </c>
      <c r="M2420" s="9">
        <f t="shared" si="451"/>
        <v>1.2262795933467028E-2</v>
      </c>
      <c r="N2420" s="9">
        <f t="shared" si="454"/>
        <v>9.2239271361294201E-3</v>
      </c>
    </row>
    <row r="2421" spans="1:14" x14ac:dyDescent="0.35">
      <c r="A2421" s="1">
        <v>45909</v>
      </c>
      <c r="B2421" s="2" t="s">
        <v>2420</v>
      </c>
      <c r="C2421">
        <f t="shared" si="443"/>
        <v>51479.8</v>
      </c>
      <c r="D2421">
        <f t="shared" si="444"/>
        <v>2025</v>
      </c>
      <c r="E2421">
        <f t="shared" si="445"/>
        <v>9</v>
      </c>
      <c r="F2421" t="str">
        <f t="shared" si="447"/>
        <v>September</v>
      </c>
      <c r="G2421">
        <f t="shared" si="446"/>
        <v>9</v>
      </c>
      <c r="H2421" s="7">
        <f t="shared" si="448"/>
        <v>1.1397718570222264</v>
      </c>
      <c r="I2421" s="9">
        <f t="shared" si="449"/>
        <v>1.1333253946570582E-2</v>
      </c>
      <c r="J2421" s="9">
        <f t="shared" si="450"/>
        <v>51785.887142857144</v>
      </c>
      <c r="K2421" s="9">
        <f t="shared" si="453"/>
        <v>51322.761333333343</v>
      </c>
      <c r="L2421" s="9">
        <f t="shared" si="452"/>
        <v>51170.961111111108</v>
      </c>
      <c r="M2421" s="9">
        <f t="shared" si="451"/>
        <v>1.3072219102902686E-2</v>
      </c>
      <c r="N2421" s="9">
        <f t="shared" si="454"/>
        <v>9.3157666018612775E-3</v>
      </c>
    </row>
    <row r="2422" spans="1:14" x14ac:dyDescent="0.35">
      <c r="A2422" s="1">
        <v>45910</v>
      </c>
      <c r="B2422" s="2" t="s">
        <v>1885</v>
      </c>
      <c r="C2422">
        <f t="shared" si="443"/>
        <v>51999.45</v>
      </c>
      <c r="D2422">
        <f t="shared" si="444"/>
        <v>2025</v>
      </c>
      <c r="E2422">
        <f t="shared" si="445"/>
        <v>9</v>
      </c>
      <c r="F2422" t="str">
        <f t="shared" si="447"/>
        <v>September</v>
      </c>
      <c r="G2422">
        <f t="shared" si="446"/>
        <v>10</v>
      </c>
      <c r="H2422" s="7">
        <f t="shared" si="448"/>
        <v>1.0094250560413873</v>
      </c>
      <c r="I2422" s="9">
        <f t="shared" si="449"/>
        <v>1.0043643885919936E-2</v>
      </c>
      <c r="J2422" s="9">
        <f t="shared" si="450"/>
        <v>51779.972857142864</v>
      </c>
      <c r="K2422" s="9">
        <f t="shared" si="453"/>
        <v>51399.873000000007</v>
      </c>
      <c r="L2422" s="9">
        <f t="shared" si="452"/>
        <v>51162.959666666669</v>
      </c>
      <c r="M2422" s="9">
        <f t="shared" si="451"/>
        <v>1.3681895301461678E-2</v>
      </c>
      <c r="N2422" s="9">
        <f t="shared" si="454"/>
        <v>9.1231505711737316E-3</v>
      </c>
    </row>
    <row r="2423" spans="1:14" x14ac:dyDescent="0.35">
      <c r="A2423" s="1">
        <v>45911</v>
      </c>
      <c r="B2423" s="2" t="s">
        <v>2421</v>
      </c>
      <c r="C2423">
        <f t="shared" si="443"/>
        <v>51895.18</v>
      </c>
      <c r="D2423">
        <f t="shared" si="444"/>
        <v>2025</v>
      </c>
      <c r="E2423">
        <f t="shared" si="445"/>
        <v>9</v>
      </c>
      <c r="F2423" t="str">
        <f t="shared" si="447"/>
        <v>September</v>
      </c>
      <c r="G2423">
        <f t="shared" si="446"/>
        <v>11</v>
      </c>
      <c r="H2423" s="7">
        <f t="shared" si="448"/>
        <v>-0.20052135166813648</v>
      </c>
      <c r="I2423" s="9">
        <f t="shared" si="449"/>
        <v>-2.0072266489286191E-3</v>
      </c>
      <c r="J2423" s="9">
        <f t="shared" si="450"/>
        <v>51813.714285714283</v>
      </c>
      <c r="K2423" s="9">
        <f t="shared" si="453"/>
        <v>51455.07</v>
      </c>
      <c r="L2423" s="9">
        <f t="shared" si="452"/>
        <v>51149.527000000009</v>
      </c>
      <c r="M2423" s="9">
        <f t="shared" si="451"/>
        <v>1.3354604341376008E-2</v>
      </c>
      <c r="N2423" s="9">
        <f t="shared" si="454"/>
        <v>8.9618867825335818E-3</v>
      </c>
    </row>
    <row r="2424" spans="1:14" x14ac:dyDescent="0.35">
      <c r="A2424" s="1">
        <v>45912</v>
      </c>
      <c r="B2424" s="2" t="s">
        <v>2422</v>
      </c>
      <c r="C2424">
        <f t="shared" si="443"/>
        <v>50757.82</v>
      </c>
      <c r="D2424">
        <f t="shared" si="444"/>
        <v>2025</v>
      </c>
      <c r="E2424">
        <f t="shared" si="445"/>
        <v>9</v>
      </c>
      <c r="F2424" t="str">
        <f t="shared" si="447"/>
        <v>September</v>
      </c>
      <c r="G2424">
        <f t="shared" si="446"/>
        <v>12</v>
      </c>
      <c r="H2424" s="7">
        <f t="shared" si="448"/>
        <v>-2.1916486270979321</v>
      </c>
      <c r="I2424" s="9">
        <f t="shared" si="449"/>
        <v>-2.2160220232077976E-2</v>
      </c>
      <c r="J2424" s="9">
        <f t="shared" si="450"/>
        <v>51643.427142857145</v>
      </c>
      <c r="K2424" s="9">
        <f t="shared" si="453"/>
        <v>51467.501666666671</v>
      </c>
      <c r="L2424" s="9">
        <f t="shared" si="452"/>
        <v>51126.96811111112</v>
      </c>
      <c r="M2424" s="9">
        <f t="shared" si="451"/>
        <v>1.5575758395900917E-2</v>
      </c>
      <c r="N2424" s="9">
        <f t="shared" si="454"/>
        <v>9.9048735776710462E-3</v>
      </c>
    </row>
    <row r="2425" spans="1:14" x14ac:dyDescent="0.35">
      <c r="A2425" s="1">
        <v>45915</v>
      </c>
      <c r="B2425" s="2" t="s">
        <v>2423</v>
      </c>
      <c r="C2425">
        <f t="shared" si="443"/>
        <v>51335.75</v>
      </c>
      <c r="D2425">
        <f t="shared" si="444"/>
        <v>2025</v>
      </c>
      <c r="E2425">
        <f t="shared" si="445"/>
        <v>9</v>
      </c>
      <c r="F2425" t="str">
        <f t="shared" si="447"/>
        <v>September</v>
      </c>
      <c r="G2425">
        <f t="shared" si="446"/>
        <v>15</v>
      </c>
      <c r="H2425" s="7">
        <f t="shared" si="448"/>
        <v>1.1386028793198768</v>
      </c>
      <c r="I2425" s="9">
        <f t="shared" si="449"/>
        <v>1.132169583805913E-2</v>
      </c>
      <c r="J2425" s="9">
        <f t="shared" si="450"/>
        <v>51448.73714285715</v>
      </c>
      <c r="K2425" s="9">
        <f t="shared" si="453"/>
        <v>51478.60366666667</v>
      </c>
      <c r="L2425" s="9">
        <f t="shared" si="452"/>
        <v>51112.243777777781</v>
      </c>
      <c r="M2425" s="9">
        <f t="shared" si="451"/>
        <v>1.5044008014457601E-2</v>
      </c>
      <c r="N2425" s="9">
        <f t="shared" si="454"/>
        <v>9.8700814801913946E-3</v>
      </c>
    </row>
    <row r="2426" spans="1:14" x14ac:dyDescent="0.35">
      <c r="A2426" s="1">
        <v>45916</v>
      </c>
      <c r="B2426" s="2" t="s">
        <v>2424</v>
      </c>
      <c r="C2426">
        <f t="shared" si="443"/>
        <v>51975.89</v>
      </c>
      <c r="D2426">
        <f t="shared" si="444"/>
        <v>2025</v>
      </c>
      <c r="E2426">
        <f t="shared" si="445"/>
        <v>9</v>
      </c>
      <c r="F2426" t="str">
        <f t="shared" si="447"/>
        <v>September</v>
      </c>
      <c r="G2426">
        <f t="shared" si="446"/>
        <v>16</v>
      </c>
      <c r="H2426" s="7">
        <f t="shared" si="448"/>
        <v>1.2469672693980305</v>
      </c>
      <c r="I2426" s="9">
        <f t="shared" si="449"/>
        <v>1.2392566655126029E-2</v>
      </c>
      <c r="J2426" s="9">
        <f t="shared" si="450"/>
        <v>51477.650000000009</v>
      </c>
      <c r="K2426" s="9">
        <f t="shared" si="453"/>
        <v>51524.797333333321</v>
      </c>
      <c r="L2426" s="9">
        <f t="shared" si="452"/>
        <v>51101.155555555553</v>
      </c>
      <c r="M2426" s="9">
        <f t="shared" si="451"/>
        <v>1.4684224556618154E-2</v>
      </c>
      <c r="N2426" s="9">
        <f t="shared" si="454"/>
        <v>9.9823977915457131E-3</v>
      </c>
    </row>
    <row r="2427" spans="1:14" x14ac:dyDescent="0.35">
      <c r="A2427" s="1">
        <v>45917</v>
      </c>
      <c r="B2427" s="2" t="s">
        <v>2425</v>
      </c>
      <c r="C2427">
        <f t="shared" si="443"/>
        <v>51832.55</v>
      </c>
      <c r="D2427">
        <f t="shared" si="444"/>
        <v>2025</v>
      </c>
      <c r="E2427">
        <f t="shared" si="445"/>
        <v>9</v>
      </c>
      <c r="F2427" t="str">
        <f t="shared" si="447"/>
        <v>September</v>
      </c>
      <c r="G2427">
        <f t="shared" si="446"/>
        <v>17</v>
      </c>
      <c r="H2427" s="7">
        <f t="shared" si="448"/>
        <v>-0.27578171340595897</v>
      </c>
      <c r="I2427" s="9">
        <f t="shared" si="449"/>
        <v>-2.7616269178020376E-3</v>
      </c>
      <c r="J2427" s="9">
        <f t="shared" si="450"/>
        <v>51610.92</v>
      </c>
      <c r="K2427" s="9">
        <f t="shared" si="453"/>
        <v>51559.292333333324</v>
      </c>
      <c r="L2427" s="9">
        <f t="shared" si="452"/>
        <v>51083.675666666662</v>
      </c>
      <c r="M2427" s="9">
        <f t="shared" si="451"/>
        <v>1.2693054399791116E-2</v>
      </c>
      <c r="N2427" s="9">
        <f t="shared" si="454"/>
        <v>9.9852293748459737E-3</v>
      </c>
    </row>
    <row r="2428" spans="1:14" x14ac:dyDescent="0.35">
      <c r="A2428" s="1">
        <v>45918</v>
      </c>
      <c r="B2428" s="2" t="s">
        <v>2426</v>
      </c>
      <c r="C2428">
        <f t="shared" si="443"/>
        <v>52174.26</v>
      </c>
      <c r="D2428">
        <f t="shared" si="444"/>
        <v>2025</v>
      </c>
      <c r="E2428">
        <f t="shared" si="445"/>
        <v>9</v>
      </c>
      <c r="F2428" t="str">
        <f t="shared" si="447"/>
        <v>September</v>
      </c>
      <c r="G2428">
        <f t="shared" si="446"/>
        <v>18</v>
      </c>
      <c r="H2428" s="7">
        <f t="shared" si="448"/>
        <v>0.65925755148067988</v>
      </c>
      <c r="I2428" s="9">
        <f t="shared" si="449"/>
        <v>6.5709395280402517E-3</v>
      </c>
      <c r="J2428" s="9">
        <f t="shared" si="450"/>
        <v>51710.128571428577</v>
      </c>
      <c r="K2428" s="9">
        <f t="shared" si="453"/>
        <v>51593.778999999988</v>
      </c>
      <c r="L2428" s="9">
        <f t="shared" si="452"/>
        <v>51071.714222222217</v>
      </c>
      <c r="M2428" s="9">
        <f t="shared" si="451"/>
        <v>1.2267089307355166E-2</v>
      </c>
      <c r="N2428" s="9">
        <f t="shared" si="454"/>
        <v>9.9823775287339149E-3</v>
      </c>
    </row>
    <row r="2429" spans="1:14" x14ac:dyDescent="0.35">
      <c r="A2429" s="1">
        <v>45919</v>
      </c>
      <c r="B2429" s="2" t="s">
        <v>2427</v>
      </c>
      <c r="C2429">
        <f t="shared" si="443"/>
        <v>52501.97</v>
      </c>
      <c r="D2429">
        <f t="shared" si="444"/>
        <v>2025</v>
      </c>
      <c r="E2429">
        <f t="shared" si="445"/>
        <v>9</v>
      </c>
      <c r="F2429" t="str">
        <f t="shared" si="447"/>
        <v>September</v>
      </c>
      <c r="G2429">
        <f t="shared" si="446"/>
        <v>19</v>
      </c>
      <c r="H2429" s="7">
        <f t="shared" si="448"/>
        <v>0.62810665642406638</v>
      </c>
      <c r="I2429" s="9">
        <f t="shared" si="449"/>
        <v>6.2614228782705917E-3</v>
      </c>
      <c r="J2429" s="9">
        <f t="shared" si="450"/>
        <v>51781.91714285715</v>
      </c>
      <c r="K2429" s="9">
        <f t="shared" si="453"/>
        <v>51625.433999999994</v>
      </c>
      <c r="L2429" s="9">
        <f t="shared" si="452"/>
        <v>51062.380111111088</v>
      </c>
      <c r="M2429" s="9">
        <f t="shared" si="451"/>
        <v>1.1927951570624488E-2</v>
      </c>
      <c r="N2429" s="9">
        <f t="shared" si="454"/>
        <v>9.9423638786573683E-3</v>
      </c>
    </row>
    <row r="2430" spans="1:14" x14ac:dyDescent="0.35">
      <c r="A2430" s="1">
        <v>45922</v>
      </c>
      <c r="B2430" s="2" t="s">
        <v>2428</v>
      </c>
      <c r="C2430">
        <f t="shared" si="443"/>
        <v>52805.96</v>
      </c>
      <c r="D2430">
        <f t="shared" si="444"/>
        <v>2025</v>
      </c>
      <c r="E2430">
        <f t="shared" si="445"/>
        <v>9</v>
      </c>
      <c r="F2430" t="str">
        <f t="shared" si="447"/>
        <v>September</v>
      </c>
      <c r="G2430">
        <f t="shared" si="446"/>
        <v>22</v>
      </c>
      <c r="H2430" s="7">
        <f t="shared" si="448"/>
        <v>0.57900684488600707</v>
      </c>
      <c r="I2430" s="9">
        <f t="shared" si="449"/>
        <v>5.7733704266622254E-3</v>
      </c>
      <c r="J2430" s="9">
        <f t="shared" si="450"/>
        <v>51912.028571428571</v>
      </c>
      <c r="K2430" s="9">
        <f t="shared" si="453"/>
        <v>51660.637333333325</v>
      </c>
      <c r="L2430" s="9">
        <f t="shared" si="452"/>
        <v>51059.774333333327</v>
      </c>
      <c r="M2430" s="9">
        <f t="shared" si="451"/>
        <v>1.1922882026393494E-2</v>
      </c>
      <c r="N2430" s="9">
        <f t="shared" si="454"/>
        <v>9.9704289179683228E-3</v>
      </c>
    </row>
    <row r="2431" spans="1:14" x14ac:dyDescent="0.35">
      <c r="A2431" s="1">
        <v>45923</v>
      </c>
      <c r="B2431" s="2" t="s">
        <v>2429</v>
      </c>
      <c r="C2431">
        <f t="shared" si="443"/>
        <v>52802</v>
      </c>
      <c r="D2431">
        <f t="shared" si="444"/>
        <v>2025</v>
      </c>
      <c r="E2431">
        <f t="shared" si="445"/>
        <v>9</v>
      </c>
      <c r="F2431" t="str">
        <f t="shared" si="447"/>
        <v>September</v>
      </c>
      <c r="G2431">
        <f t="shared" si="446"/>
        <v>23</v>
      </c>
      <c r="H2431" s="7">
        <f t="shared" si="448"/>
        <v>-7.4991535046406259E-3</v>
      </c>
      <c r="I2431" s="9">
        <f t="shared" si="449"/>
        <v>-7.4994347052169914E-5</v>
      </c>
      <c r="J2431" s="9">
        <f t="shared" si="450"/>
        <v>52204.054285714286</v>
      </c>
      <c r="K2431" s="9">
        <f t="shared" si="453"/>
        <v>51697.924333333336</v>
      </c>
      <c r="L2431" s="9">
        <f t="shared" si="452"/>
        <v>51062.771444444443</v>
      </c>
      <c r="M2431" s="9">
        <f t="shared" si="451"/>
        <v>5.513588065313416E-3</v>
      </c>
      <c r="N2431" s="9">
        <f t="shared" si="454"/>
        <v>9.9646772194579968E-3</v>
      </c>
    </row>
    <row r="2432" spans="1:14" x14ac:dyDescent="0.35">
      <c r="A2432" s="1">
        <v>45925</v>
      </c>
      <c r="B2432" s="2" t="s">
        <v>2430</v>
      </c>
      <c r="C2432">
        <f t="shared" si="443"/>
        <v>53347.3</v>
      </c>
      <c r="D2432">
        <f t="shared" si="444"/>
        <v>2025</v>
      </c>
      <c r="E2432">
        <f t="shared" si="445"/>
        <v>9</v>
      </c>
      <c r="F2432" t="str">
        <f t="shared" si="447"/>
        <v>September</v>
      </c>
      <c r="G2432">
        <f t="shared" si="446"/>
        <v>25</v>
      </c>
      <c r="H2432" s="7">
        <f t="shared" si="448"/>
        <v>1.032726033104812</v>
      </c>
      <c r="I2432" s="9">
        <f t="shared" si="449"/>
        <v>1.0274298499733129E-2</v>
      </c>
      <c r="J2432" s="9">
        <f t="shared" si="450"/>
        <v>52491.41857142857</v>
      </c>
      <c r="K2432" s="9">
        <f t="shared" si="453"/>
        <v>51755.193333333336</v>
      </c>
      <c r="L2432" s="9">
        <f t="shared" si="452"/>
        <v>51067.732888888881</v>
      </c>
      <c r="M2432" s="9">
        <f t="shared" si="451"/>
        <v>5.3453603659684617E-3</v>
      </c>
      <c r="N2432" s="9">
        <f t="shared" si="454"/>
        <v>1.0109016214521451E-2</v>
      </c>
    </row>
    <row r="2433" spans="1:14" x14ac:dyDescent="0.35">
      <c r="A2433" s="1">
        <v>45926</v>
      </c>
      <c r="B2433" s="2" t="s">
        <v>2431</v>
      </c>
      <c r="C2433">
        <f t="shared" si="443"/>
        <v>53250.25</v>
      </c>
      <c r="D2433">
        <f t="shared" si="444"/>
        <v>2025</v>
      </c>
      <c r="E2433">
        <f t="shared" si="445"/>
        <v>9</v>
      </c>
      <c r="F2433" t="str">
        <f t="shared" si="447"/>
        <v>September</v>
      </c>
      <c r="G2433">
        <f t="shared" si="446"/>
        <v>26</v>
      </c>
      <c r="H2433" s="7">
        <f t="shared" si="448"/>
        <v>-0.18192110940947884</v>
      </c>
      <c r="I2433" s="9">
        <f t="shared" si="449"/>
        <v>-1.8208678682500776E-3</v>
      </c>
      <c r="J2433" s="9">
        <f t="shared" si="450"/>
        <v>52673.469999999994</v>
      </c>
      <c r="K2433" s="9">
        <f t="shared" si="453"/>
        <v>51816.179666666663</v>
      </c>
      <c r="L2433" s="9">
        <f t="shared" si="452"/>
        <v>51071.254777777773</v>
      </c>
      <c r="M2433" s="9">
        <f t="shared" si="451"/>
        <v>4.9733398020698561E-3</v>
      </c>
      <c r="N2433" s="9">
        <f t="shared" si="454"/>
        <v>1.0078105524463593E-2</v>
      </c>
    </row>
    <row r="2434" spans="1:14" x14ac:dyDescent="0.35">
      <c r="A2434" s="1">
        <v>45929</v>
      </c>
      <c r="B2434" s="2" t="s">
        <v>2432</v>
      </c>
      <c r="C2434">
        <f t="shared" si="443"/>
        <v>53456.43</v>
      </c>
      <c r="D2434">
        <f t="shared" si="444"/>
        <v>2025</v>
      </c>
      <c r="E2434">
        <f t="shared" si="445"/>
        <v>9</v>
      </c>
      <c r="F2434" t="str">
        <f t="shared" si="447"/>
        <v>September</v>
      </c>
      <c r="G2434">
        <f t="shared" si="446"/>
        <v>29</v>
      </c>
      <c r="H2434" s="7">
        <f t="shared" si="448"/>
        <v>0.38719067046633637</v>
      </c>
      <c r="I2434" s="9">
        <f t="shared" si="449"/>
        <v>3.8644301666561002E-3</v>
      </c>
      <c r="J2434" s="9">
        <f t="shared" si="450"/>
        <v>52905.452857142853</v>
      </c>
      <c r="K2434" s="9">
        <f t="shared" si="453"/>
        <v>51881.231666666659</v>
      </c>
      <c r="L2434" s="9">
        <f t="shared" si="452"/>
        <v>51078.35144444443</v>
      </c>
      <c r="M2434" s="9">
        <f t="shared" si="451"/>
        <v>4.1549703535404704E-3</v>
      </c>
      <c r="N2434" s="9">
        <f t="shared" si="454"/>
        <v>1.008989859787539E-2</v>
      </c>
    </row>
    <row r="2435" spans="1:14" x14ac:dyDescent="0.35">
      <c r="A2435" s="1">
        <v>45930</v>
      </c>
      <c r="B2435" s="2" t="s">
        <v>2433</v>
      </c>
      <c r="C2435">
        <f t="shared" ref="C2435:C2498" si="455">_xlfn.NUMBERVALUE(B2435,".",",")</f>
        <v>53680.43</v>
      </c>
      <c r="D2435">
        <f t="shared" ref="D2435:D2498" si="456">YEAR(A2435)</f>
        <v>2025</v>
      </c>
      <c r="E2435">
        <f t="shared" ref="E2435:E2498" si="457">MONTH(A2435)</f>
        <v>9</v>
      </c>
      <c r="F2435" t="str">
        <f t="shared" si="447"/>
        <v>September</v>
      </c>
      <c r="G2435">
        <f t="shared" ref="G2435:G2498" si="458">DAY(A2435)</f>
        <v>30</v>
      </c>
      <c r="H2435" s="7">
        <f t="shared" si="448"/>
        <v>0.41903284600187479</v>
      </c>
      <c r="I2435" s="9">
        <f t="shared" si="449"/>
        <v>4.1815734826829917E-3</v>
      </c>
      <c r="J2435" s="9">
        <f t="shared" si="450"/>
        <v>53120.619999999995</v>
      </c>
      <c r="K2435" s="9">
        <f t="shared" si="453"/>
        <v>51966.352999999996</v>
      </c>
      <c r="L2435" s="9">
        <f t="shared" si="452"/>
        <v>51084.150222222204</v>
      </c>
      <c r="M2435" s="9">
        <f t="shared" si="451"/>
        <v>4.0442345725049027E-3</v>
      </c>
      <c r="N2435" s="9">
        <f t="shared" si="454"/>
        <v>9.9697754668016322E-3</v>
      </c>
    </row>
    <row r="2436" spans="1:14" x14ac:dyDescent="0.35">
      <c r="A2436" s="1">
        <v>45931</v>
      </c>
      <c r="B2436" s="2" t="s">
        <v>2434</v>
      </c>
      <c r="C2436">
        <f t="shared" si="455"/>
        <v>53622</v>
      </c>
      <c r="D2436">
        <f t="shared" si="456"/>
        <v>2025</v>
      </c>
      <c r="E2436">
        <f t="shared" si="457"/>
        <v>10</v>
      </c>
      <c r="F2436" t="str">
        <f t="shared" ref="F2436:F2499" si="459">TEXT(A2436,"mmmm")</f>
        <v>October</v>
      </c>
      <c r="G2436">
        <f t="shared" si="458"/>
        <v>1</v>
      </c>
      <c r="H2436" s="7">
        <f t="shared" ref="H2436:H2499" si="460">((C2436-C2435)/C2435)*100</f>
        <v>-0.10884786131556751</v>
      </c>
      <c r="I2436" s="9">
        <f t="shared" ref="I2436:I2499" si="461">LN(C2436/C2435)</f>
        <v>-1.0890714362238204E-3</v>
      </c>
      <c r="J2436" s="9">
        <f t="shared" si="450"/>
        <v>53280.624285714286</v>
      </c>
      <c r="K2436" s="9">
        <f t="shared" si="453"/>
        <v>52061.452666666664</v>
      </c>
      <c r="L2436" s="9">
        <f t="shared" si="452"/>
        <v>51093.341222222203</v>
      </c>
      <c r="M2436" s="9">
        <f t="shared" si="451"/>
        <v>4.3236853662505315E-3</v>
      </c>
      <c r="N2436" s="9">
        <f t="shared" si="454"/>
        <v>9.8504572450295036E-3</v>
      </c>
    </row>
    <row r="2437" spans="1:14" x14ac:dyDescent="0.35">
      <c r="A2437" s="1">
        <v>45932</v>
      </c>
      <c r="B2437" s="2" t="s">
        <v>2435</v>
      </c>
      <c r="C2437">
        <f t="shared" si="455"/>
        <v>53500.07</v>
      </c>
      <c r="D2437">
        <f t="shared" si="456"/>
        <v>2025</v>
      </c>
      <c r="E2437">
        <f t="shared" si="457"/>
        <v>10</v>
      </c>
      <c r="F2437" t="str">
        <f t="shared" si="459"/>
        <v>October</v>
      </c>
      <c r="G2437">
        <f t="shared" si="458"/>
        <v>2</v>
      </c>
      <c r="H2437" s="7">
        <f t="shared" si="460"/>
        <v>-0.22738801238297771</v>
      </c>
      <c r="I2437" s="9">
        <f t="shared" si="461"/>
        <v>-2.2764693149900901E-3</v>
      </c>
      <c r="J2437" s="9">
        <f t="shared" si="450"/>
        <v>53379.782857142854</v>
      </c>
      <c r="K2437" s="9">
        <f t="shared" si="453"/>
        <v>52139.895666666664</v>
      </c>
      <c r="L2437" s="9">
        <f t="shared" si="452"/>
        <v>51105.071333333319</v>
      </c>
      <c r="M2437" s="9">
        <f t="shared" si="451"/>
        <v>4.5333585585777825E-3</v>
      </c>
      <c r="N2437" s="9">
        <f t="shared" si="454"/>
        <v>9.8196251864532402E-3</v>
      </c>
    </row>
    <row r="2438" spans="1:14" x14ac:dyDescent="0.35">
      <c r="A2438" s="1">
        <v>45933</v>
      </c>
      <c r="B2438" s="2" t="s">
        <v>2436</v>
      </c>
      <c r="C2438">
        <f t="shared" si="455"/>
        <v>52631.33</v>
      </c>
      <c r="D2438">
        <f t="shared" si="456"/>
        <v>2025</v>
      </c>
      <c r="E2438">
        <f t="shared" si="457"/>
        <v>10</v>
      </c>
      <c r="F2438" t="str">
        <f t="shared" si="459"/>
        <v>October</v>
      </c>
      <c r="G2438">
        <f t="shared" si="458"/>
        <v>3</v>
      </c>
      <c r="H2438" s="7">
        <f t="shared" si="460"/>
        <v>-1.6238109594996755</v>
      </c>
      <c r="I2438" s="9">
        <f t="shared" si="461"/>
        <v>-1.6371392507809668E-2</v>
      </c>
      <c r="J2438" s="9">
        <f t="shared" si="450"/>
        <v>53355.401428571437</v>
      </c>
      <c r="K2438" s="9">
        <f t="shared" si="453"/>
        <v>52211.123000000007</v>
      </c>
      <c r="L2438" s="9">
        <f t="shared" si="452"/>
        <v>51107.220444444436</v>
      </c>
      <c r="M2438" s="9">
        <f t="shared" si="451"/>
        <v>8.3085266015752689E-3</v>
      </c>
      <c r="N2438" s="9">
        <f t="shared" si="454"/>
        <v>1.0016885820903057E-2</v>
      </c>
    </row>
    <row r="2439" spans="1:14" x14ac:dyDescent="0.35">
      <c r="A2439" s="1">
        <v>45936</v>
      </c>
      <c r="B2439" s="2" t="s">
        <v>2437</v>
      </c>
      <c r="C2439">
        <f t="shared" si="455"/>
        <v>52733.120000000003</v>
      </c>
      <c r="D2439">
        <f t="shared" si="456"/>
        <v>2025</v>
      </c>
      <c r="E2439">
        <f t="shared" si="457"/>
        <v>10</v>
      </c>
      <c r="F2439" t="str">
        <f t="shared" si="459"/>
        <v>October</v>
      </c>
      <c r="G2439">
        <f t="shared" si="458"/>
        <v>6</v>
      </c>
      <c r="H2439" s="7">
        <f t="shared" si="460"/>
        <v>0.19340191479105862</v>
      </c>
      <c r="I2439" s="9">
        <f t="shared" si="461"/>
        <v>1.9321513407406041E-3</v>
      </c>
      <c r="J2439" s="9">
        <f t="shared" si="450"/>
        <v>53267.661428571431</v>
      </c>
      <c r="K2439" s="9">
        <f t="shared" si="453"/>
        <v>52250.62266666667</v>
      </c>
      <c r="L2439" s="9">
        <f t="shared" si="452"/>
        <v>51118.253222222214</v>
      </c>
      <c r="M2439" s="9">
        <f t="shared" si="451"/>
        <v>7.0083708267601897E-3</v>
      </c>
      <c r="N2439" s="9">
        <f t="shared" si="454"/>
        <v>9.3349576923438468E-3</v>
      </c>
    </row>
    <row r="2440" spans="1:14" x14ac:dyDescent="0.35">
      <c r="A2440" s="1">
        <v>45937</v>
      </c>
      <c r="B2440" s="2" t="s">
        <v>2438</v>
      </c>
      <c r="C2440">
        <f t="shared" si="455"/>
        <v>53448.69</v>
      </c>
      <c r="D2440">
        <f t="shared" si="456"/>
        <v>2025</v>
      </c>
      <c r="E2440">
        <f t="shared" si="457"/>
        <v>10</v>
      </c>
      <c r="F2440" t="str">
        <f t="shared" si="459"/>
        <v>October</v>
      </c>
      <c r="G2440">
        <f t="shared" si="458"/>
        <v>7</v>
      </c>
      <c r="H2440" s="7">
        <f t="shared" si="460"/>
        <v>1.3569650344982425</v>
      </c>
      <c r="I2440" s="9">
        <f t="shared" si="461"/>
        <v>1.347840713864591E-2</v>
      </c>
      <c r="J2440" s="9">
        <f t="shared" si="450"/>
        <v>53296.01</v>
      </c>
      <c r="K2440" s="9">
        <f t="shared" si="453"/>
        <v>52302.285000000011</v>
      </c>
      <c r="L2440" s="9">
        <f t="shared" si="452"/>
        <v>51144.90855555555</v>
      </c>
      <c r="M2440" s="9">
        <f t="shared" si="451"/>
        <v>9.0391224411427214E-3</v>
      </c>
      <c r="N2440" s="9">
        <f t="shared" si="454"/>
        <v>9.5613343783299276E-3</v>
      </c>
    </row>
    <row r="2441" spans="1:14" x14ac:dyDescent="0.35">
      <c r="A2441" s="1">
        <v>45938</v>
      </c>
      <c r="B2441" s="2" t="s">
        <v>2439</v>
      </c>
      <c r="C2441">
        <f t="shared" si="455"/>
        <v>53563.93</v>
      </c>
      <c r="D2441">
        <f t="shared" si="456"/>
        <v>2025</v>
      </c>
      <c r="E2441">
        <f t="shared" si="457"/>
        <v>10</v>
      </c>
      <c r="F2441" t="str">
        <f t="shared" si="459"/>
        <v>October</v>
      </c>
      <c r="G2441">
        <f t="shared" si="458"/>
        <v>8</v>
      </c>
      <c r="H2441" s="7">
        <f t="shared" si="460"/>
        <v>0.21560865196134454</v>
      </c>
      <c r="I2441" s="9">
        <f t="shared" si="461"/>
        <v>2.1537655006864959E-3</v>
      </c>
      <c r="J2441" s="9">
        <f t="shared" ref="J2441:J2504" si="462">AVERAGE(C2435:C2441)</f>
        <v>53311.367142857147</v>
      </c>
      <c r="K2441" s="9">
        <f t="shared" si="453"/>
        <v>52365.232333333333</v>
      </c>
      <c r="L2441" s="9">
        <f t="shared" si="452"/>
        <v>51170.996666666659</v>
      </c>
      <c r="M2441" s="9">
        <f t="shared" si="451"/>
        <v>8.9567409414044383E-3</v>
      </c>
      <c r="N2441" s="9">
        <f t="shared" si="454"/>
        <v>9.5106494795085331E-3</v>
      </c>
    </row>
    <row r="2442" spans="1:14" x14ac:dyDescent="0.35">
      <c r="A2442" s="1">
        <v>45939</v>
      </c>
      <c r="B2442" s="2" t="s">
        <v>2440</v>
      </c>
      <c r="C2442">
        <f t="shared" si="455"/>
        <v>53506.62</v>
      </c>
      <c r="D2442">
        <f t="shared" si="456"/>
        <v>2025</v>
      </c>
      <c r="E2442">
        <f t="shared" si="457"/>
        <v>10</v>
      </c>
      <c r="F2442" t="str">
        <f t="shared" si="459"/>
        <v>October</v>
      </c>
      <c r="G2442">
        <f t="shared" si="458"/>
        <v>9</v>
      </c>
      <c r="H2442" s="7">
        <f t="shared" si="460"/>
        <v>-0.10699364292350781</v>
      </c>
      <c r="I2442" s="9">
        <f t="shared" si="461"/>
        <v>-1.0705092198191226E-3</v>
      </c>
      <c r="J2442" s="9">
        <f t="shared" si="462"/>
        <v>53286.537142857145</v>
      </c>
      <c r="K2442" s="9">
        <f t="shared" si="453"/>
        <v>52426.717333333334</v>
      </c>
      <c r="L2442" s="9">
        <f t="shared" si="452"/>
        <v>51204.681888888888</v>
      </c>
      <c r="M2442" s="9">
        <f t="shared" ref="M2442:M2505" si="463">STDEV(I2436:I2442)</f>
        <v>8.7946356758854191E-3</v>
      </c>
      <c r="N2442" s="9">
        <f t="shared" si="454"/>
        <v>9.5160783873854821E-3</v>
      </c>
    </row>
    <row r="2443" spans="1:14" x14ac:dyDescent="0.35">
      <c r="A2443" s="1">
        <v>45940</v>
      </c>
      <c r="B2443" s="2" t="s">
        <v>2441</v>
      </c>
      <c r="C2443">
        <f t="shared" si="455"/>
        <v>53482.879999999997</v>
      </c>
      <c r="D2443">
        <f t="shared" si="456"/>
        <v>2025</v>
      </c>
      <c r="E2443">
        <f t="shared" si="457"/>
        <v>10</v>
      </c>
      <c r="F2443" t="str">
        <f t="shared" si="459"/>
        <v>October</v>
      </c>
      <c r="G2443">
        <f t="shared" si="458"/>
        <v>10</v>
      </c>
      <c r="H2443" s="7">
        <f t="shared" si="460"/>
        <v>-4.4368341711745647E-2</v>
      </c>
      <c r="I2443" s="9">
        <f t="shared" si="461"/>
        <v>-4.4378187372819074E-4</v>
      </c>
      <c r="J2443" s="9">
        <f t="shared" si="462"/>
        <v>53266.662857142859</v>
      </c>
      <c r="K2443" s="9">
        <f t="shared" si="453"/>
        <v>52489.120666666669</v>
      </c>
      <c r="L2443" s="9">
        <f t="shared" si="452"/>
        <v>51234.933444444439</v>
      </c>
      <c r="M2443" s="9">
        <f t="shared" si="463"/>
        <v>8.7903641277416369E-3</v>
      </c>
      <c r="N2443" s="9">
        <f t="shared" si="454"/>
        <v>9.5123001370824873E-3</v>
      </c>
    </row>
    <row r="2444" spans="1:14" x14ac:dyDescent="0.35">
      <c r="A2444" s="1">
        <v>45943</v>
      </c>
      <c r="B2444" s="2" t="s">
        <v>2442</v>
      </c>
      <c r="C2444">
        <f t="shared" si="455"/>
        <v>53562.8</v>
      </c>
      <c r="D2444">
        <f t="shared" si="456"/>
        <v>2025</v>
      </c>
      <c r="E2444">
        <f t="shared" si="457"/>
        <v>10</v>
      </c>
      <c r="F2444" t="str">
        <f t="shared" si="459"/>
        <v>October</v>
      </c>
      <c r="G2444">
        <f t="shared" si="458"/>
        <v>13</v>
      </c>
      <c r="H2444" s="7">
        <f t="shared" si="460"/>
        <v>0.14943099548866018</v>
      </c>
      <c r="I2444" s="9">
        <f t="shared" si="461"/>
        <v>1.4931945847667539E-3</v>
      </c>
      <c r="J2444" s="9">
        <f t="shared" si="462"/>
        <v>53275.624285714286</v>
      </c>
      <c r="K2444" s="9">
        <f t="shared" si="453"/>
        <v>52545.596333333342</v>
      </c>
      <c r="L2444" s="9">
        <f t="shared" si="452"/>
        <v>51263.179444444439</v>
      </c>
      <c r="M2444" s="9">
        <f t="shared" si="463"/>
        <v>8.7696280580434362E-3</v>
      </c>
      <c r="N2444" s="9">
        <f t="shared" si="454"/>
        <v>9.4856064172213171E-3</v>
      </c>
    </row>
    <row r="2445" spans="1:14" x14ac:dyDescent="0.35">
      <c r="A2445" s="1">
        <v>45944</v>
      </c>
      <c r="B2445" s="2" t="s">
        <v>2443</v>
      </c>
      <c r="C2445">
        <f t="shared" si="455"/>
        <v>52957.8</v>
      </c>
      <c r="D2445">
        <f t="shared" si="456"/>
        <v>2025</v>
      </c>
      <c r="E2445">
        <f t="shared" si="457"/>
        <v>10</v>
      </c>
      <c r="F2445" t="str">
        <f t="shared" si="459"/>
        <v>October</v>
      </c>
      <c r="G2445">
        <f t="shared" si="458"/>
        <v>14</v>
      </c>
      <c r="H2445" s="7">
        <f t="shared" si="460"/>
        <v>-1.1295152605913059</v>
      </c>
      <c r="I2445" s="9">
        <f t="shared" si="461"/>
        <v>-1.1359427295390355E-2</v>
      </c>
      <c r="J2445" s="9">
        <f t="shared" si="462"/>
        <v>53322.26285714285</v>
      </c>
      <c r="K2445" s="9">
        <f t="shared" si="453"/>
        <v>52576.161333333344</v>
      </c>
      <c r="L2445" s="9">
        <f t="shared" si="452"/>
        <v>51288.782333333322</v>
      </c>
      <c r="M2445" s="9">
        <f t="shared" si="463"/>
        <v>7.2707834892831412E-3</v>
      </c>
      <c r="N2445" s="9">
        <f t="shared" si="454"/>
        <v>9.7408311236802051E-3</v>
      </c>
    </row>
    <row r="2446" spans="1:14" x14ac:dyDescent="0.35">
      <c r="A2446" s="1">
        <v>45945</v>
      </c>
      <c r="B2446" s="2" t="s">
        <v>2444</v>
      </c>
      <c r="C2446">
        <f t="shared" si="455"/>
        <v>52828.93</v>
      </c>
      <c r="D2446">
        <f t="shared" si="456"/>
        <v>2025</v>
      </c>
      <c r="E2446">
        <f t="shared" si="457"/>
        <v>10</v>
      </c>
      <c r="F2446" t="str">
        <f t="shared" si="459"/>
        <v>October</v>
      </c>
      <c r="G2446">
        <f t="shared" si="458"/>
        <v>15</v>
      </c>
      <c r="H2446" s="7">
        <f t="shared" si="460"/>
        <v>-0.24334470087504129</v>
      </c>
      <c r="I2446" s="9">
        <f t="shared" si="461"/>
        <v>-2.4364126530583216E-3</v>
      </c>
      <c r="J2446" s="9">
        <f t="shared" si="462"/>
        <v>53335.95</v>
      </c>
      <c r="K2446" s="9">
        <f t="shared" si="453"/>
        <v>52615.159333333344</v>
      </c>
      <c r="L2446" s="9">
        <f t="shared" si="452"/>
        <v>51312.636222222209</v>
      </c>
      <c r="M2446" s="9">
        <f t="shared" si="463"/>
        <v>7.3527851443602275E-3</v>
      </c>
      <c r="N2446" s="9">
        <f t="shared" si="454"/>
        <v>9.6432541993522886E-3</v>
      </c>
    </row>
    <row r="2447" spans="1:14" x14ac:dyDescent="0.35">
      <c r="A2447" s="1">
        <v>45946</v>
      </c>
      <c r="B2447" s="2" t="s">
        <v>2445</v>
      </c>
      <c r="C2447">
        <f t="shared" si="455"/>
        <v>52771.95</v>
      </c>
      <c r="D2447">
        <f t="shared" si="456"/>
        <v>2025</v>
      </c>
      <c r="E2447">
        <f t="shared" si="457"/>
        <v>10</v>
      </c>
      <c r="F2447" t="str">
        <f t="shared" si="459"/>
        <v>October</v>
      </c>
      <c r="G2447">
        <f t="shared" si="458"/>
        <v>16</v>
      </c>
      <c r="H2447" s="7">
        <f t="shared" si="460"/>
        <v>-0.10785756970660432</v>
      </c>
      <c r="I2447" s="9">
        <f t="shared" si="461"/>
        <v>-1.0791577784166997E-3</v>
      </c>
      <c r="J2447" s="9">
        <f t="shared" si="462"/>
        <v>53239.272857142852</v>
      </c>
      <c r="K2447" s="9">
        <f t="shared" si="453"/>
        <v>52642.563333333332</v>
      </c>
      <c r="L2447" s="9">
        <f t="shared" si="452"/>
        <v>51339.849888888872</v>
      </c>
      <c r="M2447" s="9">
        <f t="shared" si="463"/>
        <v>4.4935744398174335E-3</v>
      </c>
      <c r="N2447" s="9">
        <f t="shared" si="454"/>
        <v>9.6040995880394761E-3</v>
      </c>
    </row>
    <row r="2448" spans="1:14" x14ac:dyDescent="0.35">
      <c r="A2448" s="1">
        <v>45947</v>
      </c>
      <c r="B2448" s="2" t="s">
        <v>2446</v>
      </c>
      <c r="C2448">
        <f t="shared" si="455"/>
        <v>52989.66</v>
      </c>
      <c r="D2448">
        <f t="shared" si="456"/>
        <v>2025</v>
      </c>
      <c r="E2448">
        <f t="shared" si="457"/>
        <v>10</v>
      </c>
      <c r="F2448" t="str">
        <f t="shared" si="459"/>
        <v>October</v>
      </c>
      <c r="G2448">
        <f t="shared" si="458"/>
        <v>17</v>
      </c>
      <c r="H2448" s="7">
        <f t="shared" si="460"/>
        <v>0.4125487119577852</v>
      </c>
      <c r="I2448" s="9">
        <f t="shared" si="461"/>
        <v>4.1170006301861533E-3</v>
      </c>
      <c r="J2448" s="9">
        <f t="shared" si="462"/>
        <v>53157.234285714287</v>
      </c>
      <c r="K2448" s="9">
        <f t="shared" si="453"/>
        <v>52652.265999999996</v>
      </c>
      <c r="L2448" s="9">
        <f t="shared" si="452"/>
        <v>51379.728777777767</v>
      </c>
      <c r="M2448" s="9">
        <f t="shared" si="463"/>
        <v>4.8315133029910376E-3</v>
      </c>
      <c r="N2448" s="9">
        <f t="shared" si="454"/>
        <v>9.2741785511665162E-3</v>
      </c>
    </row>
    <row r="2449" spans="1:14" x14ac:dyDescent="0.35">
      <c r="A2449" s="1">
        <v>45950</v>
      </c>
      <c r="B2449" s="2" t="s">
        <v>2447</v>
      </c>
      <c r="C2449">
        <f t="shared" si="455"/>
        <v>52309.7</v>
      </c>
      <c r="D2449">
        <f t="shared" si="456"/>
        <v>2025</v>
      </c>
      <c r="E2449">
        <f t="shared" si="457"/>
        <v>10</v>
      </c>
      <c r="F2449" t="str">
        <f t="shared" si="459"/>
        <v>October</v>
      </c>
      <c r="G2449">
        <f t="shared" si="458"/>
        <v>20</v>
      </c>
      <c r="H2449" s="7">
        <f t="shared" si="460"/>
        <v>-1.2831937400617524</v>
      </c>
      <c r="I2449" s="9">
        <f t="shared" si="461"/>
        <v>-1.2914977854149873E-2</v>
      </c>
      <c r="J2449" s="9">
        <f t="shared" si="462"/>
        <v>52986.245714285717</v>
      </c>
      <c r="K2449" s="9">
        <f t="shared" si="453"/>
        <v>52670.139333333333</v>
      </c>
      <c r="L2449" s="9">
        <f t="shared" si="452"/>
        <v>51407.239111111106</v>
      </c>
      <c r="M2449" s="9">
        <f t="shared" si="463"/>
        <v>6.4445359005664421E-3</v>
      </c>
      <c r="N2449" s="9">
        <f t="shared" si="454"/>
        <v>8.9921879186392849E-3</v>
      </c>
    </row>
    <row r="2450" spans="1:14" x14ac:dyDescent="0.35">
      <c r="A2450" s="1">
        <v>45951</v>
      </c>
      <c r="B2450" s="2" t="s">
        <v>2448</v>
      </c>
      <c r="C2450">
        <f t="shared" si="455"/>
        <v>52396.4</v>
      </c>
      <c r="D2450">
        <f t="shared" si="456"/>
        <v>2025</v>
      </c>
      <c r="E2450">
        <f t="shared" si="457"/>
        <v>10</v>
      </c>
      <c r="F2450" t="str">
        <f t="shared" si="459"/>
        <v>October</v>
      </c>
      <c r="G2450">
        <f t="shared" si="458"/>
        <v>21</v>
      </c>
      <c r="H2450" s="7">
        <f t="shared" si="460"/>
        <v>0.16574363836918271</v>
      </c>
      <c r="I2450" s="9">
        <f t="shared" si="461"/>
        <v>1.6560643518366766E-3</v>
      </c>
      <c r="J2450" s="9">
        <f t="shared" si="462"/>
        <v>52831.03428571429</v>
      </c>
      <c r="K2450" s="9">
        <f t="shared" si="453"/>
        <v>52720.030666666666</v>
      </c>
      <c r="L2450" s="9">
        <f t="shared" si="452"/>
        <v>51432.044444444444</v>
      </c>
      <c r="M2450" s="9">
        <f t="shared" si="463"/>
        <v>6.6418007128407923E-3</v>
      </c>
      <c r="N2450" s="9">
        <f t="shared" si="454"/>
        <v>8.3737113502443863E-3</v>
      </c>
    </row>
    <row r="2451" spans="1:14" x14ac:dyDescent="0.35">
      <c r="A2451" s="1">
        <v>45952</v>
      </c>
      <c r="B2451" s="2" t="s">
        <v>2449</v>
      </c>
      <c r="C2451">
        <f t="shared" si="455"/>
        <v>52397.97</v>
      </c>
      <c r="D2451">
        <f t="shared" si="456"/>
        <v>2025</v>
      </c>
      <c r="E2451">
        <f t="shared" si="457"/>
        <v>10</v>
      </c>
      <c r="F2451" t="str">
        <f t="shared" si="459"/>
        <v>October</v>
      </c>
      <c r="G2451">
        <f t="shared" si="458"/>
        <v>22</v>
      </c>
      <c r="H2451" s="7">
        <f t="shared" si="460"/>
        <v>2.9963890648970325E-3</v>
      </c>
      <c r="I2451" s="9">
        <f t="shared" si="461"/>
        <v>2.9963441740505626E-5</v>
      </c>
      <c r="J2451" s="9">
        <f t="shared" si="462"/>
        <v>52664.630000000005</v>
      </c>
      <c r="K2451" s="9">
        <f t="shared" si="453"/>
        <v>52750.636333333321</v>
      </c>
      <c r="L2451" s="9">
        <f t="shared" si="452"/>
        <v>51454.874777777775</v>
      </c>
      <c r="M2451" s="9">
        <f t="shared" si="463"/>
        <v>6.5008491198086833E-3</v>
      </c>
      <c r="N2451" s="9">
        <f t="shared" si="454"/>
        <v>8.1422500640508672E-3</v>
      </c>
    </row>
    <row r="2452" spans="1:14" x14ac:dyDescent="0.35">
      <c r="A2452" s="1">
        <v>45953</v>
      </c>
      <c r="B2452" s="2" t="s">
        <v>2450</v>
      </c>
      <c r="C2452">
        <f t="shared" si="455"/>
        <v>52806.5</v>
      </c>
      <c r="D2452">
        <f t="shared" si="456"/>
        <v>2025</v>
      </c>
      <c r="E2452">
        <f t="shared" si="457"/>
        <v>10</v>
      </c>
      <c r="F2452" t="str">
        <f t="shared" si="459"/>
        <v>October</v>
      </c>
      <c r="G2452">
        <f t="shared" si="458"/>
        <v>23</v>
      </c>
      <c r="H2452" s="7">
        <f t="shared" si="460"/>
        <v>0.77966760926043288</v>
      </c>
      <c r="I2452" s="9">
        <f t="shared" si="461"/>
        <v>7.7664390773422316E-3</v>
      </c>
      <c r="J2452" s="9">
        <f t="shared" si="462"/>
        <v>52643.015714285713</v>
      </c>
      <c r="K2452" s="9">
        <f t="shared" si="453"/>
        <v>52777.537999999986</v>
      </c>
      <c r="L2452" s="9">
        <f t="shared" si="452"/>
        <v>51487.380444444439</v>
      </c>
      <c r="M2452" s="9">
        <f t="shared" si="463"/>
        <v>6.4902318983766326E-3</v>
      </c>
      <c r="N2452" s="9">
        <f t="shared" si="454"/>
        <v>8.0612838037581805E-3</v>
      </c>
    </row>
    <row r="2453" spans="1:14" x14ac:dyDescent="0.35">
      <c r="A2453" s="1">
        <v>45954</v>
      </c>
      <c r="B2453" s="2" t="s">
        <v>2451</v>
      </c>
      <c r="C2453">
        <f t="shared" si="455"/>
        <v>52321.78</v>
      </c>
      <c r="D2453">
        <f t="shared" si="456"/>
        <v>2025</v>
      </c>
      <c r="E2453">
        <f t="shared" si="457"/>
        <v>10</v>
      </c>
      <c r="F2453" t="str">
        <f t="shared" si="459"/>
        <v>October</v>
      </c>
      <c r="G2453">
        <f t="shared" si="458"/>
        <v>24</v>
      </c>
      <c r="H2453" s="7">
        <f t="shared" si="460"/>
        <v>-0.91791730184731268</v>
      </c>
      <c r="I2453" s="9">
        <f t="shared" si="461"/>
        <v>-9.2215612189364988E-3</v>
      </c>
      <c r="J2453" s="9">
        <f t="shared" si="462"/>
        <v>52570.565714285709</v>
      </c>
      <c r="K2453" s="9">
        <f t="shared" si="453"/>
        <v>52791.757999999994</v>
      </c>
      <c r="L2453" s="9">
        <f t="shared" si="452"/>
        <v>51516.607888888888</v>
      </c>
      <c r="M2453" s="9">
        <f t="shared" si="463"/>
        <v>7.2997297070687174E-3</v>
      </c>
      <c r="N2453" s="9">
        <f t="shared" si="454"/>
        <v>8.2445911510590983E-3</v>
      </c>
    </row>
    <row r="2454" spans="1:14" x14ac:dyDescent="0.35">
      <c r="A2454" s="1">
        <v>45957</v>
      </c>
      <c r="B2454" s="2" t="s">
        <v>2452</v>
      </c>
      <c r="C2454">
        <f t="shared" si="455"/>
        <v>52218.61</v>
      </c>
      <c r="D2454">
        <f t="shared" si="456"/>
        <v>2025</v>
      </c>
      <c r="E2454">
        <f t="shared" si="457"/>
        <v>10</v>
      </c>
      <c r="F2454" t="str">
        <f t="shared" si="459"/>
        <v>October</v>
      </c>
      <c r="G2454">
        <f t="shared" si="458"/>
        <v>27</v>
      </c>
      <c r="H2454" s="7">
        <f t="shared" si="460"/>
        <v>-0.1971836585070276</v>
      </c>
      <c r="I2454" s="9">
        <f t="shared" si="461"/>
        <v>-1.9737832142066808E-3</v>
      </c>
      <c r="J2454" s="9">
        <f t="shared" si="462"/>
        <v>52491.517142857141</v>
      </c>
      <c r="K2454" s="9">
        <f t="shared" si="453"/>
        <v>52840.450999999994</v>
      </c>
      <c r="L2454" s="9">
        <f t="shared" si="452"/>
        <v>51533.300777777782</v>
      </c>
      <c r="M2454" s="9">
        <f t="shared" si="463"/>
        <v>7.3014562330331314E-3</v>
      </c>
      <c r="N2454" s="9">
        <f t="shared" si="454"/>
        <v>7.0940603938847626E-3</v>
      </c>
    </row>
    <row r="2455" spans="1:14" x14ac:dyDescent="0.35">
      <c r="A2455" s="1">
        <v>45958</v>
      </c>
      <c r="B2455" s="2" t="s">
        <v>2453</v>
      </c>
      <c r="C2455">
        <f t="shared" si="455"/>
        <v>52486.65</v>
      </c>
      <c r="D2455">
        <f t="shared" si="456"/>
        <v>2025</v>
      </c>
      <c r="E2455">
        <f t="shared" si="457"/>
        <v>10</v>
      </c>
      <c r="F2455" t="str">
        <f t="shared" si="459"/>
        <v>October</v>
      </c>
      <c r="G2455">
        <f t="shared" si="458"/>
        <v>28</v>
      </c>
      <c r="H2455" s="7">
        <f t="shared" si="460"/>
        <v>0.51330359042494789</v>
      </c>
      <c r="I2455" s="9">
        <f t="shared" si="461"/>
        <v>5.1199067844487495E-3</v>
      </c>
      <c r="J2455" s="9">
        <f t="shared" si="462"/>
        <v>52419.658571428568</v>
      </c>
      <c r="K2455" s="9">
        <f t="shared" si="453"/>
        <v>52878.814333333321</v>
      </c>
      <c r="L2455" s="9">
        <f t="shared" si="452"/>
        <v>51551.605222222228</v>
      </c>
      <c r="M2455" s="9">
        <f t="shared" si="463"/>
        <v>7.4387282350825831E-3</v>
      </c>
      <c r="N2455" s="9">
        <f t="shared" si="454"/>
        <v>6.8680335571155698E-3</v>
      </c>
    </row>
    <row r="2456" spans="1:14" x14ac:dyDescent="0.35">
      <c r="A2456" s="1">
        <v>45959</v>
      </c>
      <c r="B2456" s="2" t="s">
        <v>2454</v>
      </c>
      <c r="C2456">
        <f t="shared" si="455"/>
        <v>52348.36</v>
      </c>
      <c r="D2456">
        <f t="shared" si="456"/>
        <v>2025</v>
      </c>
      <c r="E2456">
        <f t="shared" si="457"/>
        <v>10</v>
      </c>
      <c r="F2456" t="str">
        <f t="shared" si="459"/>
        <v>October</v>
      </c>
      <c r="G2456">
        <f t="shared" si="458"/>
        <v>29</v>
      </c>
      <c r="H2456" s="7">
        <f t="shared" si="460"/>
        <v>-0.26347652212515155</v>
      </c>
      <c r="I2456" s="9">
        <f t="shared" si="461"/>
        <v>-2.6382423240462896E-3</v>
      </c>
      <c r="J2456" s="9">
        <f t="shared" si="462"/>
        <v>52425.181428571428</v>
      </c>
      <c r="K2456" s="9">
        <f t="shared" si="453"/>
        <v>52891.229999999996</v>
      </c>
      <c r="L2456" s="9">
        <f t="shared" si="452"/>
        <v>51571.833000000021</v>
      </c>
      <c r="M2456" s="9">
        <f t="shared" si="463"/>
        <v>5.5541250454530103E-3</v>
      </c>
      <c r="N2456" s="9">
        <f t="shared" si="454"/>
        <v>6.5284455471678092E-3</v>
      </c>
    </row>
    <row r="2457" spans="1:14" x14ac:dyDescent="0.35">
      <c r="A2457" s="1">
        <v>45960</v>
      </c>
      <c r="B2457" s="2" t="s">
        <v>2455</v>
      </c>
      <c r="C2457">
        <f t="shared" si="455"/>
        <v>52543.37</v>
      </c>
      <c r="D2457">
        <f t="shared" si="456"/>
        <v>2025</v>
      </c>
      <c r="E2457">
        <f t="shared" si="457"/>
        <v>10</v>
      </c>
      <c r="F2457" t="str">
        <f t="shared" si="459"/>
        <v>October</v>
      </c>
      <c r="G2457">
        <f t="shared" si="458"/>
        <v>30</v>
      </c>
      <c r="H2457" s="7">
        <f t="shared" si="460"/>
        <v>0.37252360914458837</v>
      </c>
      <c r="I2457" s="9">
        <f t="shared" si="461"/>
        <v>3.7183145836521794E-3</v>
      </c>
      <c r="J2457" s="9">
        <f t="shared" si="462"/>
        <v>52446.177142857145</v>
      </c>
      <c r="K2457" s="9">
        <f t="shared" si="453"/>
        <v>52914.923999999999</v>
      </c>
      <c r="L2457" s="9">
        <f t="shared" si="452"/>
        <v>51590.093555555577</v>
      </c>
      <c r="M2457" s="9">
        <f t="shared" si="463"/>
        <v>5.7027812917377282E-3</v>
      </c>
      <c r="N2457" s="9">
        <f t="shared" si="454"/>
        <v>6.5329729414795182E-3</v>
      </c>
    </row>
    <row r="2458" spans="1:14" x14ac:dyDescent="0.35">
      <c r="A2458" s="1">
        <v>45961</v>
      </c>
      <c r="B2458" s="2" t="s">
        <v>2456</v>
      </c>
      <c r="C2458">
        <f t="shared" si="455"/>
        <v>52532.76</v>
      </c>
      <c r="D2458">
        <f t="shared" si="456"/>
        <v>2025</v>
      </c>
      <c r="E2458">
        <f t="shared" si="457"/>
        <v>10</v>
      </c>
      <c r="F2458" t="str">
        <f t="shared" si="459"/>
        <v>October</v>
      </c>
      <c r="G2458">
        <f t="shared" si="458"/>
        <v>31</v>
      </c>
      <c r="H2458" s="7">
        <f t="shared" si="460"/>
        <v>-2.0192842598410764E-2</v>
      </c>
      <c r="I2458" s="9">
        <f t="shared" si="461"/>
        <v>-2.0194881627367501E-4</v>
      </c>
      <c r="J2458" s="9">
        <f t="shared" si="462"/>
        <v>52465.432857142863</v>
      </c>
      <c r="K2458" s="9">
        <f t="shared" si="453"/>
        <v>52926.874000000003</v>
      </c>
      <c r="L2458" s="9">
        <f t="shared" si="452"/>
        <v>51612.197111111127</v>
      </c>
      <c r="M2458" s="9">
        <f t="shared" si="463"/>
        <v>5.7059630721481994E-3</v>
      </c>
      <c r="N2458" s="9">
        <f t="shared" si="454"/>
        <v>6.4305221769966449E-3</v>
      </c>
    </row>
    <row r="2459" spans="1:14" x14ac:dyDescent="0.35">
      <c r="A2459" s="1">
        <v>45964</v>
      </c>
      <c r="B2459" s="2" t="s">
        <v>2457</v>
      </c>
      <c r="C2459">
        <f t="shared" si="455"/>
        <v>53126.8</v>
      </c>
      <c r="D2459">
        <f t="shared" si="456"/>
        <v>2025</v>
      </c>
      <c r="E2459">
        <f t="shared" si="457"/>
        <v>11</v>
      </c>
      <c r="F2459" t="str">
        <f t="shared" si="459"/>
        <v>November</v>
      </c>
      <c r="G2459">
        <f t="shared" si="458"/>
        <v>3</v>
      </c>
      <c r="H2459" s="7">
        <f t="shared" si="460"/>
        <v>1.1307991432393822</v>
      </c>
      <c r="I2459" s="9">
        <f t="shared" si="461"/>
        <v>1.1244534032997846E-2</v>
      </c>
      <c r="J2459" s="9">
        <f t="shared" si="462"/>
        <v>52511.19</v>
      </c>
      <c r="K2459" s="9">
        <f t="shared" si="453"/>
        <v>52947.701666666682</v>
      </c>
      <c r="L2459" s="9">
        <f t="shared" si="452"/>
        <v>51652.760888888901</v>
      </c>
      <c r="M2459" s="9">
        <f t="shared" si="463"/>
        <v>6.5471221142148371E-3</v>
      </c>
      <c r="N2459" s="9">
        <f t="shared" si="454"/>
        <v>6.6522705642238405E-3</v>
      </c>
    </row>
    <row r="2460" spans="1:14" x14ac:dyDescent="0.35">
      <c r="A2460" s="1">
        <v>45965</v>
      </c>
      <c r="B2460" s="2" t="s">
        <v>2458</v>
      </c>
      <c r="C2460">
        <f t="shared" si="455"/>
        <v>52797.58</v>
      </c>
      <c r="D2460">
        <f t="shared" si="456"/>
        <v>2025</v>
      </c>
      <c r="E2460">
        <f t="shared" si="457"/>
        <v>11</v>
      </c>
      <c r="F2460" t="str">
        <f t="shared" si="459"/>
        <v>November</v>
      </c>
      <c r="G2460">
        <f t="shared" si="458"/>
        <v>4</v>
      </c>
      <c r="H2460" s="7">
        <f t="shared" si="460"/>
        <v>-0.61968723883238053</v>
      </c>
      <c r="I2460" s="9">
        <f t="shared" si="461"/>
        <v>-6.216152695024982E-3</v>
      </c>
      <c r="J2460" s="9">
        <f t="shared" si="462"/>
        <v>52579.161428571431</v>
      </c>
      <c r="K2460" s="9">
        <f t="shared" si="453"/>
        <v>52947.422333333343</v>
      </c>
      <c r="L2460" s="9">
        <f t="shared" ref="L2460:L2523" si="464">AVERAGE(C2371:C2460)</f>
        <v>51695.668444444469</v>
      </c>
      <c r="M2460" s="9">
        <f t="shared" si="463"/>
        <v>5.8353688906120117E-3</v>
      </c>
      <c r="N2460" s="9">
        <f t="shared" si="454"/>
        <v>6.6780699305940697E-3</v>
      </c>
    </row>
    <row r="2461" spans="1:14" x14ac:dyDescent="0.35">
      <c r="A2461" s="1">
        <v>45966</v>
      </c>
      <c r="B2461" s="2" t="s">
        <v>2459</v>
      </c>
      <c r="C2461">
        <f t="shared" si="455"/>
        <v>53282.16</v>
      </c>
      <c r="D2461">
        <f t="shared" si="456"/>
        <v>2025</v>
      </c>
      <c r="E2461">
        <f t="shared" si="457"/>
        <v>11</v>
      </c>
      <c r="F2461" t="str">
        <f t="shared" si="459"/>
        <v>November</v>
      </c>
      <c r="G2461">
        <f t="shared" si="458"/>
        <v>5</v>
      </c>
      <c r="H2461" s="7">
        <f t="shared" si="460"/>
        <v>0.9178072176792984</v>
      </c>
      <c r="I2461" s="9">
        <f t="shared" si="461"/>
        <v>9.1362096224255392E-3</v>
      </c>
      <c r="J2461" s="9">
        <f t="shared" si="462"/>
        <v>52731.09714285715</v>
      </c>
      <c r="K2461" s="9">
        <f t="shared" si="453"/>
        <v>52963.427666666685</v>
      </c>
      <c r="L2461" s="9">
        <f t="shared" si="464"/>
        <v>51735.319555555572</v>
      </c>
      <c r="M2461" s="9">
        <f t="shared" si="463"/>
        <v>6.2917266031910397E-3</v>
      </c>
      <c r="N2461" s="9">
        <f t="shared" si="454"/>
        <v>6.8833529156518856E-3</v>
      </c>
    </row>
    <row r="2462" spans="1:14" x14ac:dyDescent="0.35">
      <c r="A2462" s="1">
        <v>45967</v>
      </c>
      <c r="B2462" s="2" t="s">
        <v>2460</v>
      </c>
      <c r="C2462">
        <f t="shared" si="455"/>
        <v>53764.26</v>
      </c>
      <c r="D2462">
        <f t="shared" si="456"/>
        <v>2025</v>
      </c>
      <c r="E2462">
        <f t="shared" si="457"/>
        <v>11</v>
      </c>
      <c r="F2462" t="str">
        <f t="shared" si="459"/>
        <v>November</v>
      </c>
      <c r="G2462">
        <f t="shared" si="458"/>
        <v>6</v>
      </c>
      <c r="H2462" s="7">
        <f t="shared" si="460"/>
        <v>0.90480566103175708</v>
      </c>
      <c r="I2462" s="9">
        <f t="shared" si="461"/>
        <v>9.0073681959859792E-3</v>
      </c>
      <c r="J2462" s="9">
        <f t="shared" si="462"/>
        <v>52913.612857142864</v>
      </c>
      <c r="K2462" s="9">
        <f t="shared" si="453"/>
        <v>52977.326333333345</v>
      </c>
      <c r="L2462" s="9">
        <f t="shared" si="464"/>
        <v>51785.410222222243</v>
      </c>
      <c r="M2462" s="9">
        <f t="shared" si="463"/>
        <v>6.6818233677567633E-3</v>
      </c>
      <c r="N2462" s="9">
        <f t="shared" si="454"/>
        <v>6.8236870256332622E-3</v>
      </c>
    </row>
    <row r="2463" spans="1:14" x14ac:dyDescent="0.35">
      <c r="A2463" s="1">
        <v>45968</v>
      </c>
      <c r="B2463" s="2" t="s">
        <v>2461</v>
      </c>
      <c r="C2463">
        <f t="shared" si="455"/>
        <v>53638.04</v>
      </c>
      <c r="D2463">
        <f t="shared" si="456"/>
        <v>2025</v>
      </c>
      <c r="E2463">
        <f t="shared" si="457"/>
        <v>11</v>
      </c>
      <c r="F2463" t="str">
        <f t="shared" si="459"/>
        <v>November</v>
      </c>
      <c r="G2463">
        <f t="shared" si="458"/>
        <v>7</v>
      </c>
      <c r="H2463" s="7">
        <f t="shared" si="460"/>
        <v>-0.23476562311096844</v>
      </c>
      <c r="I2463" s="9">
        <f t="shared" si="461"/>
        <v>-2.3504162966355917E-3</v>
      </c>
      <c r="J2463" s="9">
        <f t="shared" si="462"/>
        <v>53097.852857142861</v>
      </c>
      <c r="K2463" s="9">
        <f t="shared" si="453"/>
        <v>52990.252666666674</v>
      </c>
      <c r="L2463" s="9">
        <f t="shared" si="464"/>
        <v>51826.644000000008</v>
      </c>
      <c r="M2463" s="9">
        <f t="shared" si="463"/>
        <v>6.6389644988476843E-3</v>
      </c>
      <c r="N2463" s="9">
        <f t="shared" si="454"/>
        <v>6.8299362326649567E-3</v>
      </c>
    </row>
    <row r="2464" spans="1:14" x14ac:dyDescent="0.35">
      <c r="A2464" s="1">
        <v>45971</v>
      </c>
      <c r="B2464" s="2" t="s">
        <v>2462</v>
      </c>
      <c r="C2464">
        <f t="shared" si="455"/>
        <v>53292.52</v>
      </c>
      <c r="D2464">
        <f t="shared" si="456"/>
        <v>2025</v>
      </c>
      <c r="E2464">
        <f t="shared" si="457"/>
        <v>11</v>
      </c>
      <c r="F2464" t="str">
        <f t="shared" si="459"/>
        <v>November</v>
      </c>
      <c r="G2464">
        <f t="shared" si="458"/>
        <v>10</v>
      </c>
      <c r="H2464" s="7">
        <f t="shared" si="460"/>
        <v>-0.64416969747590347</v>
      </c>
      <c r="I2464" s="9">
        <f t="shared" si="461"/>
        <v>-6.462534237807854E-3</v>
      </c>
      <c r="J2464" s="9">
        <f t="shared" si="462"/>
        <v>53204.874285714286</v>
      </c>
      <c r="K2464" s="9">
        <f t="shared" ref="K2464:K2527" si="465">AVERAGE(C2435:C2464)</f>
        <v>52984.789000000012</v>
      </c>
      <c r="L2464" s="9">
        <f t="shared" si="464"/>
        <v>51860.900555555556</v>
      </c>
      <c r="M2464" s="9">
        <f t="shared" si="463"/>
        <v>7.6199402196385534E-3</v>
      </c>
      <c r="N2464" s="9">
        <f t="shared" si="454"/>
        <v>6.9009344796189896E-3</v>
      </c>
    </row>
    <row r="2465" spans="1:14" x14ac:dyDescent="0.35">
      <c r="A2465" s="1">
        <v>45972</v>
      </c>
      <c r="B2465" s="2" t="s">
        <v>2463</v>
      </c>
      <c r="C2465">
        <f t="shared" si="455"/>
        <v>53005.22</v>
      </c>
      <c r="D2465">
        <f t="shared" si="456"/>
        <v>2025</v>
      </c>
      <c r="E2465">
        <f t="shared" si="457"/>
        <v>11</v>
      </c>
      <c r="F2465" t="str">
        <f t="shared" si="459"/>
        <v>November</v>
      </c>
      <c r="G2465">
        <f t="shared" si="458"/>
        <v>11</v>
      </c>
      <c r="H2465" s="7">
        <f t="shared" si="460"/>
        <v>-0.53910004631043096</v>
      </c>
      <c r="I2465" s="9">
        <f t="shared" si="461"/>
        <v>-5.405584344189117E-3</v>
      </c>
      <c r="J2465" s="9">
        <f t="shared" si="462"/>
        <v>53272.368571428582</v>
      </c>
      <c r="K2465" s="9">
        <f t="shared" si="465"/>
        <v>52962.282000000007</v>
      </c>
      <c r="L2465" s="9">
        <f t="shared" si="464"/>
        <v>51892.544333333324</v>
      </c>
      <c r="M2465" s="9">
        <f t="shared" si="463"/>
        <v>8.1111064118522102E-3</v>
      </c>
      <c r="N2465" s="9">
        <f t="shared" ref="N2465:N2528" si="466">STDEV(I2436:I2465)</f>
        <v>6.9176740824704267E-3</v>
      </c>
    </row>
    <row r="2466" spans="1:14" x14ac:dyDescent="0.35">
      <c r="A2466" s="1">
        <v>45973</v>
      </c>
      <c r="B2466" s="2" t="s">
        <v>2464</v>
      </c>
      <c r="C2466">
        <f t="shared" si="455"/>
        <v>52974.03</v>
      </c>
      <c r="D2466">
        <f t="shared" si="456"/>
        <v>2025</v>
      </c>
      <c r="E2466">
        <f t="shared" si="457"/>
        <v>11</v>
      </c>
      <c r="F2466" t="str">
        <f t="shared" si="459"/>
        <v>November</v>
      </c>
      <c r="G2466">
        <f t="shared" si="458"/>
        <v>12</v>
      </c>
      <c r="H2466" s="7">
        <f t="shared" si="460"/>
        <v>-5.8843261097684958E-2</v>
      </c>
      <c r="I2466" s="9">
        <f t="shared" si="461"/>
        <v>-5.8860580539117646E-4</v>
      </c>
      <c r="J2466" s="9">
        <f t="shared" si="462"/>
        <v>53250.544285714292</v>
      </c>
      <c r="K2466" s="9">
        <f t="shared" si="465"/>
        <v>52940.683000000005</v>
      </c>
      <c r="L2466" s="9">
        <f t="shared" si="464"/>
        <v>51923.437555555553</v>
      </c>
      <c r="M2466" s="9">
        <f t="shared" si="463"/>
        <v>6.8180457440179514E-3</v>
      </c>
      <c r="N2466" s="9">
        <f t="shared" si="466"/>
        <v>6.9166131528852646E-3</v>
      </c>
    </row>
    <row r="2467" spans="1:14" x14ac:dyDescent="0.35">
      <c r="A2467" s="1">
        <v>45974</v>
      </c>
      <c r="B2467" s="2" t="s">
        <v>2465</v>
      </c>
      <c r="C2467">
        <f t="shared" si="455"/>
        <v>52837.86</v>
      </c>
      <c r="D2467">
        <f t="shared" si="456"/>
        <v>2025</v>
      </c>
      <c r="E2467">
        <f t="shared" si="457"/>
        <v>11</v>
      </c>
      <c r="F2467" t="str">
        <f t="shared" si="459"/>
        <v>November</v>
      </c>
      <c r="G2467">
        <f t="shared" si="458"/>
        <v>13</v>
      </c>
      <c r="H2467" s="7">
        <f t="shared" si="460"/>
        <v>-0.25705048303857242</v>
      </c>
      <c r="I2467" s="9">
        <f t="shared" si="461"/>
        <v>-2.573814250397113E-3</v>
      </c>
      <c r="J2467" s="9">
        <f t="shared" si="462"/>
        <v>53256.298571428568</v>
      </c>
      <c r="K2467" s="9">
        <f t="shared" si="465"/>
        <v>52918.609333333341</v>
      </c>
      <c r="L2467" s="9">
        <f t="shared" si="464"/>
        <v>51947.234888888896</v>
      </c>
      <c r="M2467" s="9">
        <f t="shared" si="463"/>
        <v>6.4291011231235751E-3</v>
      </c>
      <c r="N2467" s="9">
        <f t="shared" si="466"/>
        <v>6.9195994676891784E-3</v>
      </c>
    </row>
    <row r="2468" spans="1:14" x14ac:dyDescent="0.35">
      <c r="A2468" s="1">
        <v>45975</v>
      </c>
      <c r="B2468" s="2" t="s">
        <v>2466</v>
      </c>
      <c r="C2468">
        <f t="shared" si="455"/>
        <v>52892.92</v>
      </c>
      <c r="D2468">
        <f t="shared" si="456"/>
        <v>2025</v>
      </c>
      <c r="E2468">
        <f t="shared" si="457"/>
        <v>11</v>
      </c>
      <c r="F2468" t="str">
        <f t="shared" si="459"/>
        <v>November</v>
      </c>
      <c r="G2468">
        <f t="shared" si="458"/>
        <v>14</v>
      </c>
      <c r="H2468" s="7">
        <f t="shared" si="460"/>
        <v>0.10420558289074855</v>
      </c>
      <c r="I2468" s="9">
        <f t="shared" si="461"/>
        <v>1.0415132656203154E-3</v>
      </c>
      <c r="J2468" s="9">
        <f t="shared" si="462"/>
        <v>53200.692857142851</v>
      </c>
      <c r="K2468" s="9">
        <f t="shared" si="465"/>
        <v>52927.329000000005</v>
      </c>
      <c r="L2468" s="9">
        <f t="shared" si="464"/>
        <v>51973.140333333329</v>
      </c>
      <c r="M2468" s="9">
        <f t="shared" si="463"/>
        <v>5.1318881472148534E-3</v>
      </c>
      <c r="N2468" s="9">
        <f t="shared" si="466"/>
        <v>6.2310640716017156E-3</v>
      </c>
    </row>
    <row r="2469" spans="1:14" x14ac:dyDescent="0.35">
      <c r="A2469" s="1">
        <v>45978</v>
      </c>
      <c r="B2469" s="2" t="s">
        <v>2467</v>
      </c>
      <c r="C2469">
        <f t="shared" si="455"/>
        <v>53046.31</v>
      </c>
      <c r="D2469">
        <f t="shared" si="456"/>
        <v>2025</v>
      </c>
      <c r="E2469">
        <f t="shared" si="457"/>
        <v>11</v>
      </c>
      <c r="F2469" t="str">
        <f t="shared" si="459"/>
        <v>November</v>
      </c>
      <c r="G2469">
        <f t="shared" si="458"/>
        <v>17</v>
      </c>
      <c r="H2469" s="7">
        <f t="shared" si="460"/>
        <v>0.29000100580569083</v>
      </c>
      <c r="I2469" s="9">
        <f t="shared" si="461"/>
        <v>2.89581314099845E-3</v>
      </c>
      <c r="J2469" s="9">
        <f t="shared" si="462"/>
        <v>53098.12857142857</v>
      </c>
      <c r="K2469" s="9">
        <f t="shared" si="465"/>
        <v>52937.76866666667</v>
      </c>
      <c r="L2469" s="9">
        <f t="shared" si="464"/>
        <v>52000.138999999988</v>
      </c>
      <c r="M2469" s="9">
        <f t="shared" si="463"/>
        <v>3.3449432590243219E-3</v>
      </c>
      <c r="N2469" s="9">
        <f t="shared" si="466"/>
        <v>6.2429592817950155E-3</v>
      </c>
    </row>
    <row r="2470" spans="1:14" x14ac:dyDescent="0.35">
      <c r="A2470" s="1">
        <v>45979</v>
      </c>
      <c r="B2470" s="2" t="s">
        <v>2468</v>
      </c>
      <c r="C2470">
        <f t="shared" si="455"/>
        <v>53088.46</v>
      </c>
      <c r="D2470">
        <f t="shared" si="456"/>
        <v>2025</v>
      </c>
      <c r="E2470">
        <f t="shared" si="457"/>
        <v>11</v>
      </c>
      <c r="F2470" t="str">
        <f t="shared" si="459"/>
        <v>November</v>
      </c>
      <c r="G2470">
        <f t="shared" si="458"/>
        <v>18</v>
      </c>
      <c r="H2470" s="7">
        <f t="shared" si="460"/>
        <v>7.9458872822636403E-2</v>
      </c>
      <c r="I2470" s="9">
        <f t="shared" si="461"/>
        <v>7.9427320973007214E-4</v>
      </c>
      <c r="J2470" s="9">
        <f t="shared" si="462"/>
        <v>53019.617142857147</v>
      </c>
      <c r="K2470" s="9">
        <f t="shared" si="465"/>
        <v>52925.761000000006</v>
      </c>
      <c r="L2470" s="9">
        <f t="shared" si="464"/>
        <v>52022.03588888888</v>
      </c>
      <c r="M2470" s="9">
        <f t="shared" si="463"/>
        <v>3.4857908928062312E-3</v>
      </c>
      <c r="N2470" s="9">
        <f t="shared" si="466"/>
        <v>5.720108283333014E-3</v>
      </c>
    </row>
    <row r="2471" spans="1:14" x14ac:dyDescent="0.35">
      <c r="A2471" s="1">
        <v>45980</v>
      </c>
      <c r="B2471" s="2" t="s">
        <v>2469</v>
      </c>
      <c r="C2471">
        <f t="shared" si="455"/>
        <v>52837.03</v>
      </c>
      <c r="D2471">
        <f t="shared" si="456"/>
        <v>2025</v>
      </c>
      <c r="E2471">
        <f t="shared" si="457"/>
        <v>11</v>
      </c>
      <c r="F2471" t="str">
        <f t="shared" si="459"/>
        <v>November</v>
      </c>
      <c r="G2471">
        <f t="shared" si="458"/>
        <v>19</v>
      </c>
      <c r="H2471" s="7">
        <f t="shared" si="460"/>
        <v>-0.47360575160778878</v>
      </c>
      <c r="I2471" s="9">
        <f t="shared" si="461"/>
        <v>-4.7473081730365352E-3</v>
      </c>
      <c r="J2471" s="9">
        <f t="shared" si="462"/>
        <v>52954.54714285714</v>
      </c>
      <c r="K2471" s="9">
        <f t="shared" si="465"/>
        <v>52901.531000000003</v>
      </c>
      <c r="L2471" s="9">
        <f t="shared" si="464"/>
        <v>52046.93044444445</v>
      </c>
      <c r="M2471" s="9">
        <f t="shared" si="463"/>
        <v>3.1172604039024806E-3</v>
      </c>
      <c r="N2471" s="9">
        <f t="shared" si="466"/>
        <v>5.7597563488556904E-3</v>
      </c>
    </row>
    <row r="2472" spans="1:14" x14ac:dyDescent="0.35">
      <c r="A2472" s="1">
        <v>45981</v>
      </c>
      <c r="B2472" s="2" t="s">
        <v>2470</v>
      </c>
      <c r="C2472">
        <f t="shared" si="455"/>
        <v>52814.879999999997</v>
      </c>
      <c r="D2472">
        <f t="shared" si="456"/>
        <v>2025</v>
      </c>
      <c r="E2472">
        <f t="shared" si="457"/>
        <v>11</v>
      </c>
      <c r="F2472" t="str">
        <f t="shared" si="459"/>
        <v>November</v>
      </c>
      <c r="G2472">
        <f t="shared" si="458"/>
        <v>20</v>
      </c>
      <c r="H2472" s="7">
        <f t="shared" si="460"/>
        <v>-4.1921357048269853E-2</v>
      </c>
      <c r="I2472" s="9">
        <f t="shared" si="461"/>
        <v>-4.1930146505678607E-4</v>
      </c>
      <c r="J2472" s="9">
        <f t="shared" si="462"/>
        <v>52927.35571428571</v>
      </c>
      <c r="K2472" s="9">
        <f t="shared" si="465"/>
        <v>52878.473000000005</v>
      </c>
      <c r="L2472" s="9">
        <f t="shared" si="464"/>
        <v>52071.25066666666</v>
      </c>
      <c r="M2472" s="9">
        <f t="shared" si="463"/>
        <v>2.5145010304795947E-3</v>
      </c>
      <c r="N2472" s="9">
        <f t="shared" si="466"/>
        <v>5.7585854382751177E-3</v>
      </c>
    </row>
    <row r="2473" spans="1:14" x14ac:dyDescent="0.35">
      <c r="A2473" s="1">
        <v>45982</v>
      </c>
      <c r="B2473" s="2" t="s">
        <v>2471</v>
      </c>
      <c r="C2473">
        <f t="shared" si="455"/>
        <v>52547.519999999997</v>
      </c>
      <c r="D2473">
        <f t="shared" si="456"/>
        <v>2025</v>
      </c>
      <c r="E2473">
        <f t="shared" si="457"/>
        <v>11</v>
      </c>
      <c r="F2473" t="str">
        <f t="shared" si="459"/>
        <v>November</v>
      </c>
      <c r="G2473">
        <f t="shared" si="458"/>
        <v>21</v>
      </c>
      <c r="H2473" s="7">
        <f t="shared" si="460"/>
        <v>-0.50622097408912148</v>
      </c>
      <c r="I2473" s="9">
        <f t="shared" si="461"/>
        <v>-5.0750661308025377E-3</v>
      </c>
      <c r="J2473" s="9">
        <f t="shared" si="462"/>
        <v>52866.42571428571</v>
      </c>
      <c r="K2473" s="9">
        <f t="shared" si="465"/>
        <v>52847.294333333339</v>
      </c>
      <c r="L2473" s="9">
        <f t="shared" si="464"/>
        <v>52092.69455555555</v>
      </c>
      <c r="M2473" s="9">
        <f t="shared" si="463"/>
        <v>3.0512103115265146E-3</v>
      </c>
      <c r="N2473" s="9">
        <f t="shared" si="466"/>
        <v>5.8206074525030144E-3</v>
      </c>
    </row>
    <row r="2474" spans="1:14" x14ac:dyDescent="0.35">
      <c r="A2474" s="1">
        <v>45985</v>
      </c>
      <c r="B2474" s="2" t="s">
        <v>2472</v>
      </c>
      <c r="C2474">
        <f t="shared" si="455"/>
        <v>52170.37</v>
      </c>
      <c r="D2474">
        <f t="shared" si="456"/>
        <v>2025</v>
      </c>
      <c r="E2474">
        <f t="shared" si="457"/>
        <v>11</v>
      </c>
      <c r="F2474" t="str">
        <f t="shared" si="459"/>
        <v>November</v>
      </c>
      <c r="G2474">
        <f t="shared" si="458"/>
        <v>24</v>
      </c>
      <c r="H2474" s="7">
        <f t="shared" si="460"/>
        <v>-0.71773130301866617</v>
      </c>
      <c r="I2474" s="9">
        <f t="shared" si="461"/>
        <v>-7.2031938522133625E-3</v>
      </c>
      <c r="J2474" s="9">
        <f t="shared" si="462"/>
        <v>52771.07</v>
      </c>
      <c r="K2474" s="9">
        <f t="shared" si="465"/>
        <v>52800.880000000005</v>
      </c>
      <c r="L2474" s="9">
        <f t="shared" si="464"/>
        <v>52116.756222222219</v>
      </c>
      <c r="M2474" s="9">
        <f t="shared" si="463"/>
        <v>3.8159052046880756E-3</v>
      </c>
      <c r="N2474" s="9">
        <f t="shared" si="466"/>
        <v>5.9289210233923161E-3</v>
      </c>
    </row>
    <row r="2475" spans="1:14" x14ac:dyDescent="0.35">
      <c r="A2475" s="1">
        <v>45986</v>
      </c>
      <c r="B2475" s="2" t="s">
        <v>2473</v>
      </c>
      <c r="C2475">
        <f t="shared" si="455"/>
        <v>51276.4</v>
      </c>
      <c r="D2475">
        <f t="shared" si="456"/>
        <v>2025</v>
      </c>
      <c r="E2475">
        <f t="shared" si="457"/>
        <v>11</v>
      </c>
      <c r="F2475" t="str">
        <f t="shared" si="459"/>
        <v>November</v>
      </c>
      <c r="G2475">
        <f t="shared" si="458"/>
        <v>25</v>
      </c>
      <c r="H2475" s="7">
        <f t="shared" si="460"/>
        <v>-1.7135588649265878</v>
      </c>
      <c r="I2475" s="9">
        <f t="shared" si="461"/>
        <v>-1.7284101867763628E-2</v>
      </c>
      <c r="J2475" s="9">
        <f t="shared" si="462"/>
        <v>52540.138571428579</v>
      </c>
      <c r="K2475" s="9">
        <f t="shared" si="465"/>
        <v>52744.833333333343</v>
      </c>
      <c r="L2475" s="9">
        <f t="shared" si="464"/>
        <v>52137.269444444442</v>
      </c>
      <c r="M2475" s="9">
        <f t="shared" si="463"/>
        <v>6.7141825768353702E-3</v>
      </c>
      <c r="N2475" s="9">
        <f t="shared" si="466"/>
        <v>6.372193898031989E-3</v>
      </c>
    </row>
    <row r="2476" spans="1:14" x14ac:dyDescent="0.35">
      <c r="A2476" s="1">
        <v>45987</v>
      </c>
      <c r="B2476" s="2" t="s">
        <v>2474</v>
      </c>
      <c r="C2476">
        <f t="shared" si="455"/>
        <v>51097.48</v>
      </c>
      <c r="D2476">
        <f t="shared" si="456"/>
        <v>2025</v>
      </c>
      <c r="E2476">
        <f t="shared" si="457"/>
        <v>11</v>
      </c>
      <c r="F2476" t="str">
        <f t="shared" si="459"/>
        <v>November</v>
      </c>
      <c r="G2476">
        <f t="shared" si="458"/>
        <v>26</v>
      </c>
      <c r="H2476" s="7">
        <f t="shared" si="460"/>
        <v>-0.3489324523562462</v>
      </c>
      <c r="I2476" s="9">
        <f t="shared" si="461"/>
        <v>-3.4954264148321108E-3</v>
      </c>
      <c r="J2476" s="9">
        <f t="shared" si="462"/>
        <v>52261.734285714287</v>
      </c>
      <c r="K2476" s="9">
        <f t="shared" si="465"/>
        <v>52687.118333333332</v>
      </c>
      <c r="L2476" s="9">
        <f t="shared" si="464"/>
        <v>52152.442666666662</v>
      </c>
      <c r="M2476" s="9">
        <f t="shared" si="463"/>
        <v>5.9413692162570315E-3</v>
      </c>
      <c r="N2476" s="9">
        <f t="shared" si="466"/>
        <v>6.3829173711462345E-3</v>
      </c>
    </row>
    <row r="2477" spans="1:14" x14ac:dyDescent="0.35">
      <c r="A2477" s="1">
        <v>45988</v>
      </c>
      <c r="B2477" s="2" t="s">
        <v>2475</v>
      </c>
      <c r="C2477">
        <f t="shared" si="455"/>
        <v>50811.66</v>
      </c>
      <c r="D2477">
        <f t="shared" si="456"/>
        <v>2025</v>
      </c>
      <c r="E2477">
        <f t="shared" si="457"/>
        <v>11</v>
      </c>
      <c r="F2477" t="str">
        <f t="shared" si="459"/>
        <v>November</v>
      </c>
      <c r="G2477">
        <f t="shared" si="458"/>
        <v>27</v>
      </c>
      <c r="H2477" s="7">
        <f t="shared" si="460"/>
        <v>-0.5593622229511116</v>
      </c>
      <c r="I2477" s="9">
        <f t="shared" si="461"/>
        <v>-5.6093251190664295E-3</v>
      </c>
      <c r="J2477" s="9">
        <f t="shared" si="462"/>
        <v>51936.47714285714</v>
      </c>
      <c r="K2477" s="9">
        <f t="shared" si="465"/>
        <v>52621.775333333331</v>
      </c>
      <c r="L2477" s="9">
        <f t="shared" si="464"/>
        <v>52158.186444444451</v>
      </c>
      <c r="M2477" s="9">
        <f t="shared" si="463"/>
        <v>5.2961105044636173E-3</v>
      </c>
      <c r="N2477" s="9">
        <f t="shared" si="466"/>
        <v>6.4355132819096522E-3</v>
      </c>
    </row>
    <row r="2478" spans="1:14" x14ac:dyDescent="0.35">
      <c r="A2478" s="1">
        <v>45989</v>
      </c>
      <c r="B2478" s="2" t="s">
        <v>2476</v>
      </c>
      <c r="C2478">
        <f t="shared" si="455"/>
        <v>51670.16</v>
      </c>
      <c r="D2478">
        <f t="shared" si="456"/>
        <v>2025</v>
      </c>
      <c r="E2478">
        <f t="shared" si="457"/>
        <v>11</v>
      </c>
      <c r="F2478" t="str">
        <f t="shared" si="459"/>
        <v>November</v>
      </c>
      <c r="G2478">
        <f t="shared" si="458"/>
        <v>28</v>
      </c>
      <c r="H2478" s="7">
        <f t="shared" si="460"/>
        <v>1.6895728263945715</v>
      </c>
      <c r="I2478" s="9">
        <f t="shared" si="461"/>
        <v>1.6754583062642225E-2</v>
      </c>
      <c r="J2478" s="9">
        <f t="shared" si="462"/>
        <v>51769.781428571427</v>
      </c>
      <c r="K2478" s="9">
        <f t="shared" si="465"/>
        <v>52577.791999999994</v>
      </c>
      <c r="L2478" s="9">
        <f t="shared" si="464"/>
        <v>52160.154888888894</v>
      </c>
      <c r="M2478" s="9">
        <f t="shared" si="463"/>
        <v>1.0244612319273691E-2</v>
      </c>
      <c r="N2478" s="9">
        <f t="shared" si="466"/>
        <v>7.171288547627064E-3</v>
      </c>
    </row>
    <row r="2479" spans="1:14" x14ac:dyDescent="0.35">
      <c r="A2479" s="1">
        <v>45992</v>
      </c>
      <c r="B2479" s="2" t="s">
        <v>2477</v>
      </c>
      <c r="C2479">
        <f t="shared" si="455"/>
        <v>52454.239999999998</v>
      </c>
      <c r="D2479">
        <f t="shared" si="456"/>
        <v>2025</v>
      </c>
      <c r="E2479">
        <f t="shared" si="457"/>
        <v>12</v>
      </c>
      <c r="F2479" t="str">
        <f t="shared" si="459"/>
        <v>December</v>
      </c>
      <c r="G2479">
        <f t="shared" si="458"/>
        <v>1</v>
      </c>
      <c r="H2479" s="7">
        <f t="shared" si="460"/>
        <v>1.5174715928884186</v>
      </c>
      <c r="I2479" s="9">
        <f t="shared" si="461"/>
        <v>1.5060731600490282E-2</v>
      </c>
      <c r="J2479" s="9">
        <f t="shared" si="462"/>
        <v>51718.26142857143</v>
      </c>
      <c r="K2479" s="9">
        <f t="shared" si="465"/>
        <v>52582.609999999993</v>
      </c>
      <c r="L2479" s="9">
        <f t="shared" si="464"/>
        <v>52176.55922222224</v>
      </c>
      <c r="M2479" s="9">
        <f t="shared" si="463"/>
        <v>1.238883882260396E-2</v>
      </c>
      <c r="N2479" s="9">
        <f t="shared" si="466"/>
        <v>7.3633872518187949E-3</v>
      </c>
    </row>
    <row r="2480" spans="1:14" x14ac:dyDescent="0.35">
      <c r="A2480" s="1">
        <v>45993</v>
      </c>
      <c r="B2480" s="2" t="s">
        <v>2478</v>
      </c>
      <c r="C2480">
        <f t="shared" si="455"/>
        <v>52357.5</v>
      </c>
      <c r="D2480">
        <f t="shared" si="456"/>
        <v>2025</v>
      </c>
      <c r="E2480">
        <f t="shared" si="457"/>
        <v>12</v>
      </c>
      <c r="F2480" t="str">
        <f t="shared" si="459"/>
        <v>December</v>
      </c>
      <c r="G2480">
        <f t="shared" si="458"/>
        <v>2</v>
      </c>
      <c r="H2480" s="7">
        <f t="shared" si="460"/>
        <v>-0.18442741711632457</v>
      </c>
      <c r="I2480" s="9">
        <f t="shared" si="461"/>
        <v>-1.8459769386746669E-3</v>
      </c>
      <c r="J2480" s="9">
        <f t="shared" si="462"/>
        <v>51691.115714285712</v>
      </c>
      <c r="K2480" s="9">
        <f t="shared" si="465"/>
        <v>52581.313333333332</v>
      </c>
      <c r="L2480" s="9">
        <f t="shared" si="464"/>
        <v>52194.96811111112</v>
      </c>
      <c r="M2480" s="9">
        <f t="shared" si="463"/>
        <v>1.2270446700267097E-2</v>
      </c>
      <c r="N2480" s="9">
        <f t="shared" si="466"/>
        <v>7.365495460881214E-3</v>
      </c>
    </row>
    <row r="2481" spans="1:14" x14ac:dyDescent="0.35">
      <c r="A2481" s="1">
        <v>45994</v>
      </c>
      <c r="B2481" s="2" t="s">
        <v>2479</v>
      </c>
      <c r="C2481">
        <f t="shared" si="455"/>
        <v>52217.72</v>
      </c>
      <c r="D2481">
        <f t="shared" si="456"/>
        <v>2025</v>
      </c>
      <c r="E2481">
        <f t="shared" si="457"/>
        <v>12</v>
      </c>
      <c r="F2481" t="str">
        <f t="shared" si="459"/>
        <v>December</v>
      </c>
      <c r="G2481">
        <f t="shared" si="458"/>
        <v>3</v>
      </c>
      <c r="H2481" s="7">
        <f t="shared" si="460"/>
        <v>-0.26697225803370833</v>
      </c>
      <c r="I2481" s="9">
        <f t="shared" si="461"/>
        <v>-2.6732926451357398E-3</v>
      </c>
      <c r="J2481" s="9">
        <f t="shared" si="462"/>
        <v>51697.880000000005</v>
      </c>
      <c r="K2481" s="9">
        <f t="shared" si="465"/>
        <v>52575.305</v>
      </c>
      <c r="L2481" s="9">
        <f t="shared" si="464"/>
        <v>52216.234222222236</v>
      </c>
      <c r="M2481" s="9">
        <f t="shared" si="463"/>
        <v>1.1974980549009298E-2</v>
      </c>
      <c r="N2481" s="9">
        <f t="shared" si="466"/>
        <v>7.3813215840055702E-3</v>
      </c>
    </row>
    <row r="2482" spans="1:14" x14ac:dyDescent="0.35">
      <c r="A2482" s="1">
        <v>45995</v>
      </c>
      <c r="B2482" s="2" t="s">
        <v>2480</v>
      </c>
      <c r="C2482">
        <f t="shared" si="455"/>
        <v>51890.42</v>
      </c>
      <c r="D2482">
        <f t="shared" si="456"/>
        <v>2025</v>
      </c>
      <c r="E2482">
        <f t="shared" si="457"/>
        <v>12</v>
      </c>
      <c r="F2482" t="str">
        <f t="shared" si="459"/>
        <v>December</v>
      </c>
      <c r="G2482">
        <f t="shared" si="458"/>
        <v>4</v>
      </c>
      <c r="H2482" s="7">
        <f t="shared" si="460"/>
        <v>-0.62679871890232453</v>
      </c>
      <c r="I2482" s="9">
        <f t="shared" si="461"/>
        <v>-6.2877134934062979E-3</v>
      </c>
      <c r="J2482" s="9">
        <f t="shared" si="462"/>
        <v>51785.597142857143</v>
      </c>
      <c r="K2482" s="9">
        <f t="shared" si="465"/>
        <v>52544.768999999993</v>
      </c>
      <c r="L2482" s="9">
        <f t="shared" si="464"/>
        <v>52240.726666666669</v>
      </c>
      <c r="M2482" s="9">
        <f t="shared" si="463"/>
        <v>9.8409985557858307E-3</v>
      </c>
      <c r="N2482" s="9">
        <f t="shared" si="466"/>
        <v>7.3095083877981765E-3</v>
      </c>
    </row>
    <row r="2483" spans="1:14" x14ac:dyDescent="0.35">
      <c r="A2483" s="1">
        <v>45996</v>
      </c>
      <c r="B2483" s="2" t="s">
        <v>2481</v>
      </c>
      <c r="C2483">
        <f t="shared" si="455"/>
        <v>51141.14</v>
      </c>
      <c r="D2483">
        <f t="shared" si="456"/>
        <v>2025</v>
      </c>
      <c r="E2483">
        <f t="shared" si="457"/>
        <v>12</v>
      </c>
      <c r="F2483" t="str">
        <f t="shared" si="459"/>
        <v>December</v>
      </c>
      <c r="G2483">
        <f t="shared" si="458"/>
        <v>5</v>
      </c>
      <c r="H2483" s="7">
        <f t="shared" si="460"/>
        <v>-1.4439659574927295</v>
      </c>
      <c r="I2483" s="9">
        <f t="shared" si="461"/>
        <v>-1.4544926029261468E-2</v>
      </c>
      <c r="J2483" s="9">
        <f t="shared" si="462"/>
        <v>51791.834285714292</v>
      </c>
      <c r="K2483" s="9">
        <f t="shared" si="465"/>
        <v>52505.414333333327</v>
      </c>
      <c r="L2483" s="9">
        <f t="shared" si="464"/>
        <v>52250.747444444452</v>
      </c>
      <c r="M2483" s="9">
        <f t="shared" si="463"/>
        <v>1.1550947646587161E-2</v>
      </c>
      <c r="N2483" s="9">
        <f t="shared" si="466"/>
        <v>7.5858328018811056E-3</v>
      </c>
    </row>
    <row r="2484" spans="1:14" x14ac:dyDescent="0.35">
      <c r="A2484" s="1">
        <v>45999</v>
      </c>
      <c r="B2484" s="2" t="s">
        <v>2482</v>
      </c>
      <c r="C2484">
        <f t="shared" si="455"/>
        <v>50086.68</v>
      </c>
      <c r="D2484">
        <f t="shared" si="456"/>
        <v>2025</v>
      </c>
      <c r="E2484">
        <f t="shared" si="457"/>
        <v>12</v>
      </c>
      <c r="F2484" t="str">
        <f t="shared" si="459"/>
        <v>December</v>
      </c>
      <c r="G2484">
        <f t="shared" si="458"/>
        <v>8</v>
      </c>
      <c r="H2484" s="7">
        <f t="shared" si="460"/>
        <v>-2.0618625239875357</v>
      </c>
      <c r="I2484" s="9">
        <f t="shared" si="461"/>
        <v>-2.0834156884611894E-2</v>
      </c>
      <c r="J2484" s="9">
        <f t="shared" si="462"/>
        <v>51688.265714285713</v>
      </c>
      <c r="K2484" s="9">
        <f t="shared" si="465"/>
        <v>52434.349999999984</v>
      </c>
      <c r="L2484" s="9">
        <f t="shared" si="464"/>
        <v>52247.434222222211</v>
      </c>
      <c r="M2484" s="9">
        <f t="shared" si="463"/>
        <v>1.3986573798186392E-2</v>
      </c>
      <c r="N2484" s="9">
        <f t="shared" si="466"/>
        <v>8.4249481641187809E-3</v>
      </c>
    </row>
    <row r="2485" spans="1:14" x14ac:dyDescent="0.35">
      <c r="A2485" s="1">
        <v>46000</v>
      </c>
      <c r="B2485" s="2" t="s">
        <v>2483</v>
      </c>
      <c r="C2485">
        <f t="shared" si="455"/>
        <v>51679.66</v>
      </c>
      <c r="D2485">
        <f t="shared" si="456"/>
        <v>2025</v>
      </c>
      <c r="E2485">
        <f t="shared" si="457"/>
        <v>12</v>
      </c>
      <c r="F2485" t="str">
        <f t="shared" si="459"/>
        <v>December</v>
      </c>
      <c r="G2485">
        <f t="shared" si="458"/>
        <v>9</v>
      </c>
      <c r="H2485" s="7">
        <f t="shared" si="460"/>
        <v>3.1804463781588299</v>
      </c>
      <c r="I2485" s="9">
        <f t="shared" si="461"/>
        <v>3.1309176027223121E-2</v>
      </c>
      <c r="J2485" s="9">
        <f t="shared" si="462"/>
        <v>51689.622857142858</v>
      </c>
      <c r="K2485" s="9">
        <f t="shared" si="465"/>
        <v>52407.45033333332</v>
      </c>
      <c r="L2485" s="9">
        <f t="shared" si="464"/>
        <v>52254.956111111096</v>
      </c>
      <c r="M2485" s="9">
        <f t="shared" si="463"/>
        <v>1.7808199156966784E-2</v>
      </c>
      <c r="N2485" s="9">
        <f t="shared" si="466"/>
        <v>1.0276151187798396E-2</v>
      </c>
    </row>
    <row r="2486" spans="1:14" x14ac:dyDescent="0.35">
      <c r="A2486" s="1">
        <v>46001</v>
      </c>
      <c r="B2486" s="2" t="s">
        <v>2484</v>
      </c>
      <c r="C2486">
        <f t="shared" si="455"/>
        <v>53585.53</v>
      </c>
      <c r="D2486">
        <f t="shared" si="456"/>
        <v>2025</v>
      </c>
      <c r="E2486">
        <f t="shared" si="457"/>
        <v>12</v>
      </c>
      <c r="F2486" t="str">
        <f t="shared" si="459"/>
        <v>December</v>
      </c>
      <c r="G2486">
        <f t="shared" si="458"/>
        <v>10</v>
      </c>
      <c r="H2486" s="7">
        <f t="shared" si="460"/>
        <v>3.68785320956058</v>
      </c>
      <c r="I2486" s="9">
        <f t="shared" si="461"/>
        <v>3.6214788438366723E-2</v>
      </c>
      <c r="J2486" s="9">
        <f t="shared" si="462"/>
        <v>51851.235714285714</v>
      </c>
      <c r="K2486" s="9">
        <f t="shared" si="465"/>
        <v>52448.689333333321</v>
      </c>
      <c r="L2486" s="9">
        <f t="shared" si="464"/>
        <v>52288.238888888882</v>
      </c>
      <c r="M2486" s="9">
        <f t="shared" si="463"/>
        <v>2.2069730912167893E-2</v>
      </c>
      <c r="N2486" s="9">
        <f t="shared" si="466"/>
        <v>1.2256940697478982E-2</v>
      </c>
    </row>
    <row r="2487" spans="1:14" x14ac:dyDescent="0.35">
      <c r="A2487" s="1">
        <v>46002</v>
      </c>
      <c r="B2487" s="2" t="s">
        <v>2485</v>
      </c>
      <c r="C2487">
        <f t="shared" si="455"/>
        <v>53557.2</v>
      </c>
      <c r="D2487">
        <f t="shared" si="456"/>
        <v>2025</v>
      </c>
      <c r="E2487">
        <f t="shared" si="457"/>
        <v>12</v>
      </c>
      <c r="F2487" t="str">
        <f t="shared" si="459"/>
        <v>December</v>
      </c>
      <c r="G2487">
        <f t="shared" si="458"/>
        <v>11</v>
      </c>
      <c r="H2487" s="7">
        <f t="shared" si="460"/>
        <v>-5.2868750201783478E-2</v>
      </c>
      <c r="I2487" s="9">
        <f t="shared" si="461"/>
        <v>-5.2882730653267679E-4</v>
      </c>
      <c r="J2487" s="9">
        <f t="shared" si="462"/>
        <v>52022.62142857143</v>
      </c>
      <c r="K2487" s="9">
        <f t="shared" si="465"/>
        <v>52482.483666666652</v>
      </c>
      <c r="L2487" s="9">
        <f t="shared" si="464"/>
        <v>52318.899999999987</v>
      </c>
      <c r="M2487" s="9">
        <f t="shared" si="463"/>
        <v>2.2026621255566269E-2</v>
      </c>
      <c r="N2487" s="9">
        <f t="shared" si="466"/>
        <v>1.2246338739663949E-2</v>
      </c>
    </row>
    <row r="2488" spans="1:14" x14ac:dyDescent="0.35">
      <c r="A2488" s="1">
        <v>46003</v>
      </c>
      <c r="B2488" s="2" t="s">
        <v>2486</v>
      </c>
      <c r="C2488">
        <f t="shared" si="455"/>
        <v>52955.18</v>
      </c>
      <c r="D2488">
        <f t="shared" si="456"/>
        <v>2025</v>
      </c>
      <c r="E2488">
        <f t="shared" si="457"/>
        <v>12</v>
      </c>
      <c r="F2488" t="str">
        <f t="shared" si="459"/>
        <v>December</v>
      </c>
      <c r="G2488">
        <f t="shared" si="458"/>
        <v>12</v>
      </c>
      <c r="H2488" s="7">
        <f t="shared" si="460"/>
        <v>-1.1240692194513469</v>
      </c>
      <c r="I2488" s="9">
        <f t="shared" si="461"/>
        <v>-1.1304346234861264E-2</v>
      </c>
      <c r="J2488" s="9">
        <f t="shared" si="462"/>
        <v>52127.972857142857</v>
      </c>
      <c r="K2488" s="9">
        <f t="shared" si="465"/>
        <v>52496.564333333321</v>
      </c>
      <c r="L2488" s="9">
        <f t="shared" si="464"/>
        <v>52339.072444444428</v>
      </c>
      <c r="M2488" s="9">
        <f t="shared" si="463"/>
        <v>2.2645454121470482E-2</v>
      </c>
      <c r="N2488" s="9">
        <f t="shared" si="466"/>
        <v>1.2438809787806218E-2</v>
      </c>
    </row>
    <row r="2489" spans="1:14" x14ac:dyDescent="0.35">
      <c r="A2489" s="1">
        <v>46006</v>
      </c>
      <c r="B2489" s="2" t="s">
        <v>2487</v>
      </c>
      <c r="C2489">
        <f t="shared" si="455"/>
        <v>53032.14</v>
      </c>
      <c r="D2489">
        <f t="shared" si="456"/>
        <v>2025</v>
      </c>
      <c r="E2489">
        <f t="shared" si="457"/>
        <v>12</v>
      </c>
      <c r="F2489" t="str">
        <f t="shared" si="459"/>
        <v>December</v>
      </c>
      <c r="G2489">
        <f t="shared" si="458"/>
        <v>15</v>
      </c>
      <c r="H2489" s="7">
        <f t="shared" si="460"/>
        <v>0.14533044737077491</v>
      </c>
      <c r="I2489" s="9">
        <f t="shared" si="461"/>
        <v>1.4522494488189734E-3</v>
      </c>
      <c r="J2489" s="9">
        <f t="shared" si="462"/>
        <v>52291.075714285718</v>
      </c>
      <c r="K2489" s="9">
        <f t="shared" si="465"/>
        <v>52493.408999999985</v>
      </c>
      <c r="L2489" s="9">
        <f t="shared" si="464"/>
        <v>52355.51488888888</v>
      </c>
      <c r="M2489" s="9">
        <f t="shared" si="463"/>
        <v>2.2360315223613092E-2</v>
      </c>
      <c r="N2489" s="9">
        <f t="shared" si="466"/>
        <v>1.2268121350482631E-2</v>
      </c>
    </row>
    <row r="2490" spans="1:14" x14ac:dyDescent="0.35">
      <c r="A2490" s="1">
        <v>46008</v>
      </c>
      <c r="B2490" s="2" t="s">
        <v>2488</v>
      </c>
      <c r="C2490">
        <f t="shared" si="455"/>
        <v>52140.61</v>
      </c>
      <c r="D2490">
        <f t="shared" si="456"/>
        <v>2025</v>
      </c>
      <c r="E2490">
        <f t="shared" si="457"/>
        <v>12</v>
      </c>
      <c r="F2490" t="str">
        <f t="shared" si="459"/>
        <v>December</v>
      </c>
      <c r="G2490">
        <f t="shared" si="458"/>
        <v>17</v>
      </c>
      <c r="H2490" s="7">
        <f t="shared" si="460"/>
        <v>-1.6811126234015803</v>
      </c>
      <c r="I2490" s="9">
        <f t="shared" si="461"/>
        <v>-1.6954037143015875E-2</v>
      </c>
      <c r="J2490" s="9">
        <f t="shared" si="462"/>
        <v>52433.857142857145</v>
      </c>
      <c r="K2490" s="9">
        <f t="shared" si="465"/>
        <v>52471.509999999987</v>
      </c>
      <c r="L2490" s="9">
        <f t="shared" si="464"/>
        <v>52359.856555555547</v>
      </c>
      <c r="M2490" s="9">
        <f t="shared" si="463"/>
        <v>2.2693384054112462E-2</v>
      </c>
      <c r="N2490" s="9">
        <f t="shared" si="466"/>
        <v>1.2605931856447244E-2</v>
      </c>
    </row>
    <row r="2491" spans="1:14" x14ac:dyDescent="0.35">
      <c r="A2491" s="1">
        <v>46009</v>
      </c>
      <c r="B2491" s="2" t="s">
        <v>2489</v>
      </c>
      <c r="C2491">
        <f t="shared" si="455"/>
        <v>52026.71</v>
      </c>
      <c r="D2491">
        <f t="shared" si="456"/>
        <v>2025</v>
      </c>
      <c r="E2491">
        <f t="shared" si="457"/>
        <v>12</v>
      </c>
      <c r="F2491" t="str">
        <f t="shared" si="459"/>
        <v>December</v>
      </c>
      <c r="G2491">
        <f t="shared" si="458"/>
        <v>18</v>
      </c>
      <c r="H2491" s="7">
        <f t="shared" si="460"/>
        <v>-0.21844777036555854</v>
      </c>
      <c r="I2491" s="9">
        <f t="shared" si="461"/>
        <v>-2.186867155511551E-3</v>
      </c>
      <c r="J2491" s="9">
        <f t="shared" si="462"/>
        <v>52711.004285714291</v>
      </c>
      <c r="K2491" s="9">
        <f t="shared" si="465"/>
        <v>52429.661666666652</v>
      </c>
      <c r="L2491" s="9">
        <f t="shared" si="464"/>
        <v>52363.671222222212</v>
      </c>
      <c r="M2491" s="9">
        <f t="shared" si="463"/>
        <v>2.0444498822086848E-2</v>
      </c>
      <c r="N2491" s="9">
        <f t="shared" si="466"/>
        <v>1.2478895853446435E-2</v>
      </c>
    </row>
    <row r="2492" spans="1:14" x14ac:dyDescent="0.35">
      <c r="A2492" s="1">
        <v>46010</v>
      </c>
      <c r="B2492" s="2" t="s">
        <v>2490</v>
      </c>
      <c r="C2492">
        <f t="shared" si="455"/>
        <v>51394.31</v>
      </c>
      <c r="D2492">
        <f t="shared" si="456"/>
        <v>2025</v>
      </c>
      <c r="E2492">
        <f t="shared" si="457"/>
        <v>12</v>
      </c>
      <c r="F2492" t="str">
        <f t="shared" si="459"/>
        <v>December</v>
      </c>
      <c r="G2492">
        <f t="shared" si="458"/>
        <v>19</v>
      </c>
      <c r="H2492" s="7">
        <f t="shared" si="460"/>
        <v>-1.2155294847588891</v>
      </c>
      <c r="I2492" s="9">
        <f t="shared" si="461"/>
        <v>-1.2229774608327167E-2</v>
      </c>
      <c r="J2492" s="9">
        <f t="shared" si="462"/>
        <v>52670.239999999998</v>
      </c>
      <c r="K2492" s="9">
        <f t="shared" si="465"/>
        <v>52350.663333333323</v>
      </c>
      <c r="L2492" s="9">
        <f t="shared" si="464"/>
        <v>52361.060999999994</v>
      </c>
      <c r="M2492" s="9">
        <f t="shared" si="463"/>
        <v>1.7696974830685983E-2</v>
      </c>
      <c r="N2492" s="9">
        <f t="shared" si="466"/>
        <v>1.2506004375387776E-2</v>
      </c>
    </row>
    <row r="2493" spans="1:14" x14ac:dyDescent="0.35">
      <c r="A2493" s="1">
        <v>46013</v>
      </c>
      <c r="B2493" s="2" t="s">
        <v>2491</v>
      </c>
      <c r="C2493">
        <f t="shared" si="455"/>
        <v>52511.519999999997</v>
      </c>
      <c r="D2493">
        <f t="shared" si="456"/>
        <v>2025</v>
      </c>
      <c r="E2493">
        <f t="shared" si="457"/>
        <v>12</v>
      </c>
      <c r="F2493" t="str">
        <f t="shared" si="459"/>
        <v>December</v>
      </c>
      <c r="G2493">
        <f t="shared" si="458"/>
        <v>22</v>
      </c>
      <c r="H2493" s="7">
        <f t="shared" si="460"/>
        <v>2.1738009518952568</v>
      </c>
      <c r="I2493" s="9">
        <f t="shared" si="461"/>
        <v>2.1505108153804731E-2</v>
      </c>
      <c r="J2493" s="9">
        <f t="shared" si="462"/>
        <v>52516.810000000005</v>
      </c>
      <c r="K2493" s="9">
        <f t="shared" si="465"/>
        <v>52313.112666666661</v>
      </c>
      <c r="L2493" s="9">
        <f t="shared" si="464"/>
        <v>52373.181666666664</v>
      </c>
      <c r="M2493" s="9">
        <f t="shared" si="463"/>
        <v>1.2753271989199597E-2</v>
      </c>
      <c r="N2493" s="9">
        <f t="shared" si="466"/>
        <v>1.3189959661807483E-2</v>
      </c>
    </row>
    <row r="2494" spans="1:14" x14ac:dyDescent="0.35">
      <c r="A2494" s="1">
        <v>46014</v>
      </c>
      <c r="B2494" s="2" t="s">
        <v>2492</v>
      </c>
      <c r="C2494">
        <f t="shared" si="455"/>
        <v>53175.15</v>
      </c>
      <c r="D2494">
        <f t="shared" si="456"/>
        <v>2025</v>
      </c>
      <c r="E2494">
        <f t="shared" si="457"/>
        <v>12</v>
      </c>
      <c r="F2494" t="str">
        <f t="shared" si="459"/>
        <v>December</v>
      </c>
      <c r="G2494">
        <f t="shared" si="458"/>
        <v>23</v>
      </c>
      <c r="H2494" s="7">
        <f t="shared" si="460"/>
        <v>1.2637798334536967</v>
      </c>
      <c r="I2494" s="9">
        <f t="shared" si="461"/>
        <v>1.2558607858714545E-2</v>
      </c>
      <c r="J2494" s="9">
        <f t="shared" si="462"/>
        <v>52462.231428571431</v>
      </c>
      <c r="K2494" s="9">
        <f t="shared" si="465"/>
        <v>52309.200333333334</v>
      </c>
      <c r="L2494" s="9">
        <f t="shared" si="464"/>
        <v>52391.740333333335</v>
      </c>
      <c r="M2494" s="9">
        <f t="shared" si="463"/>
        <v>1.4050818463967597E-2</v>
      </c>
      <c r="N2494" s="9">
        <f t="shared" si="466"/>
        <v>1.3359855341581633E-2</v>
      </c>
    </row>
    <row r="2495" spans="1:14" x14ac:dyDescent="0.35">
      <c r="A2495" s="1">
        <v>46015</v>
      </c>
      <c r="B2495" s="2" t="s">
        <v>2493</v>
      </c>
      <c r="C2495">
        <f t="shared" si="455"/>
        <v>53353.87</v>
      </c>
      <c r="D2495">
        <f t="shared" si="456"/>
        <v>2025</v>
      </c>
      <c r="E2495">
        <f t="shared" si="457"/>
        <v>12</v>
      </c>
      <c r="F2495" t="str">
        <f t="shared" si="459"/>
        <v>December</v>
      </c>
      <c r="G2495">
        <f t="shared" si="458"/>
        <v>24</v>
      </c>
      <c r="H2495" s="7">
        <f t="shared" si="460"/>
        <v>0.33609684222799779</v>
      </c>
      <c r="I2495" s="9">
        <f t="shared" si="461"/>
        <v>3.3553329913854385E-3</v>
      </c>
      <c r="J2495" s="9">
        <f t="shared" si="462"/>
        <v>52519.187142857139</v>
      </c>
      <c r="K2495" s="9">
        <f t="shared" si="465"/>
        <v>52320.822000000007</v>
      </c>
      <c r="L2495" s="9">
        <f t="shared" si="464"/>
        <v>52416.485666666667</v>
      </c>
      <c r="M2495" s="9">
        <f t="shared" si="463"/>
        <v>1.3337339217617221E-2</v>
      </c>
      <c r="N2495" s="9">
        <f t="shared" si="466"/>
        <v>1.3335011614909877E-2</v>
      </c>
    </row>
    <row r="2496" spans="1:14" x14ac:dyDescent="0.35">
      <c r="A2496" s="1">
        <v>46020</v>
      </c>
      <c r="B2496" s="2" t="s">
        <v>2494</v>
      </c>
      <c r="C2496">
        <f t="shared" si="455"/>
        <v>53960.18</v>
      </c>
      <c r="D2496">
        <f t="shared" si="456"/>
        <v>2025</v>
      </c>
      <c r="E2496">
        <f t="shared" si="457"/>
        <v>12</v>
      </c>
      <c r="F2496" t="str">
        <f t="shared" si="459"/>
        <v>December</v>
      </c>
      <c r="G2496">
        <f t="shared" si="458"/>
        <v>29</v>
      </c>
      <c r="H2496" s="7">
        <f t="shared" si="460"/>
        <v>1.1363936674134372</v>
      </c>
      <c r="I2496" s="9">
        <f t="shared" si="461"/>
        <v>1.1299852190111927E-2</v>
      </c>
      <c r="J2496" s="9">
        <f t="shared" si="462"/>
        <v>52651.764285714286</v>
      </c>
      <c r="K2496" s="9">
        <f t="shared" si="465"/>
        <v>52353.693666666666</v>
      </c>
      <c r="L2496" s="9">
        <f t="shared" si="464"/>
        <v>52451.943111111097</v>
      </c>
      <c r="M2496" s="9">
        <f t="shared" si="463"/>
        <v>1.3892011943737546E-2</v>
      </c>
      <c r="N2496" s="9">
        <f t="shared" si="466"/>
        <v>1.3485990674283854E-2</v>
      </c>
    </row>
    <row r="2497" spans="1:14" x14ac:dyDescent="0.35">
      <c r="A2497" s="1">
        <v>46021</v>
      </c>
      <c r="B2497" s="2" t="s">
        <v>2495</v>
      </c>
      <c r="C2497">
        <f t="shared" si="455"/>
        <v>54305.73</v>
      </c>
      <c r="D2497">
        <f t="shared" si="456"/>
        <v>2025</v>
      </c>
      <c r="E2497">
        <f t="shared" si="457"/>
        <v>12</v>
      </c>
      <c r="F2497" t="str">
        <f t="shared" si="459"/>
        <v>December</v>
      </c>
      <c r="G2497">
        <f t="shared" si="458"/>
        <v>30</v>
      </c>
      <c r="H2497" s="7">
        <f t="shared" si="460"/>
        <v>0.64037962808871818</v>
      </c>
      <c r="I2497" s="9">
        <f t="shared" si="461"/>
        <v>6.383379096120835E-3</v>
      </c>
      <c r="J2497" s="9">
        <f t="shared" si="462"/>
        <v>52961.067142857137</v>
      </c>
      <c r="K2497" s="9">
        <f t="shared" si="465"/>
        <v>52402.62266666667</v>
      </c>
      <c r="L2497" s="9">
        <f t="shared" si="464"/>
        <v>52487.042555555548</v>
      </c>
      <c r="M2497" s="9">
        <f t="shared" si="463"/>
        <v>1.0937367721525129E-2</v>
      </c>
      <c r="N2497" s="9">
        <f t="shared" si="466"/>
        <v>1.3512090261526194E-2</v>
      </c>
    </row>
    <row r="2498" spans="1:14" x14ac:dyDescent="0.35">
      <c r="A2498" s="1">
        <v>46022</v>
      </c>
      <c r="B2498" s="2" t="s">
        <v>2496</v>
      </c>
      <c r="C2498">
        <f t="shared" si="455"/>
        <v>53990.76</v>
      </c>
      <c r="D2498">
        <f t="shared" si="456"/>
        <v>2025</v>
      </c>
      <c r="E2498">
        <f t="shared" si="457"/>
        <v>12</v>
      </c>
      <c r="F2498" t="str">
        <f t="shared" si="459"/>
        <v>December</v>
      </c>
      <c r="G2498">
        <f t="shared" si="458"/>
        <v>31</v>
      </c>
      <c r="H2498" s="7">
        <f t="shared" si="460"/>
        <v>-0.57999404482731587</v>
      </c>
      <c r="I2498" s="9">
        <f t="shared" si="461"/>
        <v>-5.8168254224247387E-3</v>
      </c>
      <c r="J2498" s="9">
        <f t="shared" si="462"/>
        <v>53241.645714285711</v>
      </c>
      <c r="K2498" s="9">
        <f t="shared" si="465"/>
        <v>52439.217333333341</v>
      </c>
      <c r="L2498" s="9">
        <f t="shared" si="464"/>
        <v>52525.889777777782</v>
      </c>
      <c r="M2498" s="9">
        <f t="shared" si="463"/>
        <v>1.1453697433233724E-2</v>
      </c>
      <c r="N2498" s="9">
        <f t="shared" si="466"/>
        <v>1.3567751363621178E-2</v>
      </c>
    </row>
    <row r="2499" spans="1:14" x14ac:dyDescent="0.35">
      <c r="A2499" s="1">
        <v>46024</v>
      </c>
      <c r="B2499" s="2" t="s">
        <v>2497</v>
      </c>
      <c r="C2499">
        <f t="shared" ref="C2499:C2562" si="467">_xlfn.NUMBERVALUE(B2499,".",",")</f>
        <v>54259.360000000001</v>
      </c>
      <c r="D2499">
        <f t="shared" ref="D2499:D2562" si="468">YEAR(A2499)</f>
        <v>2026</v>
      </c>
      <c r="E2499">
        <f t="shared" ref="E2499:E2562" si="469">MONTH(A2499)</f>
        <v>1</v>
      </c>
      <c r="F2499" t="str">
        <f t="shared" si="459"/>
        <v>January</v>
      </c>
      <c r="G2499">
        <f t="shared" ref="G2499:G2562" si="470">DAY(A2499)</f>
        <v>2</v>
      </c>
      <c r="H2499" s="7">
        <f t="shared" si="460"/>
        <v>0.49749253390765114</v>
      </c>
      <c r="I2499" s="9">
        <f t="shared" si="461"/>
        <v>4.9625912884181987E-3</v>
      </c>
      <c r="J2499" s="9">
        <f t="shared" si="462"/>
        <v>53650.938571428575</v>
      </c>
      <c r="K2499" s="9">
        <f t="shared" si="465"/>
        <v>52479.652333333346</v>
      </c>
      <c r="L2499" s="9">
        <f t="shared" si="464"/>
        <v>52556.014555555565</v>
      </c>
      <c r="M2499" s="9">
        <f t="shared" si="463"/>
        <v>8.5433825275035551E-3</v>
      </c>
      <c r="N2499" s="9">
        <f t="shared" si="466"/>
        <v>1.3584602144264442E-2</v>
      </c>
    </row>
    <row r="2500" spans="1:14" x14ac:dyDescent="0.35">
      <c r="A2500" s="1">
        <v>46027</v>
      </c>
      <c r="B2500" s="2" t="s">
        <v>2498</v>
      </c>
      <c r="C2500">
        <f t="shared" si="467"/>
        <v>53716.91</v>
      </c>
      <c r="D2500">
        <f t="shared" si="468"/>
        <v>2026</v>
      </c>
      <c r="E2500">
        <f t="shared" si="469"/>
        <v>1</v>
      </c>
      <c r="F2500" t="str">
        <f t="shared" ref="F2500:F2563" si="471">TEXT(A2500,"mmmm")</f>
        <v>January</v>
      </c>
      <c r="G2500">
        <f t="shared" si="470"/>
        <v>5</v>
      </c>
      <c r="H2500" s="7">
        <f t="shared" ref="H2500:H2563" si="472">((C2500-C2499)/C2499)*100</f>
        <v>-0.99973534520126495</v>
      </c>
      <c r="I2500" s="9">
        <f t="shared" ref="I2500:I2563" si="473">LN(C2500/C2499)</f>
        <v>-1.0047662576279389E-2</v>
      </c>
      <c r="J2500" s="9">
        <f t="shared" si="462"/>
        <v>53823.137142857136</v>
      </c>
      <c r="K2500" s="9">
        <f t="shared" si="465"/>
        <v>52500.600666666673</v>
      </c>
      <c r="L2500" s="9">
        <f t="shared" si="464"/>
        <v>52576.215555555558</v>
      </c>
      <c r="M2500" s="9">
        <f t="shared" si="463"/>
        <v>8.3988804261635307E-3</v>
      </c>
      <c r="N2500" s="9">
        <f t="shared" si="466"/>
        <v>1.3726955621621954E-2</v>
      </c>
    </row>
    <row r="2501" spans="1:14" x14ac:dyDescent="0.35">
      <c r="A2501" s="1">
        <v>46028</v>
      </c>
      <c r="B2501" s="2" t="s">
        <v>2499</v>
      </c>
      <c r="C2501">
        <f t="shared" si="467"/>
        <v>53518.36</v>
      </c>
      <c r="D2501">
        <f t="shared" si="468"/>
        <v>2026</v>
      </c>
      <c r="E2501">
        <f t="shared" si="469"/>
        <v>1</v>
      </c>
      <c r="F2501" t="str">
        <f t="shared" si="471"/>
        <v>January</v>
      </c>
      <c r="G2501">
        <f t="shared" si="470"/>
        <v>6</v>
      </c>
      <c r="H2501" s="7">
        <f t="shared" si="472"/>
        <v>-0.36962289900890222</v>
      </c>
      <c r="I2501" s="9">
        <f t="shared" si="473"/>
        <v>-3.7030769240251403E-3</v>
      </c>
      <c r="J2501" s="9">
        <f t="shared" si="462"/>
        <v>53872.16714285715</v>
      </c>
      <c r="K2501" s="9">
        <f t="shared" si="465"/>
        <v>52523.311666666668</v>
      </c>
      <c r="L2501" s="9">
        <f t="shared" si="464"/>
        <v>52596.691666666666</v>
      </c>
      <c r="M2501" s="9">
        <f t="shared" si="463"/>
        <v>7.6038423102718E-3</v>
      </c>
      <c r="N2501" s="9">
        <f t="shared" si="466"/>
        <v>1.3714792230632376E-2</v>
      </c>
    </row>
    <row r="2502" spans="1:14" x14ac:dyDescent="0.35">
      <c r="A2502" s="1">
        <v>46029</v>
      </c>
      <c r="B2502" s="2" t="s">
        <v>2500</v>
      </c>
      <c r="C2502">
        <f t="shared" si="467"/>
        <v>53905.21</v>
      </c>
      <c r="D2502">
        <f t="shared" si="468"/>
        <v>2026</v>
      </c>
      <c r="E2502">
        <f t="shared" si="469"/>
        <v>1</v>
      </c>
      <c r="F2502" t="str">
        <f t="shared" si="471"/>
        <v>January</v>
      </c>
      <c r="G2502">
        <f t="shared" si="470"/>
        <v>7</v>
      </c>
      <c r="H2502" s="7">
        <f t="shared" si="472"/>
        <v>0.72283605102996151</v>
      </c>
      <c r="I2502" s="9">
        <f t="shared" si="473"/>
        <v>7.202361125902162E-3</v>
      </c>
      <c r="J2502" s="9">
        <f t="shared" si="462"/>
        <v>53950.930000000008</v>
      </c>
      <c r="K2502" s="9">
        <f t="shared" si="465"/>
        <v>52559.656000000003</v>
      </c>
      <c r="L2502" s="9">
        <f t="shared" si="464"/>
        <v>52621.61544444444</v>
      </c>
      <c r="M2502" s="9">
        <f t="shared" si="463"/>
        <v>7.940828404042222E-3</v>
      </c>
      <c r="N2502" s="9">
        <f t="shared" si="466"/>
        <v>1.3769058200603109E-2</v>
      </c>
    </row>
    <row r="2503" spans="1:14" x14ac:dyDescent="0.35">
      <c r="A2503" s="1">
        <v>46030</v>
      </c>
      <c r="B2503" s="2" t="s">
        <v>2501</v>
      </c>
      <c r="C2503">
        <f t="shared" si="467"/>
        <v>54474.09</v>
      </c>
      <c r="D2503">
        <f t="shared" si="468"/>
        <v>2026</v>
      </c>
      <c r="E2503">
        <f t="shared" si="469"/>
        <v>1</v>
      </c>
      <c r="F2503" t="str">
        <f t="shared" si="471"/>
        <v>January</v>
      </c>
      <c r="G2503">
        <f t="shared" si="470"/>
        <v>8</v>
      </c>
      <c r="H2503" s="7">
        <f t="shared" si="472"/>
        <v>1.0553339834869346</v>
      </c>
      <c r="I2503" s="9">
        <f t="shared" si="473"/>
        <v>1.0498042054642758E-2</v>
      </c>
      <c r="J2503" s="9">
        <f t="shared" si="462"/>
        <v>54024.345714285722</v>
      </c>
      <c r="K2503" s="9">
        <f t="shared" si="465"/>
        <v>52623.875000000007</v>
      </c>
      <c r="L2503" s="9">
        <f t="shared" si="464"/>
        <v>52653.430000000015</v>
      </c>
      <c r="M2503" s="9">
        <f t="shared" si="463"/>
        <v>7.7795253904046069E-3</v>
      </c>
      <c r="N2503" s="9">
        <f t="shared" si="466"/>
        <v>1.3837948304855414E-2</v>
      </c>
    </row>
    <row r="2504" spans="1:14" x14ac:dyDescent="0.35">
      <c r="A2504" s="1">
        <v>46031</v>
      </c>
      <c r="B2504" s="2" t="s">
        <v>2502</v>
      </c>
      <c r="C2504">
        <f t="shared" si="467"/>
        <v>54105.37</v>
      </c>
      <c r="D2504">
        <f t="shared" si="468"/>
        <v>2026</v>
      </c>
      <c r="E2504">
        <f t="shared" si="469"/>
        <v>1</v>
      </c>
      <c r="F2504" t="str">
        <f t="shared" si="471"/>
        <v>January</v>
      </c>
      <c r="G2504">
        <f t="shared" si="470"/>
        <v>9</v>
      </c>
      <c r="H2504" s="7">
        <f t="shared" si="472"/>
        <v>-0.67687225247818528</v>
      </c>
      <c r="I2504" s="9">
        <f t="shared" si="473"/>
        <v>-6.7917342257540871E-3</v>
      </c>
      <c r="J2504" s="9">
        <f t="shared" si="462"/>
        <v>53995.722857142864</v>
      </c>
      <c r="K2504" s="9">
        <f t="shared" si="465"/>
        <v>52688.375000000007</v>
      </c>
      <c r="L2504" s="9">
        <f t="shared" si="464"/>
        <v>52678.28377777779</v>
      </c>
      <c r="M2504" s="9">
        <f t="shared" si="463"/>
        <v>7.9518321688596093E-3</v>
      </c>
      <c r="N2504" s="9">
        <f t="shared" si="466"/>
        <v>1.3829533479513656E-2</v>
      </c>
    </row>
    <row r="2505" spans="1:14" x14ac:dyDescent="0.35">
      <c r="A2505" s="1">
        <v>46034</v>
      </c>
      <c r="B2505" s="2" t="s">
        <v>2503</v>
      </c>
      <c r="C2505">
        <f t="shared" si="467"/>
        <v>53921</v>
      </c>
      <c r="D2505">
        <f t="shared" si="468"/>
        <v>2026</v>
      </c>
      <c r="E2505">
        <f t="shared" si="469"/>
        <v>1</v>
      </c>
      <c r="F2505" t="str">
        <f t="shared" si="471"/>
        <v>January</v>
      </c>
      <c r="G2505">
        <f t="shared" si="470"/>
        <v>12</v>
      </c>
      <c r="H2505" s="7">
        <f t="shared" si="472"/>
        <v>-0.3407610002482242</v>
      </c>
      <c r="I2505" s="9">
        <f t="shared" si="473"/>
        <v>-3.4134291287494238E-3</v>
      </c>
      <c r="J2505" s="9">
        <f t="shared" ref="J2505:J2568" si="474">AVERAGE(C2499:C2505)</f>
        <v>53985.757142857139</v>
      </c>
      <c r="K2505" s="9">
        <f t="shared" si="465"/>
        <v>52776.528333333343</v>
      </c>
      <c r="L2505" s="9">
        <f t="shared" si="464"/>
        <v>52699.174333333351</v>
      </c>
      <c r="M2505" s="9">
        <f t="shared" si="463"/>
        <v>7.7343267052297996E-3</v>
      </c>
      <c r="N2505" s="9">
        <f t="shared" si="466"/>
        <v>1.341543784678237E-2</v>
      </c>
    </row>
    <row r="2506" spans="1:14" x14ac:dyDescent="0.35">
      <c r="A2506" s="1">
        <v>46035</v>
      </c>
      <c r="B2506" s="2" t="s">
        <v>2504</v>
      </c>
      <c r="C2506">
        <f t="shared" si="467"/>
        <v>53721.88</v>
      </c>
      <c r="D2506">
        <f t="shared" si="468"/>
        <v>2026</v>
      </c>
      <c r="E2506">
        <f t="shared" si="469"/>
        <v>1</v>
      </c>
      <c r="F2506" t="str">
        <f t="shared" si="471"/>
        <v>January</v>
      </c>
      <c r="G2506">
        <f t="shared" si="470"/>
        <v>13</v>
      </c>
      <c r="H2506" s="7">
        <f t="shared" si="472"/>
        <v>-0.36928098514493912</v>
      </c>
      <c r="I2506" s="9">
        <f t="shared" si="473"/>
        <v>-3.6996451064688668E-3</v>
      </c>
      <c r="J2506" s="9">
        <f t="shared" si="474"/>
        <v>53908.974285714285</v>
      </c>
      <c r="K2506" s="9">
        <f t="shared" si="465"/>
        <v>52864.008333333346</v>
      </c>
      <c r="L2506" s="9">
        <f t="shared" si="464"/>
        <v>52722.095333333345</v>
      </c>
      <c r="M2506" s="9">
        <f t="shared" ref="M2506:M2569" si="475">STDEV(I2500:I2506)</f>
        <v>7.4616785075638497E-3</v>
      </c>
      <c r="N2506" s="9">
        <f t="shared" si="466"/>
        <v>1.341820412083411E-2</v>
      </c>
    </row>
    <row r="2507" spans="1:14" x14ac:dyDescent="0.35">
      <c r="A2507" s="1">
        <v>46036</v>
      </c>
      <c r="B2507" s="2" t="s">
        <v>2505</v>
      </c>
      <c r="C2507">
        <f t="shared" si="467"/>
        <v>53050.76</v>
      </c>
      <c r="D2507">
        <f t="shared" si="468"/>
        <v>2026</v>
      </c>
      <c r="E2507">
        <f t="shared" si="469"/>
        <v>1</v>
      </c>
      <c r="F2507" t="str">
        <f t="shared" si="471"/>
        <v>January</v>
      </c>
      <c r="G2507">
        <f t="shared" si="470"/>
        <v>14</v>
      </c>
      <c r="H2507" s="7">
        <f t="shared" si="472"/>
        <v>-1.2492489093829096</v>
      </c>
      <c r="I2507" s="9">
        <f t="shared" si="473"/>
        <v>-1.2571176254852838E-2</v>
      </c>
      <c r="J2507" s="9">
        <f t="shared" si="474"/>
        <v>53813.810000000005</v>
      </c>
      <c r="K2507" s="9">
        <f t="shared" si="465"/>
        <v>52938.645000000011</v>
      </c>
      <c r="L2507" s="9">
        <f t="shared" si="464"/>
        <v>52734.327888888896</v>
      </c>
      <c r="M2507" s="9">
        <f t="shared" si="475"/>
        <v>7.9901126001632929E-3</v>
      </c>
      <c r="N2507" s="9">
        <f t="shared" si="466"/>
        <v>1.3607297643459342E-2</v>
      </c>
    </row>
    <row r="2508" spans="1:14" x14ac:dyDescent="0.35">
      <c r="A2508" s="1">
        <v>46037</v>
      </c>
      <c r="B2508" s="2" t="s">
        <v>2506</v>
      </c>
      <c r="C2508">
        <f t="shared" si="467"/>
        <v>52628.62</v>
      </c>
      <c r="D2508">
        <f t="shared" si="468"/>
        <v>2026</v>
      </c>
      <c r="E2508">
        <f t="shared" si="469"/>
        <v>1</v>
      </c>
      <c r="F2508" t="str">
        <f t="shared" si="471"/>
        <v>January</v>
      </c>
      <c r="G2508">
        <f t="shared" si="470"/>
        <v>15</v>
      </c>
      <c r="H2508" s="7">
        <f t="shared" si="472"/>
        <v>-0.79572846835747391</v>
      </c>
      <c r="I2508" s="9">
        <f t="shared" si="473"/>
        <v>-7.9891128295270473E-3</v>
      </c>
      <c r="J2508" s="9">
        <f t="shared" si="474"/>
        <v>53686.704285714288</v>
      </c>
      <c r="K2508" s="9">
        <f t="shared" si="465"/>
        <v>52970.593666666675</v>
      </c>
      <c r="L2508" s="9">
        <f t="shared" si="464"/>
        <v>52733.550555555572</v>
      </c>
      <c r="M2508" s="9">
        <f t="shared" si="475"/>
        <v>8.3192458002089523E-3</v>
      </c>
      <c r="N2508" s="9">
        <f t="shared" si="466"/>
        <v>1.3395103101368967E-2</v>
      </c>
    </row>
    <row r="2509" spans="1:14" x14ac:dyDescent="0.35">
      <c r="A2509" s="1">
        <v>46038</v>
      </c>
      <c r="B2509" s="2" t="s">
        <v>2507</v>
      </c>
      <c r="C2509">
        <f t="shared" si="467"/>
        <v>52638.25</v>
      </c>
      <c r="D2509">
        <f t="shared" si="468"/>
        <v>2026</v>
      </c>
      <c r="E2509">
        <f t="shared" si="469"/>
        <v>1</v>
      </c>
      <c r="F2509" t="str">
        <f t="shared" si="471"/>
        <v>January</v>
      </c>
      <c r="G2509">
        <f t="shared" si="470"/>
        <v>16</v>
      </c>
      <c r="H2509" s="7">
        <f t="shared" si="472"/>
        <v>1.829802871516939E-2</v>
      </c>
      <c r="I2509" s="9">
        <f t="shared" si="473"/>
        <v>1.829635483009472E-4</v>
      </c>
      <c r="J2509" s="9">
        <f t="shared" si="474"/>
        <v>53505.71</v>
      </c>
      <c r="K2509" s="9">
        <f t="shared" si="465"/>
        <v>52976.727333333343</v>
      </c>
      <c r="L2509" s="9">
        <f t="shared" si="464"/>
        <v>52743.158888888895</v>
      </c>
      <c r="M2509" s="9">
        <f t="shared" si="475"/>
        <v>7.3343645900415437E-3</v>
      </c>
      <c r="N2509" s="9">
        <f t="shared" si="466"/>
        <v>1.3114212172772401E-2</v>
      </c>
    </row>
    <row r="2510" spans="1:14" x14ac:dyDescent="0.35">
      <c r="A2510" s="1">
        <v>46041</v>
      </c>
      <c r="B2510" s="2" t="s">
        <v>2508</v>
      </c>
      <c r="C2510">
        <f t="shared" si="467"/>
        <v>52370.1</v>
      </c>
      <c r="D2510">
        <f t="shared" si="468"/>
        <v>2026</v>
      </c>
      <c r="E2510">
        <f t="shared" si="469"/>
        <v>1</v>
      </c>
      <c r="F2510" t="str">
        <f t="shared" si="471"/>
        <v>January</v>
      </c>
      <c r="G2510">
        <f t="shared" si="470"/>
        <v>19</v>
      </c>
      <c r="H2510" s="7">
        <f t="shared" si="472"/>
        <v>-0.50942043096037848</v>
      </c>
      <c r="I2510" s="9">
        <f t="shared" si="473"/>
        <v>-5.1072240038547581E-3</v>
      </c>
      <c r="J2510" s="9">
        <f t="shared" si="474"/>
        <v>53205.14</v>
      </c>
      <c r="K2510" s="9">
        <f t="shared" si="465"/>
        <v>52977.147333333349</v>
      </c>
      <c r="L2510" s="9">
        <f t="shared" si="464"/>
        <v>52759.497111111115</v>
      </c>
      <c r="M2510" s="9">
        <f t="shared" si="475"/>
        <v>4.0372887577893573E-3</v>
      </c>
      <c r="N2510" s="9">
        <f t="shared" si="466"/>
        <v>1.3144524509335075E-2</v>
      </c>
    </row>
    <row r="2511" spans="1:14" x14ac:dyDescent="0.35">
      <c r="A2511" s="1">
        <v>46042</v>
      </c>
      <c r="B2511" s="2" t="s">
        <v>2509</v>
      </c>
      <c r="C2511">
        <f t="shared" si="467"/>
        <v>52797.23</v>
      </c>
      <c r="D2511">
        <f t="shared" si="468"/>
        <v>2026</v>
      </c>
      <c r="E2511">
        <f t="shared" si="469"/>
        <v>1</v>
      </c>
      <c r="F2511" t="str">
        <f t="shared" si="471"/>
        <v>January</v>
      </c>
      <c r="G2511">
        <f t="shared" si="470"/>
        <v>20</v>
      </c>
      <c r="H2511" s="7">
        <f t="shared" si="472"/>
        <v>0.81559897727902875</v>
      </c>
      <c r="I2511" s="9">
        <f t="shared" si="473"/>
        <v>8.122909435079196E-3</v>
      </c>
      <c r="J2511" s="9">
        <f t="shared" si="474"/>
        <v>53018.26285714285</v>
      </c>
      <c r="K2511" s="9">
        <f t="shared" si="465"/>
        <v>52996.464333333344</v>
      </c>
      <c r="L2511" s="9">
        <f t="shared" si="464"/>
        <v>52774.135222222234</v>
      </c>
      <c r="M2511" s="9">
        <f t="shared" si="475"/>
        <v>6.5028845807335129E-3</v>
      </c>
      <c r="N2511" s="9">
        <f t="shared" si="466"/>
        <v>1.3216178594134285E-2</v>
      </c>
    </row>
    <row r="2512" spans="1:14" x14ac:dyDescent="0.35">
      <c r="A2512" s="1">
        <v>46043</v>
      </c>
      <c r="B2512" s="2" t="s">
        <v>2510</v>
      </c>
      <c r="C2512">
        <f t="shared" si="467"/>
        <v>52528.84</v>
      </c>
      <c r="D2512">
        <f t="shared" si="468"/>
        <v>2026</v>
      </c>
      <c r="E2512">
        <f t="shared" si="469"/>
        <v>1</v>
      </c>
      <c r="F2512" t="str">
        <f t="shared" si="471"/>
        <v>January</v>
      </c>
      <c r="G2512">
        <f t="shared" si="470"/>
        <v>21</v>
      </c>
      <c r="H2512" s="7">
        <f t="shared" si="472"/>
        <v>-0.50834106258984924</v>
      </c>
      <c r="I2512" s="9">
        <f t="shared" si="473"/>
        <v>-5.0963751122285487E-3</v>
      </c>
      <c r="J2512" s="9">
        <f t="shared" si="474"/>
        <v>52819.382857142846</v>
      </c>
      <c r="K2512" s="9">
        <f t="shared" si="465"/>
        <v>53017.745000000017</v>
      </c>
      <c r="L2512" s="9">
        <f t="shared" si="464"/>
        <v>52780.017333333337</v>
      </c>
      <c r="M2512" s="9">
        <f t="shared" si="475"/>
        <v>6.5303587100721278E-3</v>
      </c>
      <c r="N2512" s="9">
        <f t="shared" si="466"/>
        <v>1.3197266877548776E-2</v>
      </c>
    </row>
    <row r="2513" spans="1:14" x14ac:dyDescent="0.35">
      <c r="A2513" s="1">
        <v>46044</v>
      </c>
      <c r="B2513" s="2" t="s">
        <v>2511</v>
      </c>
      <c r="C2513">
        <f t="shared" si="467"/>
        <v>52412.68</v>
      </c>
      <c r="D2513">
        <f t="shared" si="468"/>
        <v>2026</v>
      </c>
      <c r="E2513">
        <f t="shared" si="469"/>
        <v>1</v>
      </c>
      <c r="F2513" t="str">
        <f t="shared" si="471"/>
        <v>January</v>
      </c>
      <c r="G2513">
        <f t="shared" si="470"/>
        <v>22</v>
      </c>
      <c r="H2513" s="7">
        <f t="shared" si="472"/>
        <v>-0.22113566566479714</v>
      </c>
      <c r="I2513" s="9">
        <f t="shared" si="473"/>
        <v>-2.2138053163520493E-3</v>
      </c>
      <c r="J2513" s="9">
        <f t="shared" si="474"/>
        <v>52632.354285714289</v>
      </c>
      <c r="K2513" s="9">
        <f t="shared" si="465"/>
        <v>53060.129666666682</v>
      </c>
      <c r="L2513" s="9">
        <f t="shared" si="464"/>
        <v>52785.767333333337</v>
      </c>
      <c r="M2513" s="9">
        <f t="shared" si="475"/>
        <v>6.5558660585760273E-3</v>
      </c>
      <c r="N2513" s="9">
        <f t="shared" si="466"/>
        <v>1.2904279940344694E-2</v>
      </c>
    </row>
    <row r="2514" spans="1:14" x14ac:dyDescent="0.35">
      <c r="A2514" s="1">
        <v>46045</v>
      </c>
      <c r="B2514" s="2" t="s">
        <v>2512</v>
      </c>
      <c r="C2514">
        <f t="shared" si="467"/>
        <v>51602.55</v>
      </c>
      <c r="D2514">
        <f t="shared" si="468"/>
        <v>2026</v>
      </c>
      <c r="E2514">
        <f t="shared" si="469"/>
        <v>1</v>
      </c>
      <c r="F2514" t="str">
        <f t="shared" si="471"/>
        <v>January</v>
      </c>
      <c r="G2514">
        <f t="shared" si="470"/>
        <v>23</v>
      </c>
      <c r="H2514" s="7">
        <f t="shared" si="472"/>
        <v>-1.5456755884263071</v>
      </c>
      <c r="I2514" s="9">
        <f t="shared" si="473"/>
        <v>-1.5577456915128634E-2</v>
      </c>
      <c r="J2514" s="9">
        <f t="shared" si="474"/>
        <v>52425.467142857146</v>
      </c>
      <c r="K2514" s="9">
        <f t="shared" si="465"/>
        <v>53110.658666666677</v>
      </c>
      <c r="L2514" s="9">
        <f t="shared" si="464"/>
        <v>52795.153222222216</v>
      </c>
      <c r="M2514" s="9">
        <f t="shared" si="475"/>
        <v>7.3031536469251972E-3</v>
      </c>
      <c r="N2514" s="9">
        <f t="shared" si="466"/>
        <v>1.263296186267018E-2</v>
      </c>
    </row>
    <row r="2515" spans="1:14" x14ac:dyDescent="0.35">
      <c r="A2515" s="1">
        <v>46048</v>
      </c>
      <c r="B2515" s="2" t="s">
        <v>2513</v>
      </c>
      <c r="C2515">
        <f t="shared" si="467"/>
        <v>51458.48</v>
      </c>
      <c r="D2515">
        <f t="shared" si="468"/>
        <v>2026</v>
      </c>
      <c r="E2515">
        <f t="shared" si="469"/>
        <v>1</v>
      </c>
      <c r="F2515" t="str">
        <f t="shared" si="471"/>
        <v>January</v>
      </c>
      <c r="G2515">
        <f t="shared" si="470"/>
        <v>26</v>
      </c>
      <c r="H2515" s="7">
        <f t="shared" si="472"/>
        <v>-0.27919162909584838</v>
      </c>
      <c r="I2515" s="9">
        <f t="shared" si="473"/>
        <v>-2.7958209586098565E-3</v>
      </c>
      <c r="J2515" s="9">
        <f t="shared" si="474"/>
        <v>52258.304285714286</v>
      </c>
      <c r="K2515" s="9">
        <f t="shared" si="465"/>
        <v>53103.286</v>
      </c>
      <c r="L2515" s="9">
        <f t="shared" si="464"/>
        <v>52796.516888888895</v>
      </c>
      <c r="M2515" s="9">
        <f t="shared" si="475"/>
        <v>7.0854641724142917E-3</v>
      </c>
      <c r="N2515" s="9">
        <f t="shared" si="466"/>
        <v>1.127207728119853E-2</v>
      </c>
    </row>
    <row r="2516" spans="1:14" x14ac:dyDescent="0.35">
      <c r="A2516" s="1">
        <v>46049</v>
      </c>
      <c r="B2516" s="2" t="s">
        <v>2514</v>
      </c>
      <c r="C2516">
        <f t="shared" si="467"/>
        <v>52130.34</v>
      </c>
      <c r="D2516">
        <f t="shared" si="468"/>
        <v>2026</v>
      </c>
      <c r="E2516">
        <f t="shared" si="469"/>
        <v>1</v>
      </c>
      <c r="F2516" t="str">
        <f t="shared" si="471"/>
        <v>January</v>
      </c>
      <c r="G2516">
        <f t="shared" si="470"/>
        <v>27</v>
      </c>
      <c r="H2516" s="7">
        <f t="shared" si="472"/>
        <v>1.3056351450722858</v>
      </c>
      <c r="I2516" s="9">
        <f t="shared" si="473"/>
        <v>1.2971852002394131E-2</v>
      </c>
      <c r="J2516" s="9">
        <f t="shared" si="474"/>
        <v>52185.745714285709</v>
      </c>
      <c r="K2516" s="9">
        <f t="shared" si="465"/>
        <v>53054.779666666676</v>
      </c>
      <c r="L2516" s="9">
        <f t="shared" si="464"/>
        <v>52798.233000000007</v>
      </c>
      <c r="M2516" s="9">
        <f t="shared" si="475"/>
        <v>9.3830695510510181E-3</v>
      </c>
      <c r="N2516" s="9">
        <f t="shared" si="466"/>
        <v>9.3159787686283406E-3</v>
      </c>
    </row>
    <row r="2517" spans="1:14" x14ac:dyDescent="0.35">
      <c r="A2517" s="1">
        <v>46050</v>
      </c>
      <c r="B2517" s="2" t="s">
        <v>2515</v>
      </c>
      <c r="C2517">
        <f t="shared" si="467"/>
        <v>51875.26</v>
      </c>
      <c r="D2517">
        <f t="shared" si="468"/>
        <v>2026</v>
      </c>
      <c r="E2517">
        <f t="shared" si="469"/>
        <v>1</v>
      </c>
      <c r="F2517" t="str">
        <f t="shared" si="471"/>
        <v>January</v>
      </c>
      <c r="G2517">
        <f t="shared" si="470"/>
        <v>28</v>
      </c>
      <c r="H2517" s="7">
        <f t="shared" si="472"/>
        <v>-0.4893119822352866</v>
      </c>
      <c r="I2517" s="9">
        <f t="shared" si="473"/>
        <v>-4.9051303283984896E-3</v>
      </c>
      <c r="J2517" s="9">
        <f t="shared" si="474"/>
        <v>52115.054285714286</v>
      </c>
      <c r="K2517" s="9">
        <f t="shared" si="465"/>
        <v>52998.715000000004</v>
      </c>
      <c r="L2517" s="9">
        <f t="shared" si="464"/>
        <v>52798.707555555564</v>
      </c>
      <c r="M2517" s="9">
        <f t="shared" si="475"/>
        <v>9.3700102260225755E-3</v>
      </c>
      <c r="N2517" s="9">
        <f t="shared" si="466"/>
        <v>9.3439009302433342E-3</v>
      </c>
    </row>
    <row r="2518" spans="1:14" x14ac:dyDescent="0.35">
      <c r="A2518" s="1">
        <v>46051</v>
      </c>
      <c r="B2518" s="2" t="s">
        <v>2516</v>
      </c>
      <c r="C2518">
        <f t="shared" si="467"/>
        <v>51348.72</v>
      </c>
      <c r="D2518">
        <f t="shared" si="468"/>
        <v>2026</v>
      </c>
      <c r="E2518">
        <f t="shared" si="469"/>
        <v>1</v>
      </c>
      <c r="F2518" t="str">
        <f t="shared" si="471"/>
        <v>January</v>
      </c>
      <c r="G2518">
        <f t="shared" si="470"/>
        <v>29</v>
      </c>
      <c r="H2518" s="7">
        <f t="shared" si="472"/>
        <v>-1.0150117801819225</v>
      </c>
      <c r="I2518" s="9">
        <f t="shared" si="473"/>
        <v>-1.0201981494372141E-2</v>
      </c>
      <c r="J2518" s="9">
        <f t="shared" si="474"/>
        <v>51908.124285714286</v>
      </c>
      <c r="K2518" s="9">
        <f t="shared" si="465"/>
        <v>52945.166333333342</v>
      </c>
      <c r="L2518" s="9">
        <f t="shared" si="464"/>
        <v>52789.534888888884</v>
      </c>
      <c r="M2518" s="9">
        <f t="shared" si="475"/>
        <v>8.8242373291575853E-3</v>
      </c>
      <c r="N2518" s="9">
        <f t="shared" si="466"/>
        <v>9.3043236105358074E-3</v>
      </c>
    </row>
    <row r="2519" spans="1:14" x14ac:dyDescent="0.35">
      <c r="A2519" s="1">
        <v>46052</v>
      </c>
      <c r="B2519" s="2" t="s">
        <v>2517</v>
      </c>
      <c r="C2519">
        <f t="shared" si="467"/>
        <v>51417.38</v>
      </c>
      <c r="D2519">
        <f t="shared" si="468"/>
        <v>2026</v>
      </c>
      <c r="E2519">
        <f t="shared" si="469"/>
        <v>1</v>
      </c>
      <c r="F2519" t="str">
        <f t="shared" si="471"/>
        <v>January</v>
      </c>
      <c r="G2519">
        <f t="shared" si="470"/>
        <v>30</v>
      </c>
      <c r="H2519" s="7">
        <f t="shared" si="472"/>
        <v>0.13371316753367216</v>
      </c>
      <c r="I2519" s="9">
        <f t="shared" si="473"/>
        <v>1.3362385108751916E-3</v>
      </c>
      <c r="J2519" s="9">
        <f t="shared" si="474"/>
        <v>51749.344285714287</v>
      </c>
      <c r="K2519" s="9">
        <f t="shared" si="465"/>
        <v>52891.341</v>
      </c>
      <c r="L2519" s="9">
        <f t="shared" si="464"/>
        <v>52777.483888888884</v>
      </c>
      <c r="M2519" s="9">
        <f t="shared" si="475"/>
        <v>9.0206429627389274E-3</v>
      </c>
      <c r="N2519" s="9">
        <f t="shared" si="466"/>
        <v>9.3032817703644563E-3</v>
      </c>
    </row>
    <row r="2520" spans="1:14" x14ac:dyDescent="0.35">
      <c r="A2520" s="1">
        <v>46055</v>
      </c>
      <c r="B2520" s="2" t="s">
        <v>2518</v>
      </c>
      <c r="C2520">
        <f t="shared" si="467"/>
        <v>51933.8</v>
      </c>
      <c r="D2520">
        <f t="shared" si="468"/>
        <v>2026</v>
      </c>
      <c r="E2520">
        <f t="shared" si="469"/>
        <v>2</v>
      </c>
      <c r="F2520" t="str">
        <f t="shared" si="471"/>
        <v>February</v>
      </c>
      <c r="G2520">
        <f t="shared" si="470"/>
        <v>2</v>
      </c>
      <c r="H2520" s="7">
        <f t="shared" si="472"/>
        <v>1.0043685617587002</v>
      </c>
      <c r="I2520" s="9">
        <f t="shared" si="473"/>
        <v>9.9935830045000517E-3</v>
      </c>
      <c r="J2520" s="9">
        <f t="shared" si="474"/>
        <v>51680.932857142856</v>
      </c>
      <c r="K2520" s="9">
        <f t="shared" si="465"/>
        <v>52884.44733333333</v>
      </c>
      <c r="L2520" s="9">
        <f t="shared" si="464"/>
        <v>52767.79322222223</v>
      </c>
      <c r="M2520" s="9">
        <f t="shared" si="475"/>
        <v>1.0299717961201363E-2</v>
      </c>
      <c r="N2520" s="9">
        <f t="shared" si="466"/>
        <v>9.0091111993228969E-3</v>
      </c>
    </row>
    <row r="2521" spans="1:14" x14ac:dyDescent="0.35">
      <c r="A2521" s="1">
        <v>46056</v>
      </c>
      <c r="B2521" s="2" t="s">
        <v>2519</v>
      </c>
      <c r="C2521">
        <f t="shared" si="467"/>
        <v>51873.5</v>
      </c>
      <c r="D2521">
        <f t="shared" si="468"/>
        <v>2026</v>
      </c>
      <c r="E2521">
        <f t="shared" si="469"/>
        <v>2</v>
      </c>
      <c r="F2521" t="str">
        <f t="shared" si="471"/>
        <v>February</v>
      </c>
      <c r="G2521">
        <f t="shared" si="470"/>
        <v>3</v>
      </c>
      <c r="H2521" s="7">
        <f t="shared" si="472"/>
        <v>-0.11610935460144051</v>
      </c>
      <c r="I2521" s="9">
        <f t="shared" si="473"/>
        <v>-1.1617681373520775E-3</v>
      </c>
      <c r="J2521" s="9">
        <f t="shared" si="474"/>
        <v>51719.640000000007</v>
      </c>
      <c r="K2521" s="9">
        <f t="shared" si="465"/>
        <v>52879.340333333334</v>
      </c>
      <c r="L2521" s="9">
        <f t="shared" si="464"/>
        <v>52757.476555555564</v>
      </c>
      <c r="M2521" s="9">
        <f t="shared" si="475"/>
        <v>8.1987320751662086E-3</v>
      </c>
      <c r="N2521" s="9">
        <f t="shared" si="466"/>
        <v>9.002992500460931E-3</v>
      </c>
    </row>
    <row r="2522" spans="1:14" x14ac:dyDescent="0.35">
      <c r="A2522" s="1">
        <v>46057</v>
      </c>
      <c r="B2522" s="2" t="s">
        <v>2520</v>
      </c>
      <c r="C2522">
        <f t="shared" si="467"/>
        <v>51912.11</v>
      </c>
      <c r="D2522">
        <f t="shared" si="468"/>
        <v>2026</v>
      </c>
      <c r="E2522">
        <f t="shared" si="469"/>
        <v>2</v>
      </c>
      <c r="F2522" t="str">
        <f t="shared" si="471"/>
        <v>February</v>
      </c>
      <c r="G2522">
        <f t="shared" si="470"/>
        <v>4</v>
      </c>
      <c r="H2522" s="7">
        <f t="shared" si="472"/>
        <v>7.4431067886301452E-2</v>
      </c>
      <c r="I2522" s="9">
        <f t="shared" si="473"/>
        <v>7.4403381704189026E-4</v>
      </c>
      <c r="J2522" s="9">
        <f t="shared" si="474"/>
        <v>51784.444285714286</v>
      </c>
      <c r="K2522" s="9">
        <f t="shared" si="465"/>
        <v>52896.600333333336</v>
      </c>
      <c r="L2522" s="9">
        <f t="shared" si="464"/>
        <v>52741.530000000013</v>
      </c>
      <c r="M2522" s="9">
        <f t="shared" si="475"/>
        <v>8.0515581227237724E-3</v>
      </c>
      <c r="N2522" s="9">
        <f t="shared" si="466"/>
        <v>8.7068912307437449E-3</v>
      </c>
    </row>
    <row r="2523" spans="1:14" x14ac:dyDescent="0.35">
      <c r="A2523" s="1">
        <v>46058</v>
      </c>
      <c r="B2523" s="2" t="s">
        <v>2521</v>
      </c>
      <c r="C2523">
        <f t="shared" si="467"/>
        <v>52957.32</v>
      </c>
      <c r="D2523">
        <f t="shared" si="468"/>
        <v>2026</v>
      </c>
      <c r="E2523">
        <f t="shared" si="469"/>
        <v>2</v>
      </c>
      <c r="F2523" t="str">
        <f t="shared" si="471"/>
        <v>February</v>
      </c>
      <c r="G2523">
        <f t="shared" si="470"/>
        <v>5</v>
      </c>
      <c r="H2523" s="7">
        <f t="shared" si="472"/>
        <v>2.0134223016556234</v>
      </c>
      <c r="I2523" s="9">
        <f t="shared" si="473"/>
        <v>1.9934209831520357E-2</v>
      </c>
      <c r="J2523" s="9">
        <f t="shared" si="474"/>
        <v>51902.584285714292</v>
      </c>
      <c r="K2523" s="9">
        <f t="shared" si="465"/>
        <v>52911.460333333336</v>
      </c>
      <c r="L2523" s="9">
        <f t="shared" si="464"/>
        <v>52738.275222222226</v>
      </c>
      <c r="M2523" s="9">
        <f t="shared" si="475"/>
        <v>9.947236865775878E-3</v>
      </c>
      <c r="N2523" s="9">
        <f t="shared" si="466"/>
        <v>8.5789624899815994E-3</v>
      </c>
    </row>
    <row r="2524" spans="1:14" x14ac:dyDescent="0.35">
      <c r="A2524" s="1">
        <v>46059</v>
      </c>
      <c r="B2524" s="2" t="s">
        <v>2522</v>
      </c>
      <c r="C2524">
        <f t="shared" si="467"/>
        <v>53223.98</v>
      </c>
      <c r="D2524">
        <f t="shared" si="468"/>
        <v>2026</v>
      </c>
      <c r="E2524">
        <f t="shared" si="469"/>
        <v>2</v>
      </c>
      <c r="F2524" t="str">
        <f t="shared" si="471"/>
        <v>February</v>
      </c>
      <c r="G2524">
        <f t="shared" si="470"/>
        <v>6</v>
      </c>
      <c r="H2524" s="7">
        <f t="shared" si="472"/>
        <v>0.50353756572274333</v>
      </c>
      <c r="I2524" s="9">
        <f t="shared" si="473"/>
        <v>5.0227405504784002E-3</v>
      </c>
      <c r="J2524" s="9">
        <f t="shared" si="474"/>
        <v>52095.258571428574</v>
      </c>
      <c r="K2524" s="9">
        <f t="shared" si="465"/>
        <v>52913.088000000003</v>
      </c>
      <c r="L2524" s="9">
        <f t="shared" ref="L2524:L2587" si="476">AVERAGE(C2435:C2524)</f>
        <v>52735.692444444467</v>
      </c>
      <c r="M2524" s="9">
        <f t="shared" si="475"/>
        <v>9.4527564759119328E-3</v>
      </c>
      <c r="N2524" s="9">
        <f t="shared" si="466"/>
        <v>8.3133103072359979E-3</v>
      </c>
    </row>
    <row r="2525" spans="1:14" x14ac:dyDescent="0.35">
      <c r="A2525" s="1">
        <v>46062</v>
      </c>
      <c r="B2525" s="2" t="s">
        <v>2523</v>
      </c>
      <c r="C2525">
        <f t="shared" si="467"/>
        <v>53062.95</v>
      </c>
      <c r="D2525">
        <f t="shared" si="468"/>
        <v>2026</v>
      </c>
      <c r="E2525">
        <f t="shared" si="469"/>
        <v>2</v>
      </c>
      <c r="F2525" t="str">
        <f t="shared" si="471"/>
        <v>February</v>
      </c>
      <c r="G2525">
        <f t="shared" si="470"/>
        <v>9</v>
      </c>
      <c r="H2525" s="7">
        <f t="shared" si="472"/>
        <v>-0.30255159422502059</v>
      </c>
      <c r="I2525" s="9">
        <f t="shared" si="473"/>
        <v>-3.0301020682094136E-3</v>
      </c>
      <c r="J2525" s="9">
        <f t="shared" si="474"/>
        <v>52340.148571428566</v>
      </c>
      <c r="K2525" s="9">
        <f t="shared" si="465"/>
        <v>52903.390666666673</v>
      </c>
      <c r="L2525" s="9">
        <f t="shared" si="476"/>
        <v>52728.831555555575</v>
      </c>
      <c r="M2525" s="9">
        <f t="shared" si="475"/>
        <v>7.9716807351678156E-3</v>
      </c>
      <c r="N2525" s="9">
        <f t="shared" si="466"/>
        <v>8.3069924507598817E-3</v>
      </c>
    </row>
    <row r="2526" spans="1:14" x14ac:dyDescent="0.35">
      <c r="A2526" s="1">
        <v>46063</v>
      </c>
      <c r="B2526" s="2" t="s">
        <v>2524</v>
      </c>
      <c r="C2526">
        <f t="shared" si="467"/>
        <v>52985.31</v>
      </c>
      <c r="D2526">
        <f t="shared" si="468"/>
        <v>2026</v>
      </c>
      <c r="E2526">
        <f t="shared" si="469"/>
        <v>2</v>
      </c>
      <c r="F2526" t="str">
        <f t="shared" si="471"/>
        <v>February</v>
      </c>
      <c r="G2526">
        <f t="shared" si="470"/>
        <v>10</v>
      </c>
      <c r="H2526" s="7">
        <f t="shared" si="472"/>
        <v>-0.14631678035239168</v>
      </c>
      <c r="I2526" s="9">
        <f t="shared" si="473"/>
        <v>-1.4642392788275732E-3</v>
      </c>
      <c r="J2526" s="9">
        <f t="shared" si="474"/>
        <v>52564.138571428579</v>
      </c>
      <c r="K2526" s="9">
        <f t="shared" si="465"/>
        <v>52870.895000000004</v>
      </c>
      <c r="L2526" s="9">
        <f t="shared" si="476"/>
        <v>52721.757222222237</v>
      </c>
      <c r="M2526" s="9">
        <f t="shared" si="475"/>
        <v>8.2340742729860982E-3</v>
      </c>
      <c r="N2526" s="9">
        <f t="shared" si="466"/>
        <v>8.0205589608948625E-3</v>
      </c>
    </row>
    <row r="2527" spans="1:14" x14ac:dyDescent="0.35">
      <c r="A2527" s="1">
        <v>46064</v>
      </c>
      <c r="B2527" s="2" t="s">
        <v>2525</v>
      </c>
      <c r="C2527">
        <f t="shared" si="467"/>
        <v>52925.75</v>
      </c>
      <c r="D2527">
        <f t="shared" si="468"/>
        <v>2026</v>
      </c>
      <c r="E2527">
        <f t="shared" si="469"/>
        <v>2</v>
      </c>
      <c r="F2527" t="str">
        <f t="shared" si="471"/>
        <v>February</v>
      </c>
      <c r="G2527">
        <f t="shared" si="470"/>
        <v>11</v>
      </c>
      <c r="H2527" s="7">
        <f t="shared" si="472"/>
        <v>-0.11240851473738225</v>
      </c>
      <c r="I2527" s="9">
        <f t="shared" si="473"/>
        <v>-1.1247174049350713E-3</v>
      </c>
      <c r="J2527" s="9">
        <f t="shared" si="474"/>
        <v>52705.845714285715</v>
      </c>
      <c r="K2527" s="9">
        <f t="shared" si="465"/>
        <v>52824.895666666671</v>
      </c>
      <c r="L2527" s="9">
        <f t="shared" si="476"/>
        <v>52715.375888888899</v>
      </c>
      <c r="M2527" s="9">
        <f t="shared" si="475"/>
        <v>8.0203442642548042E-3</v>
      </c>
      <c r="N2527" s="9">
        <f t="shared" si="466"/>
        <v>7.9112847242979387E-3</v>
      </c>
    </row>
    <row r="2528" spans="1:14" x14ac:dyDescent="0.35">
      <c r="A2528" s="1">
        <v>46065</v>
      </c>
      <c r="B2528" s="2" t="s">
        <v>2526</v>
      </c>
      <c r="C2528">
        <f t="shared" si="467"/>
        <v>53323.58</v>
      </c>
      <c r="D2528">
        <f t="shared" si="468"/>
        <v>2026</v>
      </c>
      <c r="E2528">
        <f t="shared" si="469"/>
        <v>2</v>
      </c>
      <c r="F2528" t="str">
        <f t="shared" si="471"/>
        <v>February</v>
      </c>
      <c r="G2528">
        <f t="shared" si="470"/>
        <v>12</v>
      </c>
      <c r="H2528" s="7">
        <f t="shared" si="472"/>
        <v>0.75167569661271072</v>
      </c>
      <c r="I2528" s="9">
        <f t="shared" si="473"/>
        <v>7.488646924830946E-3</v>
      </c>
      <c r="J2528" s="9">
        <f t="shared" si="474"/>
        <v>52913</v>
      </c>
      <c r="K2528" s="9">
        <f t="shared" ref="K2528:K2591" si="477">AVERAGE(C2499:C2528)</f>
        <v>52802.65633333334</v>
      </c>
      <c r="L2528" s="9">
        <f t="shared" si="476"/>
        <v>52723.067555555564</v>
      </c>
      <c r="M2528" s="9">
        <f t="shared" si="475"/>
        <v>7.9920131463943576E-3</v>
      </c>
      <c r="N2528" s="9">
        <f t="shared" si="466"/>
        <v>7.9962049579060165E-3</v>
      </c>
    </row>
    <row r="2529" spans="1:14" x14ac:dyDescent="0.35">
      <c r="A2529" s="1">
        <v>46066</v>
      </c>
      <c r="B2529" s="2" t="s">
        <v>2527</v>
      </c>
      <c r="C2529">
        <f t="shared" si="467"/>
        <v>53789.75</v>
      </c>
      <c r="D2529">
        <f t="shared" si="468"/>
        <v>2026</v>
      </c>
      <c r="E2529">
        <f t="shared" si="469"/>
        <v>2</v>
      </c>
      <c r="F2529" t="str">
        <f t="shared" si="471"/>
        <v>February</v>
      </c>
      <c r="G2529">
        <f t="shared" si="470"/>
        <v>13</v>
      </c>
      <c r="H2529" s="7">
        <f t="shared" si="472"/>
        <v>0.87422862455971317</v>
      </c>
      <c r="I2529" s="9">
        <f t="shared" si="473"/>
        <v>8.7042937282707598E-3</v>
      </c>
      <c r="J2529" s="9">
        <f t="shared" si="474"/>
        <v>53181.234285714287</v>
      </c>
      <c r="K2529" s="9">
        <f t="shared" si="477"/>
        <v>52787.002666666667</v>
      </c>
      <c r="L2529" s="9">
        <f t="shared" si="476"/>
        <v>52734.807888888899</v>
      </c>
      <c r="M2529" s="9">
        <f t="shared" si="475"/>
        <v>8.0279421733776713E-3</v>
      </c>
      <c r="N2529" s="9">
        <f t="shared" ref="N2529:N2592" si="478">STDEV(I2500:I2529)</f>
        <v>8.1113202089971217E-3</v>
      </c>
    </row>
    <row r="2530" spans="1:14" x14ac:dyDescent="0.35">
      <c r="A2530" s="1">
        <v>46069</v>
      </c>
      <c r="B2530" s="2" t="s">
        <v>2528</v>
      </c>
      <c r="C2530">
        <f t="shared" si="467"/>
        <v>53380.94</v>
      </c>
      <c r="D2530">
        <f t="shared" si="468"/>
        <v>2026</v>
      </c>
      <c r="E2530">
        <f t="shared" si="469"/>
        <v>2</v>
      </c>
      <c r="F2530" t="str">
        <f t="shared" si="471"/>
        <v>February</v>
      </c>
      <c r="G2530">
        <f t="shared" si="470"/>
        <v>16</v>
      </c>
      <c r="H2530" s="7">
        <f t="shared" si="472"/>
        <v>-0.76001468681300366</v>
      </c>
      <c r="I2530" s="9">
        <f t="shared" si="473"/>
        <v>-7.6291751573779615E-3</v>
      </c>
      <c r="J2530" s="9">
        <f t="shared" si="474"/>
        <v>53241.751428571428</v>
      </c>
      <c r="K2530" s="9">
        <f t="shared" si="477"/>
        <v>52775.803666666667</v>
      </c>
      <c r="L2530" s="9">
        <f t="shared" si="476"/>
        <v>52734.05511111112</v>
      </c>
      <c r="M2530" s="9">
        <f t="shared" si="475"/>
        <v>6.0387457362388068E-3</v>
      </c>
      <c r="N2530" s="9">
        <f t="shared" si="478"/>
        <v>8.0225271156869251E-3</v>
      </c>
    </row>
    <row r="2531" spans="1:14" x14ac:dyDescent="0.35">
      <c r="A2531" s="1">
        <v>46070</v>
      </c>
      <c r="B2531" s="2" t="s">
        <v>2529</v>
      </c>
      <c r="C2531">
        <f t="shared" si="467"/>
        <v>53166.59</v>
      </c>
      <c r="D2531">
        <f t="shared" si="468"/>
        <v>2026</v>
      </c>
      <c r="E2531">
        <f t="shared" si="469"/>
        <v>2</v>
      </c>
      <c r="F2531" t="str">
        <f t="shared" si="471"/>
        <v>February</v>
      </c>
      <c r="G2531">
        <f t="shared" si="470"/>
        <v>17</v>
      </c>
      <c r="H2531" s="7">
        <f t="shared" si="472"/>
        <v>-0.40154781837863068</v>
      </c>
      <c r="I2531" s="9">
        <f t="shared" si="473"/>
        <v>-4.0235618634582374E-3</v>
      </c>
      <c r="J2531" s="9">
        <f t="shared" si="474"/>
        <v>53233.552857142859</v>
      </c>
      <c r="K2531" s="9">
        <f t="shared" si="477"/>
        <v>52764.078000000009</v>
      </c>
      <c r="L2531" s="9">
        <f t="shared" si="476"/>
        <v>52729.640222222231</v>
      </c>
      <c r="M2531" s="9">
        <f t="shared" si="475"/>
        <v>6.0368611420848432E-3</v>
      </c>
      <c r="N2531" s="9">
        <f t="shared" si="478"/>
        <v>8.0275519001801587E-3</v>
      </c>
    </row>
    <row r="2532" spans="1:14" x14ac:dyDescent="0.35">
      <c r="A2532" s="1">
        <v>46071</v>
      </c>
      <c r="B2532" s="2" t="s">
        <v>2530</v>
      </c>
      <c r="C2532">
        <f t="shared" si="467"/>
        <v>53038.91</v>
      </c>
      <c r="D2532">
        <f t="shared" si="468"/>
        <v>2026</v>
      </c>
      <c r="E2532">
        <f t="shared" si="469"/>
        <v>2</v>
      </c>
      <c r="F2532" t="str">
        <f t="shared" si="471"/>
        <v>February</v>
      </c>
      <c r="G2532">
        <f t="shared" si="470"/>
        <v>18</v>
      </c>
      <c r="H2532" s="7">
        <f t="shared" si="472"/>
        <v>-0.24015081651840567</v>
      </c>
      <c r="I2532" s="9">
        <f t="shared" si="473"/>
        <v>-2.40439641094152E-3</v>
      </c>
      <c r="J2532" s="9">
        <f t="shared" si="474"/>
        <v>53230.118571428582</v>
      </c>
      <c r="K2532" s="9">
        <f t="shared" si="477"/>
        <v>52735.201333333338</v>
      </c>
      <c r="L2532" s="9">
        <f t="shared" si="476"/>
        <v>52724.443444444456</v>
      </c>
      <c r="M2532" s="9">
        <f t="shared" si="475"/>
        <v>5.9916427743436423E-3</v>
      </c>
      <c r="N2532" s="9">
        <f t="shared" si="478"/>
        <v>7.9120453413253477E-3</v>
      </c>
    </row>
    <row r="2533" spans="1:14" x14ac:dyDescent="0.35">
      <c r="A2533" s="1">
        <v>46072</v>
      </c>
      <c r="B2533" s="2" t="s">
        <v>2531</v>
      </c>
      <c r="C2533">
        <f t="shared" si="467"/>
        <v>52848</v>
      </c>
      <c r="D2533">
        <f t="shared" si="468"/>
        <v>2026</v>
      </c>
      <c r="E2533">
        <f t="shared" si="469"/>
        <v>2</v>
      </c>
      <c r="F2533" t="str">
        <f t="shared" si="471"/>
        <v>February</v>
      </c>
      <c r="G2533">
        <f t="shared" si="470"/>
        <v>19</v>
      </c>
      <c r="H2533" s="7">
        <f t="shared" si="472"/>
        <v>-0.35994329446062051</v>
      </c>
      <c r="I2533" s="9">
        <f t="shared" si="473"/>
        <v>-3.6059264901048128E-3</v>
      </c>
      <c r="J2533" s="9">
        <f t="shared" si="474"/>
        <v>53210.502857142863</v>
      </c>
      <c r="K2533" s="9">
        <f t="shared" si="477"/>
        <v>52680.998333333329</v>
      </c>
      <c r="L2533" s="9">
        <f t="shared" si="476"/>
        <v>52717.389222222228</v>
      </c>
      <c r="M2533" s="9">
        <f t="shared" si="475"/>
        <v>6.1281435530034754E-3</v>
      </c>
      <c r="N2533" s="9">
        <f t="shared" si="478"/>
        <v>7.6481751852675202E-3</v>
      </c>
    </row>
    <row r="2534" spans="1:14" x14ac:dyDescent="0.35">
      <c r="A2534" s="1">
        <v>46073</v>
      </c>
      <c r="B2534" s="2" t="s">
        <v>2532</v>
      </c>
      <c r="C2534">
        <f t="shared" si="467"/>
        <v>52938.239999999998</v>
      </c>
      <c r="D2534">
        <f t="shared" si="468"/>
        <v>2026</v>
      </c>
      <c r="E2534">
        <f t="shared" si="469"/>
        <v>2</v>
      </c>
      <c r="F2534" t="str">
        <f t="shared" si="471"/>
        <v>February</v>
      </c>
      <c r="G2534">
        <f t="shared" si="470"/>
        <v>20</v>
      </c>
      <c r="H2534" s="7">
        <f t="shared" si="472"/>
        <v>0.17075386012715327</v>
      </c>
      <c r="I2534" s="9">
        <f t="shared" si="473"/>
        <v>1.7060824146616382E-3</v>
      </c>
      <c r="J2534" s="9">
        <f t="shared" si="474"/>
        <v>53212.287142857145</v>
      </c>
      <c r="K2534" s="9">
        <f t="shared" si="477"/>
        <v>52642.093999999997</v>
      </c>
      <c r="L2534" s="9">
        <f t="shared" si="476"/>
        <v>52710.449666666667</v>
      </c>
      <c r="M2534" s="9">
        <f t="shared" si="475"/>
        <v>6.1633935024441684E-3</v>
      </c>
      <c r="N2534" s="9">
        <f t="shared" si="478"/>
        <v>7.5837564380652383E-3</v>
      </c>
    </row>
    <row r="2535" spans="1:14" x14ac:dyDescent="0.35">
      <c r="A2535" s="1">
        <v>46076</v>
      </c>
      <c r="B2535" s="2" t="s">
        <v>2533</v>
      </c>
      <c r="C2535">
        <f t="shared" si="467"/>
        <v>52059.76</v>
      </c>
      <c r="D2535">
        <f t="shared" si="468"/>
        <v>2026</v>
      </c>
      <c r="E2535">
        <f t="shared" si="469"/>
        <v>2</v>
      </c>
      <c r="F2535" t="str">
        <f t="shared" si="471"/>
        <v>February</v>
      </c>
      <c r="G2535">
        <f t="shared" si="470"/>
        <v>23</v>
      </c>
      <c r="H2535" s="7">
        <f t="shared" si="472"/>
        <v>-1.6594431548914281</v>
      </c>
      <c r="I2535" s="9">
        <f t="shared" si="473"/>
        <v>-1.6733661572611799E-2</v>
      </c>
      <c r="J2535" s="9">
        <f t="shared" si="474"/>
        <v>53031.741428571426</v>
      </c>
      <c r="K2535" s="9">
        <f t="shared" si="477"/>
        <v>52580.052666666663</v>
      </c>
      <c r="L2535" s="9">
        <f t="shared" si="476"/>
        <v>52700.471444444433</v>
      </c>
      <c r="M2535" s="9">
        <f t="shared" si="475"/>
        <v>7.8493732095627697E-3</v>
      </c>
      <c r="N2535" s="9">
        <f t="shared" si="478"/>
        <v>8.1176090945623905E-3</v>
      </c>
    </row>
    <row r="2536" spans="1:14" x14ac:dyDescent="0.35">
      <c r="A2536" s="1">
        <v>46077</v>
      </c>
      <c r="B2536" s="2" t="s">
        <v>2534</v>
      </c>
      <c r="C2536">
        <f t="shared" si="467"/>
        <v>51428.08</v>
      </c>
      <c r="D2536">
        <f t="shared" si="468"/>
        <v>2026</v>
      </c>
      <c r="E2536">
        <f t="shared" si="469"/>
        <v>2</v>
      </c>
      <c r="F2536" t="str">
        <f t="shared" si="471"/>
        <v>February</v>
      </c>
      <c r="G2536">
        <f t="shared" si="470"/>
        <v>24</v>
      </c>
      <c r="H2536" s="7">
        <f t="shared" si="472"/>
        <v>-1.2133747831338451</v>
      </c>
      <c r="I2536" s="9">
        <f t="shared" si="473"/>
        <v>-1.2207962696851486E-2</v>
      </c>
      <c r="J2536" s="9">
        <f t="shared" si="474"/>
        <v>52694.36</v>
      </c>
      <c r="K2536" s="9">
        <f t="shared" si="477"/>
        <v>52503.592666666671</v>
      </c>
      <c r="L2536" s="9">
        <f t="shared" si="476"/>
        <v>52684.906444444438</v>
      </c>
      <c r="M2536" s="9">
        <f t="shared" si="475"/>
        <v>6.2869467947621223E-3</v>
      </c>
      <c r="N2536" s="9">
        <f t="shared" si="478"/>
        <v>8.3541864110100415E-3</v>
      </c>
    </row>
    <row r="2537" spans="1:14" x14ac:dyDescent="0.35">
      <c r="A2537" s="1">
        <v>46078</v>
      </c>
      <c r="B2537" s="2" t="s">
        <v>2535</v>
      </c>
      <c r="C2537">
        <f t="shared" si="467"/>
        <v>51424.480000000003</v>
      </c>
      <c r="D2537">
        <f t="shared" si="468"/>
        <v>2026</v>
      </c>
      <c r="E2537">
        <f t="shared" si="469"/>
        <v>2</v>
      </c>
      <c r="F2537" t="str">
        <f t="shared" si="471"/>
        <v>February</v>
      </c>
      <c r="G2537">
        <f t="shared" si="470"/>
        <v>25</v>
      </c>
      <c r="H2537" s="7">
        <f t="shared" si="472"/>
        <v>-7.0000668895252253E-3</v>
      </c>
      <c r="I2537" s="9">
        <f t="shared" si="473"/>
        <v>-7.0003119056452509E-5</v>
      </c>
      <c r="J2537" s="9">
        <f t="shared" si="474"/>
        <v>52414.865714285712</v>
      </c>
      <c r="K2537" s="9">
        <f t="shared" si="477"/>
        <v>52449.383333333331</v>
      </c>
      <c r="L2537" s="9">
        <f t="shared" si="476"/>
        <v>52669.934555555563</v>
      </c>
      <c r="M2537" s="9">
        <f t="shared" si="475"/>
        <v>6.6803459710545248E-3</v>
      </c>
      <c r="N2537" s="9">
        <f t="shared" si="478"/>
        <v>8.0881104394882677E-3</v>
      </c>
    </row>
    <row r="2538" spans="1:14" x14ac:dyDescent="0.35">
      <c r="A2538" s="1">
        <v>46079</v>
      </c>
      <c r="B2538" s="2" t="s">
        <v>2536</v>
      </c>
      <c r="C2538">
        <f t="shared" si="467"/>
        <v>51146.82</v>
      </c>
      <c r="D2538">
        <f t="shared" si="468"/>
        <v>2026</v>
      </c>
      <c r="E2538">
        <f t="shared" si="469"/>
        <v>2</v>
      </c>
      <c r="F2538" t="str">
        <f t="shared" si="471"/>
        <v>February</v>
      </c>
      <c r="G2538">
        <f t="shared" si="470"/>
        <v>26</v>
      </c>
      <c r="H2538" s="7">
        <f t="shared" si="472"/>
        <v>-0.53993739946423081</v>
      </c>
      <c r="I2538" s="9">
        <f t="shared" si="473"/>
        <v>-5.4140032975568981E-3</v>
      </c>
      <c r="J2538" s="9">
        <f t="shared" si="474"/>
        <v>52126.327142857139</v>
      </c>
      <c r="K2538" s="9">
        <f t="shared" si="477"/>
        <v>52399.99</v>
      </c>
      <c r="L2538" s="9">
        <f t="shared" si="476"/>
        <v>52649.458555555553</v>
      </c>
      <c r="M2538" s="9">
        <f t="shared" si="475"/>
        <v>6.6555055976132713E-3</v>
      </c>
      <c r="N2538" s="9">
        <f t="shared" si="478"/>
        <v>8.025214356313478E-3</v>
      </c>
    </row>
    <row r="2539" spans="1:14" x14ac:dyDescent="0.35">
      <c r="A2539" s="1">
        <v>46080</v>
      </c>
      <c r="B2539" s="2" t="s">
        <v>2537</v>
      </c>
      <c r="C2539">
        <f t="shared" si="467"/>
        <v>51184.32</v>
      </c>
      <c r="D2539">
        <f t="shared" si="468"/>
        <v>2026</v>
      </c>
      <c r="E2539">
        <f t="shared" si="469"/>
        <v>2</v>
      </c>
      <c r="F2539" t="str">
        <f t="shared" si="471"/>
        <v>February</v>
      </c>
      <c r="G2539">
        <f t="shared" si="470"/>
        <v>27</v>
      </c>
      <c r="H2539" s="7">
        <f t="shared" si="472"/>
        <v>7.3318341198924983E-2</v>
      </c>
      <c r="I2539" s="9">
        <f t="shared" si="473"/>
        <v>7.32914764335421E-4</v>
      </c>
      <c r="J2539" s="9">
        <f t="shared" si="474"/>
        <v>51861.385714285716</v>
      </c>
      <c r="K2539" s="9">
        <f t="shared" si="477"/>
        <v>52351.525666666668</v>
      </c>
      <c r="L2539" s="9">
        <f t="shared" si="476"/>
        <v>52636.954333333328</v>
      </c>
      <c r="M2539" s="9">
        <f t="shared" si="475"/>
        <v>6.9981061850643263E-3</v>
      </c>
      <c r="N2539" s="9">
        <f t="shared" si="478"/>
        <v>8.0285237264593762E-3</v>
      </c>
    </row>
    <row r="2540" spans="1:14" x14ac:dyDescent="0.35">
      <c r="A2540" s="1">
        <v>46083</v>
      </c>
      <c r="B2540" s="2" t="s">
        <v>2538</v>
      </c>
      <c r="C2540">
        <f t="shared" si="467"/>
        <v>51226.09</v>
      </c>
      <c r="D2540">
        <f t="shared" si="468"/>
        <v>2026</v>
      </c>
      <c r="E2540">
        <f t="shared" si="469"/>
        <v>3</v>
      </c>
      <c r="F2540" t="str">
        <f t="shared" si="471"/>
        <v>March</v>
      </c>
      <c r="G2540">
        <f t="shared" si="470"/>
        <v>2</v>
      </c>
      <c r="H2540" s="7">
        <f t="shared" si="472"/>
        <v>8.1607023400910278E-2</v>
      </c>
      <c r="I2540" s="9">
        <f t="shared" si="473"/>
        <v>8.1573742974457995E-4</v>
      </c>
      <c r="J2540" s="9">
        <f t="shared" si="474"/>
        <v>51629.684285714291</v>
      </c>
      <c r="K2540" s="9">
        <f t="shared" si="477"/>
        <v>52313.392000000007</v>
      </c>
      <c r="L2540" s="9">
        <f t="shared" si="476"/>
        <v>52623.950888888881</v>
      </c>
      <c r="M2540" s="9">
        <f t="shared" si="475"/>
        <v>7.3447927849424194E-3</v>
      </c>
      <c r="N2540" s="9">
        <f t="shared" si="478"/>
        <v>7.9951083722879183E-3</v>
      </c>
    </row>
    <row r="2541" spans="1:14" x14ac:dyDescent="0.35">
      <c r="A2541" s="1">
        <v>46084</v>
      </c>
      <c r="B2541" s="2" t="s">
        <v>2539</v>
      </c>
      <c r="C2541">
        <f t="shared" si="467"/>
        <v>51895.14</v>
      </c>
      <c r="D2541">
        <f t="shared" si="468"/>
        <v>2026</v>
      </c>
      <c r="E2541">
        <f t="shared" si="469"/>
        <v>3</v>
      </c>
      <c r="F2541" t="str">
        <f t="shared" si="471"/>
        <v>March</v>
      </c>
      <c r="G2541">
        <f t="shared" si="470"/>
        <v>3</v>
      </c>
      <c r="H2541" s="7">
        <f t="shared" si="472"/>
        <v>1.3060727453530085</v>
      </c>
      <c r="I2541" s="9">
        <f t="shared" si="473"/>
        <v>1.2976171597596991E-2</v>
      </c>
      <c r="J2541" s="9">
        <f t="shared" si="474"/>
        <v>51480.670000000006</v>
      </c>
      <c r="K2541" s="9">
        <f t="shared" si="477"/>
        <v>52283.322333333337</v>
      </c>
      <c r="L2541" s="9">
        <f t="shared" si="476"/>
        <v>52618.363888888882</v>
      </c>
      <c r="M2541" s="9">
        <f t="shared" si="475"/>
        <v>9.7585201312026405E-3</v>
      </c>
      <c r="N2541" s="9">
        <f t="shared" si="478"/>
        <v>8.2263064752471481E-3</v>
      </c>
    </row>
    <row r="2542" spans="1:14" x14ac:dyDescent="0.35">
      <c r="A2542" s="1">
        <v>46085</v>
      </c>
      <c r="B2542" s="2" t="s">
        <v>2540</v>
      </c>
      <c r="C2542">
        <f t="shared" si="467"/>
        <v>51584.13</v>
      </c>
      <c r="D2542">
        <f t="shared" si="468"/>
        <v>2026</v>
      </c>
      <c r="E2542">
        <f t="shared" si="469"/>
        <v>3</v>
      </c>
      <c r="F2542" t="str">
        <f t="shared" si="471"/>
        <v>March</v>
      </c>
      <c r="G2542">
        <f t="shared" si="470"/>
        <v>4</v>
      </c>
      <c r="H2542" s="7">
        <f t="shared" si="472"/>
        <v>-0.59930467477301741</v>
      </c>
      <c r="I2542" s="9">
        <f t="shared" si="473"/>
        <v>-6.0110771264179673E-3</v>
      </c>
      <c r="J2542" s="9">
        <f t="shared" si="474"/>
        <v>51412.722857142857</v>
      </c>
      <c r="K2542" s="9">
        <f t="shared" si="477"/>
        <v>52251.832000000002</v>
      </c>
      <c r="L2542" s="9">
        <f t="shared" si="476"/>
        <v>52604.781999999992</v>
      </c>
      <c r="M2542" s="9">
        <f t="shared" si="475"/>
        <v>7.8743581964264321E-3</v>
      </c>
      <c r="N2542" s="9">
        <f t="shared" si="478"/>
        <v>8.2453176721328722E-3</v>
      </c>
    </row>
    <row r="2543" spans="1:14" x14ac:dyDescent="0.35">
      <c r="A2543" s="1">
        <v>46086</v>
      </c>
      <c r="B2543" s="2" t="s">
        <v>2541</v>
      </c>
      <c r="C2543">
        <f t="shared" si="467"/>
        <v>52250.28</v>
      </c>
      <c r="D2543">
        <f t="shared" si="468"/>
        <v>2026</v>
      </c>
      <c r="E2543">
        <f t="shared" si="469"/>
        <v>3</v>
      </c>
      <c r="F2543" t="str">
        <f t="shared" si="471"/>
        <v>March</v>
      </c>
      <c r="G2543">
        <f t="shared" si="470"/>
        <v>5</v>
      </c>
      <c r="H2543" s="7">
        <f t="shared" si="472"/>
        <v>1.2913855482296619</v>
      </c>
      <c r="I2543" s="9">
        <f t="shared" si="473"/>
        <v>1.2831182639958536E-2</v>
      </c>
      <c r="J2543" s="9">
        <f t="shared" si="474"/>
        <v>51530.18</v>
      </c>
      <c r="K2543" s="9">
        <f t="shared" si="477"/>
        <v>52246.418666666672</v>
      </c>
      <c r="L2543" s="9">
        <f t="shared" si="476"/>
        <v>52603.987555555541</v>
      </c>
      <c r="M2543" s="9">
        <f t="shared" si="475"/>
        <v>7.7860327782276308E-3</v>
      </c>
      <c r="N2543" s="9">
        <f t="shared" si="478"/>
        <v>8.5942414878686889E-3</v>
      </c>
    </row>
    <row r="2544" spans="1:14" x14ac:dyDescent="0.35">
      <c r="A2544" s="1">
        <v>46087</v>
      </c>
      <c r="B2544" s="2" t="s">
        <v>2542</v>
      </c>
      <c r="C2544">
        <f t="shared" si="467"/>
        <v>52495.46</v>
      </c>
      <c r="D2544">
        <f t="shared" si="468"/>
        <v>2026</v>
      </c>
      <c r="E2544">
        <f t="shared" si="469"/>
        <v>3</v>
      </c>
      <c r="F2544" t="str">
        <f t="shared" si="471"/>
        <v>March</v>
      </c>
      <c r="G2544">
        <f t="shared" si="470"/>
        <v>6</v>
      </c>
      <c r="H2544" s="7">
        <f t="shared" si="472"/>
        <v>0.46924150454313412</v>
      </c>
      <c r="I2544" s="9">
        <f t="shared" si="473"/>
        <v>4.6814399855840457E-3</v>
      </c>
      <c r="J2544" s="9">
        <f t="shared" si="474"/>
        <v>51683.177142857152</v>
      </c>
      <c r="K2544" s="9">
        <f t="shared" si="477"/>
        <v>52276.18233333333</v>
      </c>
      <c r="L2544" s="9">
        <f t="shared" si="476"/>
        <v>52607.063666666654</v>
      </c>
      <c r="M2544" s="9">
        <f t="shared" si="475"/>
        <v>7.7555095195748604E-3</v>
      </c>
      <c r="N2544" s="9">
        <f t="shared" si="478"/>
        <v>8.1192361210310291E-3</v>
      </c>
    </row>
    <row r="2545" spans="1:14" x14ac:dyDescent="0.35">
      <c r="A2545" s="1">
        <v>46090</v>
      </c>
      <c r="B2545" s="2" t="s">
        <v>2543</v>
      </c>
      <c r="C2545">
        <f t="shared" si="467"/>
        <v>51787.199999999997</v>
      </c>
      <c r="D2545">
        <f t="shared" si="468"/>
        <v>2026</v>
      </c>
      <c r="E2545">
        <f t="shared" si="469"/>
        <v>3</v>
      </c>
      <c r="F2545" t="str">
        <f t="shared" si="471"/>
        <v>March</v>
      </c>
      <c r="G2545">
        <f t="shared" si="470"/>
        <v>9</v>
      </c>
      <c r="H2545" s="7">
        <f t="shared" si="472"/>
        <v>-1.3491833389020726</v>
      </c>
      <c r="I2545" s="9">
        <f t="shared" si="473"/>
        <v>-1.3583675184772272E-2</v>
      </c>
      <c r="J2545" s="9">
        <f t="shared" si="474"/>
        <v>51774.659999999996</v>
      </c>
      <c r="K2545" s="9">
        <f t="shared" si="477"/>
        <v>52287.139666666662</v>
      </c>
      <c r="L2545" s="9">
        <f t="shared" si="476"/>
        <v>52599.291999999994</v>
      </c>
      <c r="M2545" s="9">
        <f t="shared" si="475"/>
        <v>9.6148391835899072E-3</v>
      </c>
      <c r="N2545" s="9">
        <f t="shared" si="478"/>
        <v>8.5033388125438265E-3</v>
      </c>
    </row>
    <row r="2546" spans="1:14" x14ac:dyDescent="0.35">
      <c r="A2546" s="1">
        <v>46091</v>
      </c>
      <c r="B2546" s="2" t="s">
        <v>2544</v>
      </c>
      <c r="C2546">
        <f t="shared" si="467"/>
        <v>52323.78</v>
      </c>
      <c r="D2546">
        <f t="shared" si="468"/>
        <v>2026</v>
      </c>
      <c r="E2546">
        <f t="shared" si="469"/>
        <v>3</v>
      </c>
      <c r="F2546" t="str">
        <f t="shared" si="471"/>
        <v>March</v>
      </c>
      <c r="G2546">
        <f t="shared" si="470"/>
        <v>10</v>
      </c>
      <c r="H2546" s="7">
        <f t="shared" si="472"/>
        <v>1.0361247566966389</v>
      </c>
      <c r="I2546" s="9">
        <f t="shared" si="473"/>
        <v>1.0307937762577117E-2</v>
      </c>
      <c r="J2546" s="9">
        <f t="shared" si="474"/>
        <v>51937.439999999995</v>
      </c>
      <c r="K2546" s="9">
        <f t="shared" si="477"/>
        <v>52293.587666666674</v>
      </c>
      <c r="L2546" s="9">
        <f t="shared" si="476"/>
        <v>52599.018888888881</v>
      </c>
      <c r="M2546" s="9">
        <f t="shared" si="475"/>
        <v>1.0109815191065102E-2</v>
      </c>
      <c r="N2546" s="9">
        <f t="shared" si="478"/>
        <v>8.3784932429634695E-3</v>
      </c>
    </row>
    <row r="2547" spans="1:14" x14ac:dyDescent="0.35">
      <c r="A2547" s="1">
        <v>46092</v>
      </c>
      <c r="B2547" s="2" t="s">
        <v>2545</v>
      </c>
      <c r="C2547">
        <f t="shared" si="467"/>
        <v>52569.55</v>
      </c>
      <c r="D2547">
        <f t="shared" si="468"/>
        <v>2026</v>
      </c>
      <c r="E2547">
        <f t="shared" si="469"/>
        <v>3</v>
      </c>
      <c r="F2547" t="str">
        <f t="shared" si="471"/>
        <v>March</v>
      </c>
      <c r="G2547">
        <f t="shared" si="470"/>
        <v>11</v>
      </c>
      <c r="H2547" s="7">
        <f t="shared" si="472"/>
        <v>0.46970994832560659</v>
      </c>
      <c r="I2547" s="9">
        <f t="shared" si="473"/>
        <v>4.6861025338763417E-3</v>
      </c>
      <c r="J2547" s="9">
        <f t="shared" si="474"/>
        <v>52129.362857142856</v>
      </c>
      <c r="K2547" s="9">
        <f t="shared" si="477"/>
        <v>52316.73066666667</v>
      </c>
      <c r="L2547" s="9">
        <f t="shared" si="476"/>
        <v>52599.309777777766</v>
      </c>
      <c r="M2547" s="9">
        <f t="shared" si="475"/>
        <v>1.0066915669628517E-2</v>
      </c>
      <c r="N2547" s="9">
        <f t="shared" si="478"/>
        <v>8.3629723643156746E-3</v>
      </c>
    </row>
    <row r="2548" spans="1:14" x14ac:dyDescent="0.35">
      <c r="A2548" s="1">
        <v>46093</v>
      </c>
      <c r="B2548" s="2" t="s">
        <v>2546</v>
      </c>
      <c r="C2548">
        <f t="shared" si="467"/>
        <v>53392.86</v>
      </c>
      <c r="D2548">
        <f t="shared" si="468"/>
        <v>2026</v>
      </c>
      <c r="E2548">
        <f t="shared" si="469"/>
        <v>3</v>
      </c>
      <c r="F2548" t="str">
        <f t="shared" si="471"/>
        <v>March</v>
      </c>
      <c r="G2548">
        <f t="shared" si="470"/>
        <v>12</v>
      </c>
      <c r="H2548" s="7">
        <f t="shared" si="472"/>
        <v>1.5661347681309761</v>
      </c>
      <c r="I2548" s="9">
        <f t="shared" si="473"/>
        <v>1.5539974381785256E-2</v>
      </c>
      <c r="J2548" s="9">
        <f t="shared" si="474"/>
        <v>52343.322857142855</v>
      </c>
      <c r="K2548" s="9">
        <f t="shared" si="477"/>
        <v>52384.868666666662</v>
      </c>
      <c r="L2548" s="9">
        <f t="shared" si="476"/>
        <v>52608.866444444437</v>
      </c>
      <c r="M2548" s="9">
        <f t="shared" si="475"/>
        <v>1.049812759741392E-2</v>
      </c>
      <c r="N2548" s="9">
        <f t="shared" si="478"/>
        <v>8.5515595138832938E-3</v>
      </c>
    </row>
    <row r="2549" spans="1:14" x14ac:dyDescent="0.35">
      <c r="A2549" s="1">
        <v>46094</v>
      </c>
      <c r="B2549" s="2" t="s">
        <v>2547</v>
      </c>
      <c r="C2549">
        <f t="shared" si="467"/>
        <v>53824.28</v>
      </c>
      <c r="D2549">
        <f t="shared" si="468"/>
        <v>2026</v>
      </c>
      <c r="E2549">
        <f t="shared" si="469"/>
        <v>3</v>
      </c>
      <c r="F2549" t="str">
        <f t="shared" si="471"/>
        <v>March</v>
      </c>
      <c r="G2549">
        <f t="shared" si="470"/>
        <v>13</v>
      </c>
      <c r="H2549" s="7">
        <f t="shared" si="472"/>
        <v>0.80801065910310521</v>
      </c>
      <c r="I2549" s="9">
        <f t="shared" si="473"/>
        <v>8.0476373159736915E-3</v>
      </c>
      <c r="J2549" s="9">
        <f t="shared" si="474"/>
        <v>52663.344285714287</v>
      </c>
      <c r="K2549" s="9">
        <f t="shared" si="477"/>
        <v>52465.098666666665</v>
      </c>
      <c r="L2549" s="9">
        <f t="shared" si="476"/>
        <v>52616.616222222212</v>
      </c>
      <c r="M2549" s="9">
        <f t="shared" si="475"/>
        <v>9.5513989383312712E-3</v>
      </c>
      <c r="N2549" s="9">
        <f t="shared" si="478"/>
        <v>8.6398380346598604E-3</v>
      </c>
    </row>
    <row r="2550" spans="1:14" x14ac:dyDescent="0.35">
      <c r="A2550" s="1">
        <v>46097</v>
      </c>
      <c r="B2550" s="2" t="s">
        <v>2548</v>
      </c>
      <c r="C2550">
        <f t="shared" si="467"/>
        <v>53190.559999999998</v>
      </c>
      <c r="D2550">
        <f t="shared" si="468"/>
        <v>2026</v>
      </c>
      <c r="E2550">
        <f t="shared" si="469"/>
        <v>3</v>
      </c>
      <c r="F2550" t="str">
        <f t="shared" si="471"/>
        <v>March</v>
      </c>
      <c r="G2550">
        <f t="shared" si="470"/>
        <v>16</v>
      </c>
      <c r="H2550" s="7">
        <f t="shared" si="472"/>
        <v>-1.1773868596105721</v>
      </c>
      <c r="I2550" s="9">
        <f t="shared" si="473"/>
        <v>-1.1843729483664613E-2</v>
      </c>
      <c r="J2550" s="9">
        <f t="shared" si="474"/>
        <v>52797.67</v>
      </c>
      <c r="K2550" s="9">
        <f t="shared" si="477"/>
        <v>52506.990666666657</v>
      </c>
      <c r="L2550" s="9">
        <f t="shared" si="476"/>
        <v>52620.982666666649</v>
      </c>
      <c r="M2550" s="9">
        <f t="shared" si="475"/>
        <v>1.1073466134750172E-2</v>
      </c>
      <c r="N2550" s="9">
        <f t="shared" si="478"/>
        <v>8.8197766754381512E-3</v>
      </c>
    </row>
    <row r="2551" spans="1:14" x14ac:dyDescent="0.35">
      <c r="A2551" s="1">
        <v>46098</v>
      </c>
      <c r="B2551" s="2" t="s">
        <v>2549</v>
      </c>
      <c r="C2551">
        <f t="shared" si="467"/>
        <v>52685.7</v>
      </c>
      <c r="D2551">
        <f t="shared" si="468"/>
        <v>2026</v>
      </c>
      <c r="E2551">
        <f t="shared" si="469"/>
        <v>3</v>
      </c>
      <c r="F2551" t="str">
        <f t="shared" si="471"/>
        <v>March</v>
      </c>
      <c r="G2551">
        <f t="shared" si="470"/>
        <v>17</v>
      </c>
      <c r="H2551" s="7">
        <f t="shared" si="472"/>
        <v>-0.94915338360791957</v>
      </c>
      <c r="I2551" s="9">
        <f t="shared" si="473"/>
        <v>-9.5368655161822465E-3</v>
      </c>
      <c r="J2551" s="9">
        <f t="shared" si="474"/>
        <v>52824.84714285715</v>
      </c>
      <c r="K2551" s="9">
        <f t="shared" si="477"/>
        <v>52534.063999999998</v>
      </c>
      <c r="L2551" s="9">
        <f t="shared" si="476"/>
        <v>52614.355333333318</v>
      </c>
      <c r="M2551" s="9">
        <f t="shared" si="475"/>
        <v>1.1890759867416197E-2</v>
      </c>
      <c r="N2551" s="9">
        <f t="shared" si="478"/>
        <v>9.014317928870719E-3</v>
      </c>
    </row>
    <row r="2552" spans="1:14" x14ac:dyDescent="0.35">
      <c r="A2552" s="1">
        <v>46099</v>
      </c>
      <c r="B2552" s="2" t="s">
        <v>2550</v>
      </c>
      <c r="C2552">
        <f t="shared" si="467"/>
        <v>52253.79</v>
      </c>
      <c r="D2552">
        <f t="shared" si="468"/>
        <v>2026</v>
      </c>
      <c r="E2552">
        <f t="shared" si="469"/>
        <v>3</v>
      </c>
      <c r="F2552" t="str">
        <f t="shared" si="471"/>
        <v>March</v>
      </c>
      <c r="G2552">
        <f t="shared" si="470"/>
        <v>18</v>
      </c>
      <c r="H2552" s="7">
        <f t="shared" si="472"/>
        <v>-0.81978601404175366</v>
      </c>
      <c r="I2552" s="9">
        <f t="shared" si="473"/>
        <v>-8.2316473779262961E-3</v>
      </c>
      <c r="J2552" s="9">
        <f t="shared" si="474"/>
        <v>52891.502857142863</v>
      </c>
      <c r="K2552" s="9">
        <f t="shared" si="477"/>
        <v>52545.453333333338</v>
      </c>
      <c r="L2552" s="9">
        <f t="shared" si="476"/>
        <v>52597.57233333333</v>
      </c>
      <c r="M2552" s="9">
        <f t="shared" si="475"/>
        <v>1.0969360793249467E-2</v>
      </c>
      <c r="N2552" s="9">
        <f t="shared" si="478"/>
        <v>9.1544172969532777E-3</v>
      </c>
    </row>
    <row r="2553" spans="1:14" x14ac:dyDescent="0.35">
      <c r="A2553" s="1">
        <v>46100</v>
      </c>
      <c r="B2553" s="2" t="s">
        <v>2551</v>
      </c>
      <c r="C2553">
        <f t="shared" si="467"/>
        <v>52471.72</v>
      </c>
      <c r="D2553">
        <f t="shared" si="468"/>
        <v>2026</v>
      </c>
      <c r="E2553">
        <f t="shared" si="469"/>
        <v>3</v>
      </c>
      <c r="F2553" t="str">
        <f t="shared" si="471"/>
        <v>March</v>
      </c>
      <c r="G2553">
        <f t="shared" si="470"/>
        <v>19</v>
      </c>
      <c r="H2553" s="7">
        <f t="shared" si="472"/>
        <v>0.41706065722696922</v>
      </c>
      <c r="I2553" s="9">
        <f t="shared" si="473"/>
        <v>4.1619336984136173E-3</v>
      </c>
      <c r="J2553" s="9">
        <f t="shared" si="474"/>
        <v>52912.637142857136</v>
      </c>
      <c r="K2553" s="9">
        <f t="shared" si="477"/>
        <v>52529.26666666667</v>
      </c>
      <c r="L2553" s="9">
        <f t="shared" si="476"/>
        <v>52584.613222222215</v>
      </c>
      <c r="M2553" s="9">
        <f t="shared" si="475"/>
        <v>1.0355219835367071E-2</v>
      </c>
      <c r="N2553" s="9">
        <f t="shared" si="478"/>
        <v>8.405360002061749E-3</v>
      </c>
    </row>
    <row r="2554" spans="1:14" x14ac:dyDescent="0.35">
      <c r="A2554" s="1">
        <v>46101</v>
      </c>
      <c r="B2554" s="2" t="s">
        <v>2552</v>
      </c>
      <c r="C2554">
        <f t="shared" si="467"/>
        <v>51739.83</v>
      </c>
      <c r="D2554">
        <f t="shared" si="468"/>
        <v>2026</v>
      </c>
      <c r="E2554">
        <f t="shared" si="469"/>
        <v>3</v>
      </c>
      <c r="F2554" t="str">
        <f t="shared" si="471"/>
        <v>March</v>
      </c>
      <c r="G2554">
        <f t="shared" si="470"/>
        <v>20</v>
      </c>
      <c r="H2554" s="7">
        <f t="shared" si="472"/>
        <v>-1.3948275375764305</v>
      </c>
      <c r="I2554" s="9">
        <f t="shared" si="473"/>
        <v>-1.4046466704480506E-2</v>
      </c>
      <c r="J2554" s="9">
        <f t="shared" si="474"/>
        <v>52794.105714285724</v>
      </c>
      <c r="K2554" s="9">
        <f t="shared" si="477"/>
        <v>52479.795000000006</v>
      </c>
      <c r="L2554" s="9">
        <f t="shared" si="476"/>
        <v>52567.361111111102</v>
      </c>
      <c r="M2554" s="9">
        <f t="shared" si="475"/>
        <v>1.1428827470173191E-2</v>
      </c>
      <c r="N2554" s="9">
        <f t="shared" si="478"/>
        <v>8.7041318067684285E-3</v>
      </c>
    </row>
    <row r="2555" spans="1:14" x14ac:dyDescent="0.35">
      <c r="A2555" s="1">
        <v>46104</v>
      </c>
      <c r="B2555" s="2" t="s">
        <v>2553</v>
      </c>
      <c r="C2555">
        <f t="shared" si="467"/>
        <v>51533.78</v>
      </c>
      <c r="D2555">
        <f t="shared" si="468"/>
        <v>2026</v>
      </c>
      <c r="E2555">
        <f t="shared" si="469"/>
        <v>3</v>
      </c>
      <c r="F2555" t="str">
        <f t="shared" si="471"/>
        <v>March</v>
      </c>
      <c r="G2555">
        <f t="shared" si="470"/>
        <v>23</v>
      </c>
      <c r="H2555" s="7">
        <f t="shared" si="472"/>
        <v>-0.39824251451928405</v>
      </c>
      <c r="I2555" s="9">
        <f t="shared" si="473"/>
        <v>-3.9903761166643582E-3</v>
      </c>
      <c r="J2555" s="9">
        <f t="shared" si="474"/>
        <v>52528.52285714286</v>
      </c>
      <c r="K2555" s="9">
        <f t="shared" si="477"/>
        <v>52428.822666666674</v>
      </c>
      <c r="L2555" s="9">
        <f t="shared" si="476"/>
        <v>52551.01177777777</v>
      </c>
      <c r="M2555" s="9">
        <f t="shared" si="475"/>
        <v>8.3154023702456809E-3</v>
      </c>
      <c r="N2555" s="9">
        <f t="shared" si="478"/>
        <v>8.713833115927409E-3</v>
      </c>
    </row>
    <row r="2556" spans="1:14" x14ac:dyDescent="0.35">
      <c r="A2556" s="1">
        <v>46105</v>
      </c>
      <c r="B2556" s="2" t="s">
        <v>2554</v>
      </c>
      <c r="C2556">
        <f t="shared" si="467"/>
        <v>51484.46</v>
      </c>
      <c r="D2556">
        <f t="shared" si="468"/>
        <v>2026</v>
      </c>
      <c r="E2556">
        <f t="shared" si="469"/>
        <v>3</v>
      </c>
      <c r="F2556" t="str">
        <f t="shared" si="471"/>
        <v>March</v>
      </c>
      <c r="G2556">
        <f t="shared" si="470"/>
        <v>24</v>
      </c>
      <c r="H2556" s="7">
        <f t="shared" si="472"/>
        <v>-9.5704215759060768E-2</v>
      </c>
      <c r="I2556" s="9">
        <f t="shared" si="473"/>
        <v>-9.5750041484066433E-4</v>
      </c>
      <c r="J2556" s="9">
        <f t="shared" si="474"/>
        <v>52194.262857142858</v>
      </c>
      <c r="K2556" s="9">
        <f t="shared" si="477"/>
        <v>52378.794333333339</v>
      </c>
      <c r="L2556" s="9">
        <f t="shared" si="476"/>
        <v>52534.460999999996</v>
      </c>
      <c r="M2556" s="9">
        <f t="shared" si="475"/>
        <v>6.4324826037664151E-3</v>
      </c>
      <c r="N2556" s="9">
        <f t="shared" si="478"/>
        <v>8.7133426060720439E-3</v>
      </c>
    </row>
    <row r="2557" spans="1:14" x14ac:dyDescent="0.35">
      <c r="A2557" s="1">
        <v>46106</v>
      </c>
      <c r="B2557" s="2" t="s">
        <v>2555</v>
      </c>
      <c r="C2557">
        <f t="shared" si="467"/>
        <v>52247.839999999997</v>
      </c>
      <c r="D2557">
        <f t="shared" si="468"/>
        <v>2026</v>
      </c>
      <c r="E2557">
        <f t="shared" si="469"/>
        <v>3</v>
      </c>
      <c r="F2557" t="str">
        <f t="shared" si="471"/>
        <v>March</v>
      </c>
      <c r="G2557">
        <f t="shared" si="470"/>
        <v>25</v>
      </c>
      <c r="H2557" s="7">
        <f t="shared" si="472"/>
        <v>1.4827386749321978</v>
      </c>
      <c r="I2557" s="9">
        <f t="shared" si="473"/>
        <v>1.4718535715576455E-2</v>
      </c>
      <c r="J2557" s="9">
        <f t="shared" si="474"/>
        <v>52059.588571428569</v>
      </c>
      <c r="K2557" s="9">
        <f t="shared" si="477"/>
        <v>52356.197333333337</v>
      </c>
      <c r="L2557" s="9">
        <f t="shared" si="476"/>
        <v>52527.905222222216</v>
      </c>
      <c r="M2557" s="9">
        <f t="shared" si="475"/>
        <v>9.6706525247868998E-3</v>
      </c>
      <c r="N2557" s="9">
        <f t="shared" si="478"/>
        <v>9.1709835815616068E-3</v>
      </c>
    </row>
    <row r="2558" spans="1:14" x14ac:dyDescent="0.35">
      <c r="A2558" s="1">
        <v>46107</v>
      </c>
      <c r="B2558" s="2" t="s">
        <v>2556</v>
      </c>
      <c r="C2558">
        <f t="shared" si="467"/>
        <v>52673.79</v>
      </c>
      <c r="D2558">
        <f t="shared" si="468"/>
        <v>2026</v>
      </c>
      <c r="E2558">
        <f t="shared" si="469"/>
        <v>3</v>
      </c>
      <c r="F2558" t="str">
        <f t="shared" si="471"/>
        <v>March</v>
      </c>
      <c r="G2558">
        <f t="shared" si="470"/>
        <v>26</v>
      </c>
      <c r="H2558" s="7">
        <f t="shared" si="472"/>
        <v>0.81524901316495457</v>
      </c>
      <c r="I2558" s="9">
        <f t="shared" si="473"/>
        <v>8.119438100037419E-3</v>
      </c>
      <c r="J2558" s="9">
        <f t="shared" si="474"/>
        <v>52057.887142857144</v>
      </c>
      <c r="K2558" s="9">
        <f t="shared" si="477"/>
        <v>52334.537666666671</v>
      </c>
      <c r="L2558" s="9">
        <f t="shared" si="476"/>
        <v>52525.470444444436</v>
      </c>
      <c r="M2558" s="9">
        <f t="shared" si="475"/>
        <v>9.846980187466969E-3</v>
      </c>
      <c r="N2558" s="9">
        <f t="shared" si="478"/>
        <v>9.1904664905995501E-3</v>
      </c>
    </row>
    <row r="2559" spans="1:14" x14ac:dyDescent="0.35">
      <c r="A2559" s="1">
        <v>46108</v>
      </c>
      <c r="B2559" s="2" t="s">
        <v>2557</v>
      </c>
      <c r="C2559">
        <f t="shared" si="467"/>
        <v>52200.71</v>
      </c>
      <c r="D2559">
        <f t="shared" si="468"/>
        <v>2026</v>
      </c>
      <c r="E2559">
        <f t="shared" si="469"/>
        <v>3</v>
      </c>
      <c r="F2559" t="str">
        <f t="shared" si="471"/>
        <v>March</v>
      </c>
      <c r="G2559">
        <f t="shared" si="470"/>
        <v>27</v>
      </c>
      <c r="H2559" s="7">
        <f t="shared" si="472"/>
        <v>-0.89813168940378452</v>
      </c>
      <c r="I2559" s="9">
        <f t="shared" si="473"/>
        <v>-9.0218920488693895E-3</v>
      </c>
      <c r="J2559" s="9">
        <f t="shared" si="474"/>
        <v>52050.304285714286</v>
      </c>
      <c r="K2559" s="9">
        <f t="shared" si="477"/>
        <v>52281.56966666667</v>
      </c>
      <c r="L2559" s="9">
        <f t="shared" si="476"/>
        <v>52516.07488888887</v>
      </c>
      <c r="M2559" s="9">
        <f t="shared" si="475"/>
        <v>9.9605251877434801E-3</v>
      </c>
      <c r="N2559" s="9">
        <f t="shared" si="478"/>
        <v>9.1541256450300128E-3</v>
      </c>
    </row>
    <row r="2560" spans="1:14" x14ac:dyDescent="0.35">
      <c r="A2560" s="1">
        <v>46111</v>
      </c>
      <c r="B2560" s="2" t="s">
        <v>2558</v>
      </c>
      <c r="C2560">
        <f t="shared" si="467"/>
        <v>51787.01</v>
      </c>
      <c r="D2560">
        <f t="shared" si="468"/>
        <v>2026</v>
      </c>
      <c r="E2560">
        <f t="shared" si="469"/>
        <v>3</v>
      </c>
      <c r="F2560" t="str">
        <f t="shared" si="471"/>
        <v>March</v>
      </c>
      <c r="G2560">
        <f t="shared" si="470"/>
        <v>30</v>
      </c>
      <c r="H2560" s="7">
        <f t="shared" si="472"/>
        <v>-0.79251795617338761</v>
      </c>
      <c r="I2560" s="9">
        <f t="shared" si="473"/>
        <v>-7.9567507126009351E-3</v>
      </c>
      <c r="J2560" s="9">
        <f t="shared" si="474"/>
        <v>51952.488571428577</v>
      </c>
      <c r="K2560" s="9">
        <f t="shared" si="477"/>
        <v>52228.438666666669</v>
      </c>
      <c r="L2560" s="9">
        <f t="shared" si="476"/>
        <v>52501.614333333317</v>
      </c>
      <c r="M2560" s="9">
        <f t="shared" si="475"/>
        <v>1.0138714474638487E-2</v>
      </c>
      <c r="N2560" s="9">
        <f t="shared" si="478"/>
        <v>9.1624977797225577E-3</v>
      </c>
    </row>
    <row r="2561" spans="1:14" x14ac:dyDescent="0.35">
      <c r="A2561" s="1">
        <v>46112</v>
      </c>
      <c r="B2561" s="2" t="s">
        <v>2559</v>
      </c>
      <c r="C2561">
        <f t="shared" si="467"/>
        <v>50966.93</v>
      </c>
      <c r="D2561">
        <f t="shared" si="468"/>
        <v>2026</v>
      </c>
      <c r="E2561">
        <f t="shared" si="469"/>
        <v>3</v>
      </c>
      <c r="F2561" t="str">
        <f t="shared" si="471"/>
        <v>March</v>
      </c>
      <c r="G2561">
        <f t="shared" si="470"/>
        <v>31</v>
      </c>
      <c r="H2561" s="7">
        <f t="shared" si="472"/>
        <v>-1.5835631367788983</v>
      </c>
      <c r="I2561" s="9">
        <f t="shared" si="473"/>
        <v>-1.5962354586829576E-2</v>
      </c>
      <c r="J2561" s="9">
        <f t="shared" si="474"/>
        <v>51842.074285714283</v>
      </c>
      <c r="K2561" s="9">
        <f t="shared" si="477"/>
        <v>52155.116666666669</v>
      </c>
      <c r="L2561" s="9">
        <f t="shared" si="476"/>
        <v>52480.835444444419</v>
      </c>
      <c r="M2561" s="9">
        <f t="shared" si="475"/>
        <v>1.0539926382378575E-2</v>
      </c>
      <c r="N2561" s="9">
        <f t="shared" si="478"/>
        <v>9.5489994554791759E-3</v>
      </c>
    </row>
    <row r="2562" spans="1:14" x14ac:dyDescent="0.35">
      <c r="A2562" s="1">
        <v>46113</v>
      </c>
      <c r="B2562" s="2" t="s">
        <v>2560</v>
      </c>
      <c r="C2562">
        <f t="shared" si="467"/>
        <v>50315.09</v>
      </c>
      <c r="D2562">
        <f t="shared" si="468"/>
        <v>2026</v>
      </c>
      <c r="E2562">
        <f t="shared" si="469"/>
        <v>4</v>
      </c>
      <c r="F2562" t="str">
        <f t="shared" si="471"/>
        <v>April</v>
      </c>
      <c r="G2562">
        <f t="shared" si="470"/>
        <v>1</v>
      </c>
      <c r="H2562" s="7">
        <f t="shared" si="472"/>
        <v>-1.2789469563891798</v>
      </c>
      <c r="I2562" s="9">
        <f t="shared" si="473"/>
        <v>-1.2871958914538158E-2</v>
      </c>
      <c r="J2562" s="9">
        <f t="shared" si="474"/>
        <v>51667.975714285705</v>
      </c>
      <c r="K2562" s="9">
        <f t="shared" si="477"/>
        <v>52064.322666666674</v>
      </c>
      <c r="L2562" s="9">
        <f t="shared" si="476"/>
        <v>52453.059999999976</v>
      </c>
      <c r="M2562" s="9">
        <f t="shared" si="475"/>
        <v>1.1305179441032187E-2</v>
      </c>
      <c r="N2562" s="9">
        <f t="shared" si="478"/>
        <v>9.7752084993450745E-3</v>
      </c>
    </row>
    <row r="2563" spans="1:14" x14ac:dyDescent="0.35">
      <c r="A2563" s="1">
        <v>46114</v>
      </c>
      <c r="B2563" s="2" t="s">
        <v>2561</v>
      </c>
      <c r="C2563">
        <f t="shared" ref="C2563:C2603" si="479">_xlfn.NUMBERVALUE(B2563,".",",")</f>
        <v>49415.31</v>
      </c>
      <c r="D2563">
        <f t="shared" ref="D2563:D2603" si="480">YEAR(A2563)</f>
        <v>2026</v>
      </c>
      <c r="E2563">
        <f t="shared" ref="E2563:E2603" si="481">MONTH(A2563)</f>
        <v>4</v>
      </c>
      <c r="F2563" t="str">
        <f t="shared" si="471"/>
        <v>April</v>
      </c>
      <c r="G2563">
        <f t="shared" ref="G2563:G2603" si="482">DAY(A2563)</f>
        <v>2</v>
      </c>
      <c r="H2563" s="7">
        <f t="shared" si="472"/>
        <v>-1.788290550608175</v>
      </c>
      <c r="I2563" s="9">
        <f t="shared" si="473"/>
        <v>-1.8044736907456373E-2</v>
      </c>
      <c r="J2563" s="9">
        <f t="shared" si="474"/>
        <v>51372.382857142853</v>
      </c>
      <c r="K2563" s="9">
        <f t="shared" si="477"/>
        <v>51949.899666666672</v>
      </c>
      <c r="L2563" s="9">
        <f t="shared" si="476"/>
        <v>52418.257666666643</v>
      </c>
      <c r="M2563" s="9">
        <f t="shared" si="475"/>
        <v>1.2469881690025606E-2</v>
      </c>
      <c r="N2563" s="9">
        <f t="shared" si="478"/>
        <v>1.0214929086130243E-2</v>
      </c>
    </row>
    <row r="2564" spans="1:14" x14ac:dyDescent="0.35">
      <c r="A2564" s="1">
        <v>46119</v>
      </c>
      <c r="B2564" s="2" t="s">
        <v>2562</v>
      </c>
      <c r="C2564">
        <f t="shared" si="479"/>
        <v>49429.4</v>
      </c>
      <c r="D2564">
        <f t="shared" si="480"/>
        <v>2026</v>
      </c>
      <c r="E2564">
        <f t="shared" si="481"/>
        <v>4</v>
      </c>
      <c r="F2564" t="str">
        <f t="shared" ref="F2564:F2603" si="483">TEXT(A2564,"mmmm")</f>
        <v>April</v>
      </c>
      <c r="G2564">
        <f t="shared" si="482"/>
        <v>7</v>
      </c>
      <c r="H2564" s="7">
        <f t="shared" ref="H2564:H2603" si="484">((C2564-C2563)/C2563)*100</f>
        <v>2.8513430351856103E-2</v>
      </c>
      <c r="I2564" s="9">
        <f t="shared" ref="I2564:I2603" si="485">LN(C2564/C2563)</f>
        <v>2.8509366045873468E-4</v>
      </c>
      <c r="J2564" s="9">
        <f t="shared" si="474"/>
        <v>50969.748571428572</v>
      </c>
      <c r="K2564" s="9">
        <f t="shared" si="477"/>
        <v>51832.938333333339</v>
      </c>
      <c r="L2564" s="9">
        <f t="shared" si="476"/>
        <v>52387.802444444424</v>
      </c>
      <c r="M2564" s="9">
        <f t="shared" si="475"/>
        <v>9.2872160372448817E-3</v>
      </c>
      <c r="N2564" s="9">
        <f t="shared" si="478"/>
        <v>1.019928930100217E-2</v>
      </c>
    </row>
    <row r="2565" spans="1:14" x14ac:dyDescent="0.35">
      <c r="A2565" s="1">
        <v>46120</v>
      </c>
      <c r="B2565" s="2" t="s">
        <v>2563</v>
      </c>
      <c r="C2565">
        <f t="shared" si="479"/>
        <v>48373.17</v>
      </c>
      <c r="D2565">
        <f t="shared" si="480"/>
        <v>2026</v>
      </c>
      <c r="E2565">
        <f t="shared" si="481"/>
        <v>4</v>
      </c>
      <c r="F2565" t="str">
        <f t="shared" si="483"/>
        <v>April</v>
      </c>
      <c r="G2565">
        <f t="shared" si="482"/>
        <v>8</v>
      </c>
      <c r="H2565" s="7">
        <f t="shared" si="484"/>
        <v>-2.1368456829336453</v>
      </c>
      <c r="I2565" s="9">
        <f t="shared" si="485"/>
        <v>-2.1600067690664145E-2</v>
      </c>
      <c r="J2565" s="9">
        <f t="shared" si="474"/>
        <v>50355.374285714286</v>
      </c>
      <c r="K2565" s="9">
        <f t="shared" si="477"/>
        <v>51710.052000000003</v>
      </c>
      <c r="L2565" s="9">
        <f t="shared" si="476"/>
        <v>52355.544333333317</v>
      </c>
      <c r="M2565" s="9">
        <f t="shared" si="475"/>
        <v>7.3155630725965882E-3</v>
      </c>
      <c r="N2565" s="9">
        <f t="shared" si="478"/>
        <v>1.0472045335281949E-2</v>
      </c>
    </row>
    <row r="2566" spans="1:14" x14ac:dyDescent="0.35">
      <c r="A2566" s="1">
        <v>46121</v>
      </c>
      <c r="B2566" s="2" t="s">
        <v>2564</v>
      </c>
      <c r="C2566">
        <f t="shared" si="479"/>
        <v>47995.82</v>
      </c>
      <c r="D2566">
        <f t="shared" si="480"/>
        <v>2026</v>
      </c>
      <c r="E2566">
        <f t="shared" si="481"/>
        <v>4</v>
      </c>
      <c r="F2566" t="str">
        <f t="shared" si="483"/>
        <v>April</v>
      </c>
      <c r="G2566">
        <f t="shared" si="482"/>
        <v>9</v>
      </c>
      <c r="H2566" s="7">
        <f t="shared" si="484"/>
        <v>-0.78008118963466433</v>
      </c>
      <c r="I2566" s="9">
        <f t="shared" si="485"/>
        <v>-7.8313973944455443E-3</v>
      </c>
      <c r="J2566" s="9">
        <f t="shared" si="474"/>
        <v>49754.67571428571</v>
      </c>
      <c r="K2566" s="9">
        <f t="shared" si="477"/>
        <v>51595.643333333333</v>
      </c>
      <c r="L2566" s="9">
        <f t="shared" si="476"/>
        <v>52321.081444444433</v>
      </c>
      <c r="M2566" s="9">
        <f t="shared" si="475"/>
        <v>7.4140553847950952E-3</v>
      </c>
      <c r="N2566" s="9">
        <f t="shared" si="478"/>
        <v>1.0361293892997225E-2</v>
      </c>
    </row>
    <row r="2567" spans="1:14" x14ac:dyDescent="0.35">
      <c r="A2567" s="1">
        <v>46122</v>
      </c>
      <c r="B2567" s="2" t="s">
        <v>2565</v>
      </c>
      <c r="C2567">
        <f t="shared" si="479"/>
        <v>48421.99</v>
      </c>
      <c r="D2567">
        <f t="shared" si="480"/>
        <v>2026</v>
      </c>
      <c r="E2567">
        <f t="shared" si="481"/>
        <v>4</v>
      </c>
      <c r="F2567" t="str">
        <f t="shared" si="483"/>
        <v>April</v>
      </c>
      <c r="G2567">
        <f t="shared" si="482"/>
        <v>10</v>
      </c>
      <c r="H2567" s="7">
        <f t="shared" si="484"/>
        <v>0.88793149070064481</v>
      </c>
      <c r="I2567" s="9">
        <f t="shared" si="485"/>
        <v>8.8401256023366674E-3</v>
      </c>
      <c r="J2567" s="9">
        <f t="shared" si="474"/>
        <v>49273.958571428564</v>
      </c>
      <c r="K2567" s="9">
        <f t="shared" si="477"/>
        <v>51495.560333333335</v>
      </c>
      <c r="L2567" s="9">
        <f t="shared" si="476"/>
        <v>52294.529555555549</v>
      </c>
      <c r="M2567" s="9">
        <f t="shared" si="475"/>
        <v>1.0858036273042123E-2</v>
      </c>
      <c r="N2567" s="9">
        <f t="shared" si="478"/>
        <v>1.0553412438561685E-2</v>
      </c>
    </row>
    <row r="2568" spans="1:14" x14ac:dyDescent="0.35">
      <c r="A2568" s="1">
        <v>46125</v>
      </c>
      <c r="B2568" s="2" t="s">
        <v>2566</v>
      </c>
      <c r="C2568">
        <f t="shared" si="479"/>
        <v>49112.800000000003</v>
      </c>
      <c r="D2568">
        <f t="shared" si="480"/>
        <v>2026</v>
      </c>
      <c r="E2568">
        <f t="shared" si="481"/>
        <v>4</v>
      </c>
      <c r="F2568" t="str">
        <f t="shared" si="483"/>
        <v>April</v>
      </c>
      <c r="G2568">
        <f t="shared" si="482"/>
        <v>13</v>
      </c>
      <c r="H2568" s="7">
        <f t="shared" si="484"/>
        <v>1.4266452080965795</v>
      </c>
      <c r="I2568" s="9">
        <f t="shared" si="485"/>
        <v>1.416564390553692E-2</v>
      </c>
      <c r="J2568" s="9">
        <f t="shared" si="474"/>
        <v>49009.08285714285</v>
      </c>
      <c r="K2568" s="9">
        <f t="shared" si="477"/>
        <v>51427.759666666658</v>
      </c>
      <c r="L2568" s="9">
        <f t="shared" si="476"/>
        <v>52266.114444444429</v>
      </c>
      <c r="M2568" s="9">
        <f t="shared" si="475"/>
        <v>1.3551817316865078E-2</v>
      </c>
      <c r="N2568" s="9">
        <f t="shared" si="478"/>
        <v>1.0933914319440926E-2</v>
      </c>
    </row>
    <row r="2569" spans="1:14" x14ac:dyDescent="0.35">
      <c r="A2569" s="1">
        <v>46126</v>
      </c>
      <c r="B2569" s="2" t="s">
        <v>2567</v>
      </c>
      <c r="C2569">
        <f t="shared" si="479"/>
        <v>48940.43</v>
      </c>
      <c r="D2569">
        <f t="shared" si="480"/>
        <v>2026</v>
      </c>
      <c r="E2569">
        <f t="shared" si="481"/>
        <v>4</v>
      </c>
      <c r="F2569" t="str">
        <f t="shared" si="483"/>
        <v>April</v>
      </c>
      <c r="G2569">
        <f t="shared" si="482"/>
        <v>14</v>
      </c>
      <c r="H2569" s="7">
        <f t="shared" si="484"/>
        <v>-0.35096756853610994</v>
      </c>
      <c r="I2569" s="9">
        <f t="shared" si="485"/>
        <v>-3.5158490456300884E-3</v>
      </c>
      <c r="J2569" s="9">
        <f t="shared" ref="J2569:J2603" si="486">AVERAGE(C2563:C2569)</f>
        <v>48812.702857142853</v>
      </c>
      <c r="K2569" s="9">
        <f t="shared" si="477"/>
        <v>51352.963333333326</v>
      </c>
      <c r="L2569" s="9">
        <f t="shared" si="476"/>
        <v>52227.072111111091</v>
      </c>
      <c r="M2569" s="9">
        <f t="shared" si="475"/>
        <v>1.3134812153173006E-2</v>
      </c>
      <c r="N2569" s="9">
        <f t="shared" si="478"/>
        <v>1.0933485082372546E-2</v>
      </c>
    </row>
    <row r="2570" spans="1:14" x14ac:dyDescent="0.35">
      <c r="A2570" s="1">
        <v>46127</v>
      </c>
      <c r="B2570" s="2" t="s">
        <v>2568</v>
      </c>
      <c r="C2570">
        <f t="shared" si="479"/>
        <v>49857.7</v>
      </c>
      <c r="D2570">
        <f t="shared" si="480"/>
        <v>2026</v>
      </c>
      <c r="E2570">
        <f t="shared" si="481"/>
        <v>4</v>
      </c>
      <c r="F2570" t="str">
        <f t="shared" si="483"/>
        <v>April</v>
      </c>
      <c r="G2570">
        <f t="shared" si="482"/>
        <v>15</v>
      </c>
      <c r="H2570" s="7">
        <f t="shared" si="484"/>
        <v>1.8742581542499663</v>
      </c>
      <c r="I2570" s="9">
        <f t="shared" si="485"/>
        <v>1.8569103624949453E-2</v>
      </c>
      <c r="J2570" s="9">
        <f t="shared" si="486"/>
        <v>48875.901428571429</v>
      </c>
      <c r="K2570" s="9">
        <f t="shared" si="477"/>
        <v>51307.350333333328</v>
      </c>
      <c r="L2570" s="9">
        <f t="shared" si="476"/>
        <v>52199.296555555542</v>
      </c>
      <c r="M2570" s="9">
        <f t="shared" ref="M2570:M2603" si="487">STDEV(I2564:I2570)</f>
        <v>1.3860093605904152E-2</v>
      </c>
      <c r="N2570" s="9">
        <f t="shared" si="478"/>
        <v>1.1527164428434522E-2</v>
      </c>
    </row>
    <row r="2571" spans="1:14" x14ac:dyDescent="0.35">
      <c r="A2571" s="1">
        <v>46128</v>
      </c>
      <c r="B2571" s="2" t="s">
        <v>2569</v>
      </c>
      <c r="C2571">
        <f t="shared" si="479"/>
        <v>50039.31</v>
      </c>
      <c r="D2571">
        <f t="shared" si="480"/>
        <v>2026</v>
      </c>
      <c r="E2571">
        <f t="shared" si="481"/>
        <v>4</v>
      </c>
      <c r="F2571" t="str">
        <f t="shared" si="483"/>
        <v>April</v>
      </c>
      <c r="G2571">
        <f t="shared" si="482"/>
        <v>16</v>
      </c>
      <c r="H2571" s="7">
        <f t="shared" si="484"/>
        <v>0.36425667449561572</v>
      </c>
      <c r="I2571" s="9">
        <f t="shared" si="485"/>
        <v>3.6359486650401236E-3</v>
      </c>
      <c r="J2571" s="9">
        <f t="shared" si="486"/>
        <v>48963.031428571427</v>
      </c>
      <c r="K2571" s="9">
        <f t="shared" si="477"/>
        <v>51245.489333333331</v>
      </c>
      <c r="L2571" s="9">
        <f t="shared" si="476"/>
        <v>52175.091999999982</v>
      </c>
      <c r="M2571" s="9">
        <f t="shared" si="487"/>
        <v>1.3878131004419108E-2</v>
      </c>
      <c r="N2571" s="9">
        <f t="shared" si="478"/>
        <v>1.1262481863134891E-2</v>
      </c>
    </row>
    <row r="2572" spans="1:14" x14ac:dyDescent="0.35">
      <c r="A2572" s="1">
        <v>46129</v>
      </c>
      <c r="B2572" s="2" t="s">
        <v>2570</v>
      </c>
      <c r="C2572">
        <f t="shared" si="479"/>
        <v>49387.1</v>
      </c>
      <c r="D2572">
        <f t="shared" si="480"/>
        <v>2026</v>
      </c>
      <c r="E2572">
        <f t="shared" si="481"/>
        <v>4</v>
      </c>
      <c r="F2572" t="str">
        <f t="shared" si="483"/>
        <v>April</v>
      </c>
      <c r="G2572">
        <f t="shared" si="482"/>
        <v>17</v>
      </c>
      <c r="H2572" s="7">
        <f t="shared" si="484"/>
        <v>-1.3033952706382226</v>
      </c>
      <c r="I2572" s="9">
        <f t="shared" si="485"/>
        <v>-1.3119640045494905E-2</v>
      </c>
      <c r="J2572" s="9">
        <f t="shared" si="486"/>
        <v>49107.87857142857</v>
      </c>
      <c r="K2572" s="9">
        <f t="shared" si="477"/>
        <v>51172.254999999997</v>
      </c>
      <c r="L2572" s="9">
        <f t="shared" si="476"/>
        <v>52147.277333333324</v>
      </c>
      <c r="M2572" s="9">
        <f t="shared" si="487"/>
        <v>1.1698924279221215E-2</v>
      </c>
      <c r="N2572" s="9">
        <f t="shared" si="478"/>
        <v>1.1440266362813411E-2</v>
      </c>
    </row>
    <row r="2573" spans="1:14" x14ac:dyDescent="0.35">
      <c r="A2573" s="1">
        <v>46132</v>
      </c>
      <c r="B2573" s="2" t="s">
        <v>2571</v>
      </c>
      <c r="C2573">
        <f t="shared" si="479"/>
        <v>49851.95</v>
      </c>
      <c r="D2573">
        <f t="shared" si="480"/>
        <v>2026</v>
      </c>
      <c r="E2573">
        <f t="shared" si="481"/>
        <v>4</v>
      </c>
      <c r="F2573" t="str">
        <f t="shared" si="483"/>
        <v>April</v>
      </c>
      <c r="G2573">
        <f t="shared" si="482"/>
        <v>20</v>
      </c>
      <c r="H2573" s="7">
        <f t="shared" si="484"/>
        <v>0.94123769162392323</v>
      </c>
      <c r="I2573" s="9">
        <f t="shared" si="485"/>
        <v>9.3683565055180974E-3</v>
      </c>
      <c r="J2573" s="9">
        <f t="shared" si="486"/>
        <v>49373.039999999994</v>
      </c>
      <c r="K2573" s="9">
        <f t="shared" si="477"/>
        <v>51092.310666666664</v>
      </c>
      <c r="L2573" s="9">
        <f t="shared" si="476"/>
        <v>52132.952999999994</v>
      </c>
      <c r="M2573" s="9">
        <f t="shared" si="487"/>
        <v>1.0827607307994317E-2</v>
      </c>
      <c r="N2573" s="9">
        <f t="shared" si="478"/>
        <v>1.1307901366102309E-2</v>
      </c>
    </row>
    <row r="2574" spans="1:14" x14ac:dyDescent="0.35">
      <c r="A2574" s="1">
        <v>46133</v>
      </c>
      <c r="B2574" s="2" t="s">
        <v>2572</v>
      </c>
      <c r="C2574">
        <f t="shared" si="479"/>
        <v>48589.69</v>
      </c>
      <c r="D2574">
        <f t="shared" si="480"/>
        <v>2026</v>
      </c>
      <c r="E2574">
        <f t="shared" si="481"/>
        <v>4</v>
      </c>
      <c r="F2574" t="str">
        <f t="shared" si="483"/>
        <v>April</v>
      </c>
      <c r="G2574">
        <f t="shared" si="482"/>
        <v>21</v>
      </c>
      <c r="H2574" s="7">
        <f t="shared" si="484"/>
        <v>-2.5320173032348681</v>
      </c>
      <c r="I2574" s="9">
        <f t="shared" si="485"/>
        <v>-2.5646244510942308E-2</v>
      </c>
      <c r="J2574" s="9">
        <f t="shared" si="486"/>
        <v>49396.997142857137</v>
      </c>
      <c r="K2574" s="9">
        <f t="shared" si="477"/>
        <v>50962.118333333332</v>
      </c>
      <c r="L2574" s="9">
        <f t="shared" si="476"/>
        <v>52116.319777777768</v>
      </c>
      <c r="M2574" s="9">
        <f t="shared" si="487"/>
        <v>1.5742573543398725E-2</v>
      </c>
      <c r="N2574" s="9">
        <f t="shared" si="478"/>
        <v>1.2060685127732586E-2</v>
      </c>
    </row>
    <row r="2575" spans="1:14" x14ac:dyDescent="0.35">
      <c r="A2575" s="1">
        <v>46134</v>
      </c>
      <c r="B2575" s="2" t="s">
        <v>2573</v>
      </c>
      <c r="C2575">
        <f t="shared" si="479"/>
        <v>47411.57</v>
      </c>
      <c r="D2575">
        <f t="shared" si="480"/>
        <v>2026</v>
      </c>
      <c r="E2575">
        <f t="shared" si="481"/>
        <v>4</v>
      </c>
      <c r="F2575" t="str">
        <f t="shared" si="483"/>
        <v>April</v>
      </c>
      <c r="G2575">
        <f t="shared" si="482"/>
        <v>22</v>
      </c>
      <c r="H2575" s="7">
        <f t="shared" si="484"/>
        <v>-2.4246295870584946</v>
      </c>
      <c r="I2575" s="9">
        <f t="shared" si="485"/>
        <v>-2.454507674166961E-2</v>
      </c>
      <c r="J2575" s="9">
        <f t="shared" si="486"/>
        <v>49153.964285714283</v>
      </c>
      <c r="K2575" s="9">
        <f t="shared" si="477"/>
        <v>50816.264000000003</v>
      </c>
      <c r="L2575" s="9">
        <f t="shared" si="476"/>
        <v>52068.896555555548</v>
      </c>
      <c r="M2575" s="9">
        <f t="shared" si="487"/>
        <v>1.689640714409189E-2</v>
      </c>
      <c r="N2575" s="9">
        <f t="shared" si="478"/>
        <v>1.2561276261048668E-2</v>
      </c>
    </row>
    <row r="2576" spans="1:14" x14ac:dyDescent="0.35">
      <c r="A2576" s="1">
        <v>46135</v>
      </c>
      <c r="B2576" s="2" t="s">
        <v>2574</v>
      </c>
      <c r="C2576">
        <f t="shared" si="479"/>
        <v>48273.24</v>
      </c>
      <c r="D2576">
        <f t="shared" si="480"/>
        <v>2026</v>
      </c>
      <c r="E2576">
        <f t="shared" si="481"/>
        <v>4</v>
      </c>
      <c r="F2576" t="str">
        <f t="shared" si="483"/>
        <v>April</v>
      </c>
      <c r="G2576">
        <f t="shared" si="482"/>
        <v>23</v>
      </c>
      <c r="H2576" s="7">
        <f t="shared" si="484"/>
        <v>1.8174255777650861</v>
      </c>
      <c r="I2576" s="9">
        <f t="shared" si="485"/>
        <v>1.8011078113859678E-2</v>
      </c>
      <c r="J2576" s="9">
        <f t="shared" si="486"/>
        <v>49058.651428571429</v>
      </c>
      <c r="K2576" s="9">
        <f t="shared" si="477"/>
        <v>50681.246000000006</v>
      </c>
      <c r="L2576" s="9">
        <f t="shared" si="476"/>
        <v>52009.871111111097</v>
      </c>
      <c r="M2576" s="9">
        <f t="shared" si="487"/>
        <v>1.9042040286638123E-2</v>
      </c>
      <c r="N2576" s="9">
        <f t="shared" si="478"/>
        <v>1.2915221508440917E-2</v>
      </c>
    </row>
    <row r="2577" spans="1:14" x14ac:dyDescent="0.35">
      <c r="A2577" s="1">
        <v>46136</v>
      </c>
      <c r="B2577" s="2" t="s">
        <v>2575</v>
      </c>
      <c r="C2577">
        <f t="shared" si="479"/>
        <v>48344.75</v>
      </c>
      <c r="D2577">
        <f t="shared" si="480"/>
        <v>2026</v>
      </c>
      <c r="E2577">
        <f t="shared" si="481"/>
        <v>4</v>
      </c>
      <c r="F2577" t="str">
        <f t="shared" si="483"/>
        <v>April</v>
      </c>
      <c r="G2577">
        <f t="shared" si="482"/>
        <v>24</v>
      </c>
      <c r="H2577" s="7">
        <f t="shared" si="484"/>
        <v>0.14813590303862353</v>
      </c>
      <c r="I2577" s="9">
        <f t="shared" si="485"/>
        <v>1.480262900472138E-3</v>
      </c>
      <c r="J2577" s="9">
        <f t="shared" si="486"/>
        <v>48842.515714285713</v>
      </c>
      <c r="K2577" s="9">
        <f t="shared" si="477"/>
        <v>50540.419333333339</v>
      </c>
      <c r="L2577" s="9">
        <f t="shared" si="476"/>
        <v>51951.954999999994</v>
      </c>
      <c r="M2577" s="9">
        <f t="shared" si="487"/>
        <v>1.6952075278936433E-2</v>
      </c>
      <c r="N2577" s="9">
        <f t="shared" si="478"/>
        <v>1.2865288897230379E-2</v>
      </c>
    </row>
    <row r="2578" spans="1:14" x14ac:dyDescent="0.35">
      <c r="A2578" s="1">
        <v>46140</v>
      </c>
      <c r="B2578" s="2" t="s">
        <v>2576</v>
      </c>
      <c r="C2578">
        <f t="shared" si="479"/>
        <v>49429.59</v>
      </c>
      <c r="D2578">
        <f t="shared" si="480"/>
        <v>2026</v>
      </c>
      <c r="E2578">
        <f t="shared" si="481"/>
        <v>4</v>
      </c>
      <c r="F2578" t="str">
        <f t="shared" si="483"/>
        <v>April</v>
      </c>
      <c r="G2578">
        <f t="shared" si="482"/>
        <v>28</v>
      </c>
      <c r="H2578" s="7">
        <f t="shared" si="484"/>
        <v>2.2439665113585168</v>
      </c>
      <c r="I2578" s="9">
        <f t="shared" si="485"/>
        <v>2.2191599969947476E-2</v>
      </c>
      <c r="J2578" s="9">
        <f t="shared" si="486"/>
        <v>48755.412857142859</v>
      </c>
      <c r="K2578" s="9">
        <f t="shared" si="477"/>
        <v>50408.310333333342</v>
      </c>
      <c r="L2578" s="9">
        <f t="shared" si="476"/>
        <v>51912.781777777775</v>
      </c>
      <c r="M2578" s="9">
        <f t="shared" si="487"/>
        <v>1.9653954623014898E-2</v>
      </c>
      <c r="N2578" s="9">
        <f t="shared" si="478"/>
        <v>1.3243875468106726E-2</v>
      </c>
    </row>
    <row r="2579" spans="1:14" x14ac:dyDescent="0.35">
      <c r="A2579" s="1">
        <v>46141</v>
      </c>
      <c r="B2579" s="2" t="s">
        <v>2577</v>
      </c>
      <c r="C2579">
        <f t="shared" si="479"/>
        <v>49753.29</v>
      </c>
      <c r="D2579">
        <f t="shared" si="480"/>
        <v>2026</v>
      </c>
      <c r="E2579">
        <f t="shared" si="481"/>
        <v>4</v>
      </c>
      <c r="F2579" t="str">
        <f t="shared" si="483"/>
        <v>April</v>
      </c>
      <c r="G2579">
        <f t="shared" si="482"/>
        <v>29</v>
      </c>
      <c r="H2579" s="7">
        <f t="shared" si="484"/>
        <v>0.65487089818063304</v>
      </c>
      <c r="I2579" s="9">
        <f t="shared" si="485"/>
        <v>6.5273593448258458E-3</v>
      </c>
      <c r="J2579" s="9">
        <f t="shared" si="486"/>
        <v>48807.725714285705</v>
      </c>
      <c r="K2579" s="9">
        <f t="shared" si="477"/>
        <v>50272.610666666675</v>
      </c>
      <c r="L2579" s="9">
        <f t="shared" si="476"/>
        <v>51876.350111111096</v>
      </c>
      <c r="M2579" s="9">
        <f t="shared" si="487"/>
        <v>1.9156479721177802E-2</v>
      </c>
      <c r="N2579" s="9">
        <f t="shared" si="478"/>
        <v>1.320469450374274E-2</v>
      </c>
    </row>
    <row r="2580" spans="1:14" x14ac:dyDescent="0.35">
      <c r="A2580" s="1">
        <v>46142</v>
      </c>
      <c r="B2580" s="2" t="s">
        <v>2578</v>
      </c>
      <c r="C2580">
        <f t="shared" si="479"/>
        <v>49627.53</v>
      </c>
      <c r="D2580">
        <f t="shared" si="480"/>
        <v>2026</v>
      </c>
      <c r="E2580">
        <f t="shared" si="481"/>
        <v>4</v>
      </c>
      <c r="F2580" t="str">
        <f t="shared" si="483"/>
        <v>April</v>
      </c>
      <c r="G2580">
        <f t="shared" si="482"/>
        <v>30</v>
      </c>
      <c r="H2580" s="7">
        <f t="shared" si="484"/>
        <v>-0.25276720393767338</v>
      </c>
      <c r="I2580" s="9">
        <f t="shared" si="485"/>
        <v>-2.5308719957769935E-3</v>
      </c>
      <c r="J2580" s="9">
        <f t="shared" si="486"/>
        <v>48775.665714285722</v>
      </c>
      <c r="K2580" s="9">
        <f t="shared" si="477"/>
        <v>50153.843000000008</v>
      </c>
      <c r="L2580" s="9">
        <f t="shared" si="476"/>
        <v>51848.426999999996</v>
      </c>
      <c r="M2580" s="9">
        <f t="shared" si="487"/>
        <v>1.8820872442159409E-2</v>
      </c>
      <c r="N2580" s="9">
        <f t="shared" si="478"/>
        <v>1.3089380243458983E-2</v>
      </c>
    </row>
    <row r="2581" spans="1:14" x14ac:dyDescent="0.35">
      <c r="A2581" s="1">
        <v>46146</v>
      </c>
      <c r="B2581" s="2" t="s">
        <v>2579</v>
      </c>
      <c r="C2581">
        <f t="shared" si="479"/>
        <v>48535.48</v>
      </c>
      <c r="D2581">
        <f t="shared" si="480"/>
        <v>2026</v>
      </c>
      <c r="E2581">
        <f t="shared" si="481"/>
        <v>5</v>
      </c>
      <c r="F2581" t="str">
        <f t="shared" si="483"/>
        <v>May</v>
      </c>
      <c r="G2581">
        <f t="shared" si="482"/>
        <v>4</v>
      </c>
      <c r="H2581" s="7">
        <f t="shared" si="484"/>
        <v>-2.2004923476949099</v>
      </c>
      <c r="I2581" s="9">
        <f t="shared" si="485"/>
        <v>-2.2250643190000745E-2</v>
      </c>
      <c r="J2581" s="9">
        <f t="shared" si="486"/>
        <v>48767.921428571419</v>
      </c>
      <c r="K2581" s="9">
        <f t="shared" si="477"/>
        <v>50015.502333333345</v>
      </c>
      <c r="L2581" s="9">
        <f t="shared" si="476"/>
        <v>51809.635555555571</v>
      </c>
      <c r="M2581" s="9">
        <f t="shared" si="487"/>
        <v>1.8099000224353266E-2</v>
      </c>
      <c r="N2581" s="9">
        <f t="shared" si="478"/>
        <v>1.3529798774052196E-2</v>
      </c>
    </row>
    <row r="2582" spans="1:14" x14ac:dyDescent="0.35">
      <c r="A2582" s="1">
        <v>46147</v>
      </c>
      <c r="B2582" s="2" t="s">
        <v>2580</v>
      </c>
      <c r="C2582">
        <f t="shared" si="479"/>
        <v>48029.24</v>
      </c>
      <c r="D2582">
        <f t="shared" si="480"/>
        <v>2026</v>
      </c>
      <c r="E2582">
        <f t="shared" si="481"/>
        <v>5</v>
      </c>
      <c r="F2582" t="str">
        <f t="shared" si="483"/>
        <v>May</v>
      </c>
      <c r="G2582">
        <f t="shared" si="482"/>
        <v>5</v>
      </c>
      <c r="H2582" s="7">
        <f t="shared" si="484"/>
        <v>-1.0430307890228039</v>
      </c>
      <c r="I2582" s="9">
        <f t="shared" si="485"/>
        <v>-1.0485084777695169E-2</v>
      </c>
      <c r="J2582" s="9">
        <f t="shared" si="486"/>
        <v>48856.159999999996</v>
      </c>
      <c r="K2582" s="9">
        <f t="shared" si="477"/>
        <v>49874.684000000008</v>
      </c>
      <c r="L2582" s="9">
        <f t="shared" si="476"/>
        <v>51772.245888888901</v>
      </c>
      <c r="M2582" s="9">
        <f t="shared" si="487"/>
        <v>1.5541143691943095E-2</v>
      </c>
      <c r="N2582" s="9">
        <f t="shared" si="478"/>
        <v>1.3567570053860535E-2</v>
      </c>
    </row>
    <row r="2583" spans="1:14" x14ac:dyDescent="0.35">
      <c r="A2583" s="1">
        <v>46148</v>
      </c>
      <c r="B2583" s="2" t="s">
        <v>2581</v>
      </c>
      <c r="C2583">
        <f t="shared" si="479"/>
        <v>49055.54</v>
      </c>
      <c r="D2583">
        <f t="shared" si="480"/>
        <v>2026</v>
      </c>
      <c r="E2583">
        <f t="shared" si="481"/>
        <v>5</v>
      </c>
      <c r="F2583" t="str">
        <f t="shared" si="483"/>
        <v>May</v>
      </c>
      <c r="G2583">
        <f t="shared" si="482"/>
        <v>6</v>
      </c>
      <c r="H2583" s="7">
        <f t="shared" si="484"/>
        <v>2.1368233184618433</v>
      </c>
      <c r="I2583" s="9">
        <f t="shared" si="485"/>
        <v>2.1143133499092286E-2</v>
      </c>
      <c r="J2583" s="9">
        <f t="shared" si="486"/>
        <v>48967.917142857143</v>
      </c>
      <c r="K2583" s="9">
        <f t="shared" si="477"/>
        <v>49760.811333333346</v>
      </c>
      <c r="L2583" s="9">
        <f t="shared" si="476"/>
        <v>51733.846111111125</v>
      </c>
      <c r="M2583" s="9">
        <f t="shared" si="487"/>
        <v>1.6118372950651348E-2</v>
      </c>
      <c r="N2583" s="9">
        <f t="shared" si="478"/>
        <v>1.4207605075843566E-2</v>
      </c>
    </row>
    <row r="2584" spans="1:14" x14ac:dyDescent="0.35">
      <c r="A2584" s="1">
        <v>46149</v>
      </c>
      <c r="B2584" s="2" t="s">
        <v>2582</v>
      </c>
      <c r="C2584">
        <f t="shared" si="479"/>
        <v>49141.94</v>
      </c>
      <c r="D2584">
        <f t="shared" si="480"/>
        <v>2026</v>
      </c>
      <c r="E2584">
        <f t="shared" si="481"/>
        <v>5</v>
      </c>
      <c r="F2584" t="str">
        <f t="shared" si="483"/>
        <v>May</v>
      </c>
      <c r="G2584">
        <f t="shared" si="482"/>
        <v>7</v>
      </c>
      <c r="H2584" s="7">
        <f t="shared" si="484"/>
        <v>0.17612689616708216</v>
      </c>
      <c r="I2584" s="9">
        <f t="shared" si="485"/>
        <v>1.7597197462830788E-3</v>
      </c>
      <c r="J2584" s="9">
        <f t="shared" si="486"/>
        <v>49081.801428571423</v>
      </c>
      <c r="K2584" s="9">
        <f t="shared" si="477"/>
        <v>49674.215000000004</v>
      </c>
      <c r="L2584" s="9">
        <f t="shared" si="476"/>
        <v>51689.032666666673</v>
      </c>
      <c r="M2584" s="9">
        <f t="shared" si="487"/>
        <v>1.6116360178845591E-2</v>
      </c>
      <c r="N2584" s="9">
        <f t="shared" si="478"/>
        <v>1.4047002645860398E-2</v>
      </c>
    </row>
    <row r="2585" spans="1:14" x14ac:dyDescent="0.35">
      <c r="A2585" s="1">
        <v>46150</v>
      </c>
      <c r="B2585" s="2" t="s">
        <v>2583</v>
      </c>
      <c r="C2585">
        <f t="shared" si="479"/>
        <v>48702.61</v>
      </c>
      <c r="D2585">
        <f t="shared" si="480"/>
        <v>2026</v>
      </c>
      <c r="E2585">
        <f t="shared" si="481"/>
        <v>5</v>
      </c>
      <c r="F2585" t="str">
        <f t="shared" si="483"/>
        <v>May</v>
      </c>
      <c r="G2585">
        <f t="shared" si="482"/>
        <v>8</v>
      </c>
      <c r="H2585" s="7">
        <f t="shared" si="484"/>
        <v>-0.89400214969128555</v>
      </c>
      <c r="I2585" s="9">
        <f t="shared" si="485"/>
        <v>-8.9802232716096695E-3</v>
      </c>
      <c r="J2585" s="9">
        <f t="shared" si="486"/>
        <v>48977.947142857141</v>
      </c>
      <c r="K2585" s="9">
        <f t="shared" si="477"/>
        <v>49579.842666666678</v>
      </c>
      <c r="L2585" s="9">
        <f t="shared" si="476"/>
        <v>51637.352000000006</v>
      </c>
      <c r="M2585" s="9">
        <f t="shared" si="487"/>
        <v>1.3865131738210124E-2</v>
      </c>
      <c r="N2585" s="9">
        <f t="shared" si="478"/>
        <v>1.4104272718957436E-2</v>
      </c>
    </row>
    <row r="2586" spans="1:14" x14ac:dyDescent="0.35">
      <c r="A2586" s="1">
        <v>46153</v>
      </c>
      <c r="B2586" s="2" t="s">
        <v>2584</v>
      </c>
      <c r="C2586">
        <f t="shared" si="479"/>
        <v>47923.92</v>
      </c>
      <c r="D2586">
        <f t="shared" si="480"/>
        <v>2026</v>
      </c>
      <c r="E2586">
        <f t="shared" si="481"/>
        <v>5</v>
      </c>
      <c r="F2586" t="str">
        <f t="shared" si="483"/>
        <v>May</v>
      </c>
      <c r="G2586">
        <f t="shared" si="482"/>
        <v>11</v>
      </c>
      <c r="H2586" s="7">
        <f t="shared" si="484"/>
        <v>-1.5988670833041647</v>
      </c>
      <c r="I2586" s="9">
        <f t="shared" si="485"/>
        <v>-1.6117868615106883E-2</v>
      </c>
      <c r="J2586" s="9">
        <f t="shared" si="486"/>
        <v>48716.608571428573</v>
      </c>
      <c r="K2586" s="9">
        <f t="shared" si="477"/>
        <v>49461.158000000003</v>
      </c>
      <c r="L2586" s="9">
        <f t="shared" si="476"/>
        <v>51570.282444444456</v>
      </c>
      <c r="M2586" s="9">
        <f t="shared" si="487"/>
        <v>1.415101911275644E-2</v>
      </c>
      <c r="N2586" s="9">
        <f t="shared" si="478"/>
        <v>1.4339580401227143E-2</v>
      </c>
    </row>
    <row r="2587" spans="1:14" x14ac:dyDescent="0.35">
      <c r="A2587" s="1">
        <v>46154</v>
      </c>
      <c r="B2587" s="2" t="s">
        <v>2585</v>
      </c>
      <c r="C2587">
        <f t="shared" si="479"/>
        <v>47532.4</v>
      </c>
      <c r="D2587">
        <f t="shared" si="480"/>
        <v>2026</v>
      </c>
      <c r="E2587">
        <f t="shared" si="481"/>
        <v>5</v>
      </c>
      <c r="F2587" t="str">
        <f t="shared" si="483"/>
        <v>May</v>
      </c>
      <c r="G2587">
        <f t="shared" si="482"/>
        <v>12</v>
      </c>
      <c r="H2587" s="7">
        <f t="shared" si="484"/>
        <v>-0.81696155072455845</v>
      </c>
      <c r="I2587" s="9">
        <f t="shared" si="485"/>
        <v>-8.2031696908273707E-3</v>
      </c>
      <c r="J2587" s="9">
        <f t="shared" si="486"/>
        <v>48417.304285714286</v>
      </c>
      <c r="K2587" s="9">
        <f t="shared" si="477"/>
        <v>49303.976666666662</v>
      </c>
      <c r="L2587" s="9">
        <f t="shared" si="476"/>
        <v>51495.02322222224</v>
      </c>
      <c r="M2587" s="9">
        <f t="shared" si="487"/>
        <v>1.4124951544614297E-2</v>
      </c>
      <c r="N2587" s="9">
        <f t="shared" si="478"/>
        <v>1.400334192006294E-2</v>
      </c>
    </row>
    <row r="2588" spans="1:14" x14ac:dyDescent="0.35">
      <c r="A2588" s="1">
        <v>46155</v>
      </c>
      <c r="B2588" s="2" t="s">
        <v>2586</v>
      </c>
      <c r="C2588">
        <f t="shared" si="479"/>
        <v>47210.42</v>
      </c>
      <c r="D2588">
        <f t="shared" si="480"/>
        <v>2026</v>
      </c>
      <c r="E2588">
        <f t="shared" si="481"/>
        <v>5</v>
      </c>
      <c r="F2588" t="str">
        <f t="shared" si="483"/>
        <v>May</v>
      </c>
      <c r="G2588">
        <f t="shared" si="482"/>
        <v>13</v>
      </c>
      <c r="H2588" s="7">
        <f t="shared" si="484"/>
        <v>-0.67739057989919127</v>
      </c>
      <c r="I2588" s="9">
        <f t="shared" si="485"/>
        <v>-6.7969528368191723E-3</v>
      </c>
      <c r="J2588" s="9">
        <f t="shared" si="486"/>
        <v>48228.01</v>
      </c>
      <c r="K2588" s="9">
        <f t="shared" si="477"/>
        <v>49121.864333333324</v>
      </c>
      <c r="L2588" s="9">
        <f t="shared" ref="L2588:L2603" si="488">AVERAGE(C2499:C2588)</f>
        <v>51419.686111111121</v>
      </c>
      <c r="M2588" s="9">
        <f t="shared" si="487"/>
        <v>1.2278220654778517E-2</v>
      </c>
      <c r="N2588" s="9">
        <f t="shared" si="478"/>
        <v>1.3853308937691187E-2</v>
      </c>
    </row>
    <row r="2589" spans="1:14" x14ac:dyDescent="0.35">
      <c r="A2589" s="1">
        <v>46156</v>
      </c>
      <c r="B2589" s="2" t="s">
        <v>2587</v>
      </c>
      <c r="C2589">
        <f t="shared" si="479"/>
        <v>47661.87</v>
      </c>
      <c r="D2589">
        <f t="shared" si="480"/>
        <v>2026</v>
      </c>
      <c r="E2589">
        <f t="shared" si="481"/>
        <v>5</v>
      </c>
      <c r="F2589" t="str">
        <f t="shared" si="483"/>
        <v>May</v>
      </c>
      <c r="G2589">
        <f t="shared" si="482"/>
        <v>14</v>
      </c>
      <c r="H2589" s="7">
        <f t="shared" si="484"/>
        <v>0.95625075989581187</v>
      </c>
      <c r="I2589" s="9">
        <f t="shared" si="485"/>
        <v>9.5170762188210196E-3</v>
      </c>
      <c r="J2589" s="9">
        <f t="shared" si="486"/>
        <v>48175.528571428571</v>
      </c>
      <c r="K2589" s="9">
        <f t="shared" si="477"/>
        <v>48970.569666666663</v>
      </c>
      <c r="L2589" s="9">
        <f t="shared" si="488"/>
        <v>51346.380666666671</v>
      </c>
      <c r="M2589" s="9">
        <f t="shared" si="487"/>
        <v>1.2820568193280268E-2</v>
      </c>
      <c r="N2589" s="9">
        <f t="shared" si="478"/>
        <v>1.4017935880183026E-2</v>
      </c>
    </row>
    <row r="2590" spans="1:14" x14ac:dyDescent="0.35">
      <c r="A2590" s="1">
        <v>46157</v>
      </c>
      <c r="B2590" s="2" t="s">
        <v>2588</v>
      </c>
      <c r="C2590">
        <f t="shared" si="479"/>
        <v>46282.02</v>
      </c>
      <c r="D2590">
        <f t="shared" si="480"/>
        <v>2026</v>
      </c>
      <c r="E2590">
        <f t="shared" si="481"/>
        <v>5</v>
      </c>
      <c r="F2590" t="str">
        <f t="shared" si="483"/>
        <v>May</v>
      </c>
      <c r="G2590">
        <f t="shared" si="482"/>
        <v>15</v>
      </c>
      <c r="H2590" s="7">
        <f t="shared" si="484"/>
        <v>-2.895081540023515</v>
      </c>
      <c r="I2590" s="9">
        <f t="shared" si="485"/>
        <v>-2.9378158420864085E-2</v>
      </c>
      <c r="J2590" s="9">
        <f t="shared" si="486"/>
        <v>47779.311428571425</v>
      </c>
      <c r="K2590" s="9">
        <f t="shared" si="477"/>
        <v>48787.069999999992</v>
      </c>
      <c r="L2590" s="9">
        <f t="shared" si="488"/>
        <v>51263.770777777776</v>
      </c>
      <c r="M2590" s="9">
        <f t="shared" si="487"/>
        <v>1.2428353420937219E-2</v>
      </c>
      <c r="N2590" s="9">
        <f t="shared" si="478"/>
        <v>1.4801139284459638E-2</v>
      </c>
    </row>
    <row r="2591" spans="1:14" x14ac:dyDescent="0.35">
      <c r="A2591" s="1">
        <v>46160</v>
      </c>
      <c r="B2591" s="2" t="s">
        <v>2589</v>
      </c>
      <c r="C2591">
        <f t="shared" si="479"/>
        <v>46329.78</v>
      </c>
      <c r="D2591">
        <f t="shared" si="480"/>
        <v>2026</v>
      </c>
      <c r="E2591">
        <f t="shared" si="481"/>
        <v>5</v>
      </c>
      <c r="F2591" t="str">
        <f t="shared" si="483"/>
        <v>May</v>
      </c>
      <c r="G2591">
        <f t="shared" si="482"/>
        <v>18</v>
      </c>
      <c r="H2591" s="7">
        <f t="shared" si="484"/>
        <v>0.10319342154902064</v>
      </c>
      <c r="I2591" s="9">
        <f t="shared" si="485"/>
        <v>1.0314021373926902E-3</v>
      </c>
      <c r="J2591" s="9">
        <f t="shared" si="486"/>
        <v>47377.57428571429</v>
      </c>
      <c r="K2591" s="9">
        <f t="shared" si="477"/>
        <v>48632.498333333329</v>
      </c>
      <c r="L2591" s="9">
        <f t="shared" si="488"/>
        <v>51183.897666666679</v>
      </c>
      <c r="M2591" s="9">
        <f t="shared" si="487"/>
        <v>1.233264244399203E-2</v>
      </c>
      <c r="N2591" s="9">
        <f t="shared" si="478"/>
        <v>1.4641818428234333E-2</v>
      </c>
    </row>
    <row r="2592" spans="1:14" x14ac:dyDescent="0.35">
      <c r="A2592" s="1">
        <v>46161</v>
      </c>
      <c r="B2592" s="2" t="s">
        <v>2590</v>
      </c>
      <c r="C2592">
        <f t="shared" si="479"/>
        <v>47627.76</v>
      </c>
      <c r="D2592">
        <f t="shared" si="480"/>
        <v>2026</v>
      </c>
      <c r="E2592">
        <f t="shared" si="481"/>
        <v>5</v>
      </c>
      <c r="F2592" t="str">
        <f t="shared" si="483"/>
        <v>May</v>
      </c>
      <c r="G2592">
        <f t="shared" si="482"/>
        <v>19</v>
      </c>
      <c r="H2592" s="7">
        <f t="shared" si="484"/>
        <v>2.8016105407796092</v>
      </c>
      <c r="I2592" s="9">
        <f t="shared" si="485"/>
        <v>2.7630833649352544E-2</v>
      </c>
      <c r="J2592" s="9">
        <f t="shared" si="486"/>
        <v>47224.02428571428</v>
      </c>
      <c r="K2592" s="9">
        <f t="shared" ref="K2592:K2603" si="489">AVERAGE(C2563:C2592)</f>
        <v>48542.920666666665</v>
      </c>
      <c r="L2592" s="9">
        <f t="shared" si="488"/>
        <v>51114.148222222218</v>
      </c>
      <c r="M2592" s="9">
        <f t="shared" si="487"/>
        <v>1.834986463006107E-2</v>
      </c>
      <c r="N2592" s="9">
        <f t="shared" si="478"/>
        <v>1.5556096408889462E-2</v>
      </c>
    </row>
    <row r="2593" spans="1:14" x14ac:dyDescent="0.35">
      <c r="A2593" s="1">
        <v>46162</v>
      </c>
      <c r="B2593" s="2" t="s">
        <v>2591</v>
      </c>
      <c r="C2593">
        <f t="shared" si="479"/>
        <v>46876.62</v>
      </c>
      <c r="D2593">
        <f t="shared" si="480"/>
        <v>2026</v>
      </c>
      <c r="E2593">
        <f t="shared" si="481"/>
        <v>5</v>
      </c>
      <c r="F2593" t="str">
        <f t="shared" si="483"/>
        <v>May</v>
      </c>
      <c r="G2593">
        <f t="shared" si="482"/>
        <v>20</v>
      </c>
      <c r="H2593" s="7">
        <f t="shared" si="484"/>
        <v>-1.5771054527863568</v>
      </c>
      <c r="I2593" s="9">
        <f t="shared" si="485"/>
        <v>-1.5896740830182575E-2</v>
      </c>
      <c r="J2593" s="9">
        <f t="shared" si="486"/>
        <v>47074.409999999996</v>
      </c>
      <c r="K2593" s="9">
        <f t="shared" si="489"/>
        <v>48458.297666666673</v>
      </c>
      <c r="L2593" s="9">
        <f t="shared" si="488"/>
        <v>51029.731888888891</v>
      </c>
      <c r="M2593" s="9">
        <f t="shared" si="487"/>
        <v>1.83240681904695E-2</v>
      </c>
      <c r="N2593" s="9">
        <f t="shared" ref="N2593:N2603" si="490">STDEV(I2564:I2593)</f>
        <v>1.5483664470507393E-2</v>
      </c>
    </row>
    <row r="2594" spans="1:14" x14ac:dyDescent="0.35">
      <c r="A2594" s="1">
        <v>46163</v>
      </c>
      <c r="B2594" s="2" t="s">
        <v>2592</v>
      </c>
      <c r="C2594">
        <f t="shared" si="479"/>
        <v>46960.37</v>
      </c>
      <c r="D2594">
        <f t="shared" si="480"/>
        <v>2026</v>
      </c>
      <c r="E2594">
        <f t="shared" si="481"/>
        <v>5</v>
      </c>
      <c r="F2594" t="str">
        <f t="shared" si="483"/>
        <v>May</v>
      </c>
      <c r="G2594">
        <f t="shared" si="482"/>
        <v>21</v>
      </c>
      <c r="H2594" s="7">
        <f t="shared" si="484"/>
        <v>0.17866049216005761</v>
      </c>
      <c r="I2594" s="9">
        <f t="shared" si="485"/>
        <v>1.7850108414063134E-3</v>
      </c>
      <c r="J2594" s="9">
        <f t="shared" si="486"/>
        <v>46992.69142857143</v>
      </c>
      <c r="K2594" s="9">
        <f t="shared" si="489"/>
        <v>48375.996666666673</v>
      </c>
      <c r="L2594" s="9">
        <f t="shared" si="488"/>
        <v>50950.343000000001</v>
      </c>
      <c r="M2594" s="9">
        <f t="shared" si="487"/>
        <v>1.8254347149057121E-2</v>
      </c>
      <c r="N2594" s="9">
        <f t="shared" si="490"/>
        <v>1.5492908194269028E-2</v>
      </c>
    </row>
    <row r="2595" spans="1:14" x14ac:dyDescent="0.35">
      <c r="A2595" s="1">
        <v>46164</v>
      </c>
      <c r="B2595" s="2" t="s">
        <v>2593</v>
      </c>
      <c r="C2595">
        <f t="shared" si="479"/>
        <v>47697.53</v>
      </c>
      <c r="D2595">
        <f t="shared" si="480"/>
        <v>2026</v>
      </c>
      <c r="E2595">
        <f t="shared" si="481"/>
        <v>5</v>
      </c>
      <c r="F2595" t="str">
        <f t="shared" si="483"/>
        <v>May</v>
      </c>
      <c r="G2595">
        <f t="shared" si="482"/>
        <v>22</v>
      </c>
      <c r="H2595" s="7">
        <f t="shared" si="484"/>
        <v>1.5697491310225968</v>
      </c>
      <c r="I2595" s="9">
        <f t="shared" si="485"/>
        <v>1.5575560048114893E-2</v>
      </c>
      <c r="J2595" s="9">
        <f t="shared" si="486"/>
        <v>47062.278571428564</v>
      </c>
      <c r="K2595" s="9">
        <f t="shared" si="489"/>
        <v>48353.475333333343</v>
      </c>
      <c r="L2595" s="9">
        <f t="shared" si="488"/>
        <v>50881.193333333329</v>
      </c>
      <c r="M2595" s="9">
        <f t="shared" si="487"/>
        <v>1.9155571655551248E-2</v>
      </c>
      <c r="N2595" s="9">
        <f t="shared" si="490"/>
        <v>1.53329021326546E-2</v>
      </c>
    </row>
    <row r="2596" spans="1:14" x14ac:dyDescent="0.35">
      <c r="A2596" s="1">
        <v>46167</v>
      </c>
      <c r="B2596" s="2" t="s">
        <v>2594</v>
      </c>
      <c r="C2596">
        <f t="shared" si="479"/>
        <v>48412.800000000003</v>
      </c>
      <c r="D2596">
        <f t="shared" si="480"/>
        <v>2026</v>
      </c>
      <c r="E2596">
        <f t="shared" si="481"/>
        <v>5</v>
      </c>
      <c r="F2596" t="str">
        <f t="shared" si="483"/>
        <v>May</v>
      </c>
      <c r="G2596">
        <f t="shared" si="482"/>
        <v>25</v>
      </c>
      <c r="H2596" s="7">
        <f t="shared" si="484"/>
        <v>1.4995954717152105</v>
      </c>
      <c r="I2596" s="9">
        <f t="shared" si="485"/>
        <v>1.4884626985465763E-2</v>
      </c>
      <c r="J2596" s="9">
        <f t="shared" si="486"/>
        <v>47169.554285714279</v>
      </c>
      <c r="K2596" s="9">
        <f t="shared" si="489"/>
        <v>48367.374666666692</v>
      </c>
      <c r="L2596" s="9">
        <f t="shared" si="488"/>
        <v>50822.203555555549</v>
      </c>
      <c r="M2596" s="9">
        <f t="shared" si="487"/>
        <v>1.9633028713322828E-2</v>
      </c>
      <c r="N2596" s="9">
        <f t="shared" si="490"/>
        <v>1.5516576918351717E-2</v>
      </c>
    </row>
    <row r="2597" spans="1:14" x14ac:dyDescent="0.35">
      <c r="A2597" s="1">
        <v>46168</v>
      </c>
      <c r="B2597" s="2" t="s">
        <v>2595</v>
      </c>
      <c r="C2597">
        <f t="shared" si="479"/>
        <v>48396.18</v>
      </c>
      <c r="D2597">
        <f t="shared" si="480"/>
        <v>2026</v>
      </c>
      <c r="E2597">
        <f t="shared" si="481"/>
        <v>5</v>
      </c>
      <c r="F2597" t="str">
        <f t="shared" si="483"/>
        <v>May</v>
      </c>
      <c r="G2597">
        <f t="shared" si="482"/>
        <v>26</v>
      </c>
      <c r="H2597" s="7">
        <f t="shared" si="484"/>
        <v>-3.4329764029353019E-2</v>
      </c>
      <c r="I2597" s="9">
        <f t="shared" si="485"/>
        <v>-3.4335658041814373E-4</v>
      </c>
      <c r="J2597" s="9">
        <f t="shared" si="486"/>
        <v>47471.577142857139</v>
      </c>
      <c r="K2597" s="9">
        <f t="shared" si="489"/>
        <v>48366.514333333354</v>
      </c>
      <c r="L2597" s="9">
        <f t="shared" si="488"/>
        <v>50770.48599999999</v>
      </c>
      <c r="M2597" s="9">
        <f t="shared" si="487"/>
        <v>1.4140150034860874E-2</v>
      </c>
      <c r="N2597" s="9">
        <f t="shared" si="490"/>
        <v>1.5432405988054676E-2</v>
      </c>
    </row>
    <row r="2598" spans="1:14" x14ac:dyDescent="0.35">
      <c r="A2598" s="1">
        <v>46169</v>
      </c>
      <c r="B2598" s="2" t="s">
        <v>2596</v>
      </c>
      <c r="C2598">
        <f t="shared" si="479"/>
        <v>48322.68</v>
      </c>
      <c r="D2598">
        <f t="shared" si="480"/>
        <v>2026</v>
      </c>
      <c r="E2598">
        <f t="shared" si="481"/>
        <v>5</v>
      </c>
      <c r="F2598" t="str">
        <f t="shared" si="483"/>
        <v>May</v>
      </c>
      <c r="G2598">
        <f t="shared" si="482"/>
        <v>27</v>
      </c>
      <c r="H2598" s="7">
        <f t="shared" si="484"/>
        <v>-0.15187149068376884</v>
      </c>
      <c r="I2598" s="9">
        <f t="shared" si="485"/>
        <v>-1.5198693232894571E-3</v>
      </c>
      <c r="J2598" s="9">
        <f t="shared" si="486"/>
        <v>47756.277142857143</v>
      </c>
      <c r="K2598" s="9">
        <f t="shared" si="489"/>
        <v>48340.177000000011</v>
      </c>
      <c r="L2598" s="9">
        <f t="shared" si="488"/>
        <v>50722.642222222217</v>
      </c>
      <c r="M2598" s="9">
        <f t="shared" si="487"/>
        <v>1.4332590989159167E-2</v>
      </c>
      <c r="N2598" s="9">
        <f t="shared" si="490"/>
        <v>1.519925282911464E-2</v>
      </c>
    </row>
    <row r="2599" spans="1:14" x14ac:dyDescent="0.35">
      <c r="A2599" s="1">
        <v>46170</v>
      </c>
      <c r="B2599" s="2" t="s">
        <v>2597</v>
      </c>
      <c r="C2599">
        <f t="shared" si="479"/>
        <v>48104.68</v>
      </c>
      <c r="D2599">
        <f t="shared" si="480"/>
        <v>2026</v>
      </c>
      <c r="E2599">
        <f t="shared" si="481"/>
        <v>5</v>
      </c>
      <c r="F2599" t="str">
        <f t="shared" si="483"/>
        <v>May</v>
      </c>
      <c r="G2599">
        <f t="shared" si="482"/>
        <v>28</v>
      </c>
      <c r="H2599" s="7">
        <f t="shared" si="484"/>
        <v>-0.45113391889688237</v>
      </c>
      <c r="I2599" s="9">
        <f t="shared" si="485"/>
        <v>-4.5215459887334277E-3</v>
      </c>
      <c r="J2599" s="9">
        <f t="shared" si="486"/>
        <v>47824.408571428568</v>
      </c>
      <c r="K2599" s="9">
        <f t="shared" si="489"/>
        <v>48312.318666666666</v>
      </c>
      <c r="L2599" s="9">
        <f t="shared" si="488"/>
        <v>50672.269222222218</v>
      </c>
      <c r="M2599" s="9">
        <f t="shared" si="487"/>
        <v>1.1020684738939864E-2</v>
      </c>
      <c r="N2599" s="9">
        <f t="shared" si="490"/>
        <v>1.5207148245179406E-2</v>
      </c>
    </row>
    <row r="2600" spans="1:14" x14ac:dyDescent="0.35">
      <c r="A2600" s="1">
        <v>46171</v>
      </c>
      <c r="B2600" s="2" t="s">
        <v>2598</v>
      </c>
      <c r="C2600">
        <f t="shared" si="479"/>
        <v>48052.78</v>
      </c>
      <c r="D2600">
        <f t="shared" si="480"/>
        <v>2026</v>
      </c>
      <c r="E2600">
        <f t="shared" si="481"/>
        <v>5</v>
      </c>
      <c r="F2600" t="str">
        <f t="shared" si="483"/>
        <v>May</v>
      </c>
      <c r="G2600">
        <f t="shared" si="482"/>
        <v>29</v>
      </c>
      <c r="H2600" s="7">
        <f t="shared" si="484"/>
        <v>-0.10788971052297085</v>
      </c>
      <c r="I2600" s="9">
        <f t="shared" si="485"/>
        <v>-1.0794795336694423E-3</v>
      </c>
      <c r="J2600" s="9">
        <f t="shared" si="486"/>
        <v>47992.431428571428</v>
      </c>
      <c r="K2600" s="9">
        <f t="shared" si="489"/>
        <v>48252.154666666669</v>
      </c>
      <c r="L2600" s="9">
        <f t="shared" si="488"/>
        <v>50624.298999999992</v>
      </c>
      <c r="M2600" s="9">
        <f t="shared" si="487"/>
        <v>8.2020942927182715E-3</v>
      </c>
      <c r="N2600" s="9">
        <f t="shared" si="490"/>
        <v>1.4771110951683859E-2</v>
      </c>
    </row>
    <row r="2601" spans="1:14" x14ac:dyDescent="0.35">
      <c r="A2601" s="1">
        <v>46174</v>
      </c>
      <c r="B2601" s="2" t="s">
        <v>2599</v>
      </c>
      <c r="C2601">
        <f t="shared" si="479"/>
        <v>49082.29</v>
      </c>
      <c r="D2601">
        <f t="shared" si="480"/>
        <v>2026</v>
      </c>
      <c r="E2601">
        <f t="shared" si="481"/>
        <v>6</v>
      </c>
      <c r="F2601" t="str">
        <f t="shared" si="483"/>
        <v>June</v>
      </c>
      <c r="G2601">
        <f t="shared" si="482"/>
        <v>1</v>
      </c>
      <c r="H2601" s="7">
        <f t="shared" si="484"/>
        <v>2.1424566903309281</v>
      </c>
      <c r="I2601" s="9">
        <f t="shared" si="485"/>
        <v>2.1198287128675098E-2</v>
      </c>
      <c r="J2601" s="9">
        <f t="shared" si="486"/>
        <v>48295.562857142861</v>
      </c>
      <c r="K2601" s="9">
        <f t="shared" si="489"/>
        <v>48220.254000000001</v>
      </c>
      <c r="L2601" s="9">
        <f t="shared" si="488"/>
        <v>50583.021888888878</v>
      </c>
      <c r="M2601" s="9">
        <f t="shared" si="487"/>
        <v>1.0476454906450841E-2</v>
      </c>
      <c r="N2601" s="9">
        <f t="shared" si="490"/>
        <v>1.5308802514034221E-2</v>
      </c>
    </row>
    <row r="2602" spans="1:14" x14ac:dyDescent="0.35">
      <c r="A2602" s="1">
        <v>46175</v>
      </c>
      <c r="B2602" s="2" t="s">
        <v>2600</v>
      </c>
      <c r="C2602">
        <f t="shared" si="479"/>
        <v>49599.72</v>
      </c>
      <c r="D2602">
        <f t="shared" si="480"/>
        <v>2026</v>
      </c>
      <c r="E2602">
        <f t="shared" si="481"/>
        <v>6</v>
      </c>
      <c r="F2602" t="str">
        <f t="shared" si="483"/>
        <v>June</v>
      </c>
      <c r="G2602">
        <f t="shared" si="482"/>
        <v>2</v>
      </c>
      <c r="H2602" s="7">
        <f t="shared" si="484"/>
        <v>1.0542091658722532</v>
      </c>
      <c r="I2602" s="9">
        <f t="shared" si="485"/>
        <v>1.0486911282714039E-2</v>
      </c>
      <c r="J2602" s="9">
        <f t="shared" si="486"/>
        <v>48567.304285714286</v>
      </c>
      <c r="K2602" s="9">
        <f t="shared" si="489"/>
        <v>48227.341333333337</v>
      </c>
      <c r="L2602" s="9">
        <f t="shared" si="488"/>
        <v>50550.4761111111</v>
      </c>
      <c r="M2602" s="9">
        <f t="shared" si="487"/>
        <v>9.8865957606317414E-3</v>
      </c>
      <c r="N2602" s="9">
        <f t="shared" si="490"/>
        <v>1.5252008103092565E-2</v>
      </c>
    </row>
    <row r="2603" spans="1:14" x14ac:dyDescent="0.35">
      <c r="A2603" s="1">
        <v>46176</v>
      </c>
      <c r="B2603" s="2" t="s">
        <v>2601</v>
      </c>
      <c r="C2603">
        <f t="shared" si="479"/>
        <v>49316.61</v>
      </c>
      <c r="D2603">
        <f t="shared" si="480"/>
        <v>2026</v>
      </c>
      <c r="E2603">
        <f t="shared" si="481"/>
        <v>6</v>
      </c>
      <c r="F2603" t="str">
        <f t="shared" si="483"/>
        <v>June</v>
      </c>
      <c r="G2603">
        <f t="shared" si="482"/>
        <v>3</v>
      </c>
      <c r="H2603" s="7">
        <f t="shared" si="484"/>
        <v>-0.57078951252144283</v>
      </c>
      <c r="I2603" s="9">
        <f t="shared" si="485"/>
        <v>-5.7242474130454373E-3</v>
      </c>
      <c r="J2603" s="9">
        <f t="shared" si="486"/>
        <v>48696.42</v>
      </c>
      <c r="K2603" s="9">
        <f t="shared" si="489"/>
        <v>48209.496666666673</v>
      </c>
      <c r="L2603" s="9">
        <f t="shared" si="488"/>
        <v>50516.075333333312</v>
      </c>
      <c r="M2603" s="9">
        <f t="shared" si="487"/>
        <v>9.7234410147101144E-3</v>
      </c>
      <c r="N2603" s="9">
        <f t="shared" si="490"/>
        <v>1.5185995422958783E-2</v>
      </c>
    </row>
    <row r="2606" spans="1:14" s="12" customFormat="1" x14ac:dyDescent="0.35">
      <c r="A2606" s="10" t="s">
        <v>2614</v>
      </c>
      <c r="B2606" s="11"/>
      <c r="C2606" s="12">
        <f>COUNTBLANK(C2:C2603)</f>
        <v>0</v>
      </c>
      <c r="D2606" s="12">
        <f t="shared" ref="D2606:N2606" si="491">COUNTBLANK(D2:D2603)</f>
        <v>0</v>
      </c>
      <c r="E2606" s="12">
        <f t="shared" si="491"/>
        <v>0</v>
      </c>
      <c r="F2606" s="12">
        <f t="shared" si="491"/>
        <v>0</v>
      </c>
      <c r="G2606" s="12">
        <f t="shared" si="491"/>
        <v>0</v>
      </c>
      <c r="H2606" s="12">
        <f t="shared" si="491"/>
        <v>1</v>
      </c>
      <c r="I2606" s="12">
        <f t="shared" si="491"/>
        <v>1</v>
      </c>
      <c r="J2606" s="12">
        <f t="shared" si="491"/>
        <v>6</v>
      </c>
      <c r="K2606" s="12">
        <f t="shared" si="491"/>
        <v>29</v>
      </c>
      <c r="L2606" s="12">
        <f t="shared" si="491"/>
        <v>89</v>
      </c>
      <c r="M2606" s="12">
        <f t="shared" si="491"/>
        <v>7</v>
      </c>
      <c r="N2606" s="12">
        <f t="shared" si="491"/>
        <v>30</v>
      </c>
    </row>
    <row r="2607" spans="1:14" s="12" customFormat="1" x14ac:dyDescent="0.35">
      <c r="A2607" s="10" t="s">
        <v>2615</v>
      </c>
      <c r="B2607" s="11"/>
      <c r="C2607" s="13">
        <f>AVERAGE(C2:C2603)</f>
        <v>68490.682025365051</v>
      </c>
      <c r="D2607" s="13"/>
      <c r="E2607" s="13"/>
      <c r="F2607" s="13"/>
      <c r="G2607" s="13"/>
      <c r="H2607" s="13">
        <f t="shared" ref="D2607:I2607" si="492">AVERAGE(H2:H2603)</f>
        <v>-2.5684344553521619E-2</v>
      </c>
      <c r="I2607" s="13">
        <f t="shared" si="492"/>
        <v>-3.2079777468279447E-4</v>
      </c>
      <c r="J2607" s="13"/>
      <c r="K2607" s="13"/>
      <c r="L2607" s="13"/>
      <c r="M2607" s="13"/>
      <c r="N2607" s="13"/>
    </row>
    <row r="2608" spans="1:14" s="12" customFormat="1" x14ac:dyDescent="0.35">
      <c r="A2608" s="10" t="s">
        <v>2616</v>
      </c>
      <c r="B2608" s="11"/>
      <c r="C2608" s="13">
        <f>MEDIAN(C2:C2603)</f>
        <v>64551.360000000001</v>
      </c>
      <c r="D2608" s="13"/>
      <c r="E2608" s="13"/>
      <c r="F2608" s="13"/>
      <c r="G2608" s="13"/>
      <c r="H2608" s="13">
        <f t="shared" ref="D2608:I2608" si="493">MEDIAN(H2:H2603)</f>
        <v>-5.8387967788917909E-2</v>
      </c>
      <c r="I2608" s="13">
        <f t="shared" si="493"/>
        <v>-5.8405020200860051E-4</v>
      </c>
      <c r="J2608" s="13"/>
      <c r="K2608" s="13"/>
      <c r="L2608" s="13"/>
      <c r="M2608" s="13"/>
      <c r="N2608" s="13"/>
    </row>
    <row r="2609" spans="1:14" s="12" customFormat="1" x14ac:dyDescent="0.35">
      <c r="A2609" s="10" t="s">
        <v>2617</v>
      </c>
      <c r="B2609" s="11"/>
      <c r="C2609" s="13">
        <f>_xlfn.STDEV.S(C2:C2603)</f>
        <v>17744.33835673947</v>
      </c>
      <c r="D2609" s="13"/>
      <c r="E2609" s="13"/>
      <c r="F2609" s="13"/>
      <c r="G2609" s="13"/>
      <c r="H2609" s="13">
        <f t="shared" ref="D2609:I2609" si="494">_xlfn.STDEV.S(H2:H2603)</f>
        <v>1.1328387558215935</v>
      </c>
      <c r="I2609" s="13">
        <f t="shared" si="494"/>
        <v>1.1298947167631225E-2</v>
      </c>
      <c r="J2609" s="13"/>
      <c r="K2609" s="13"/>
      <c r="L2609" s="13"/>
      <c r="M2609" s="13"/>
      <c r="N2609" s="13"/>
    </row>
    <row r="2610" spans="1:14" s="12" customFormat="1" x14ac:dyDescent="0.35">
      <c r="A2610" s="10" t="s">
        <v>2618</v>
      </c>
      <c r="B2610" s="11"/>
      <c r="C2610" s="13">
        <f>MIN(C2:C2603)</f>
        <v>37963.01</v>
      </c>
      <c r="D2610" s="13"/>
      <c r="E2610" s="13"/>
      <c r="F2610" s="13"/>
      <c r="G2610" s="13"/>
      <c r="H2610" s="13">
        <f t="shared" ref="D2610:I2610" si="495">MIN(H2:H2603)</f>
        <v>-8.6510893779407212</v>
      </c>
      <c r="I2610" s="13">
        <f t="shared" si="495"/>
        <v>-9.0483828554730986E-2</v>
      </c>
      <c r="J2610" s="13"/>
      <c r="K2610" s="13"/>
      <c r="L2610" s="13"/>
      <c r="M2610" s="13"/>
      <c r="N2610" s="13"/>
    </row>
    <row r="2611" spans="1:14" s="12" customFormat="1" x14ac:dyDescent="0.35">
      <c r="A2611" s="10" t="s">
        <v>2619</v>
      </c>
      <c r="B2611" s="11"/>
      <c r="C2611" s="13">
        <f>MAX(C2:C2603)</f>
        <v>128455.67999999999</v>
      </c>
      <c r="D2611" s="13"/>
      <c r="E2611" s="13"/>
      <c r="F2611" s="13"/>
      <c r="G2611" s="13"/>
      <c r="H2611" s="13">
        <f t="shared" ref="D2611:I2611" si="496">MAX(H2:H2603)</f>
        <v>10.76805044841859</v>
      </c>
      <c r="I2611" s="13">
        <f t="shared" si="496"/>
        <v>0.10226819338964734</v>
      </c>
      <c r="J2611" s="13"/>
      <c r="K2611" s="13"/>
      <c r="L2611" s="13"/>
      <c r="M2611" s="13"/>
      <c r="N2611" s="13"/>
    </row>
    <row r="2612" spans="1:14" s="12" customFormat="1" x14ac:dyDescent="0.35">
      <c r="A2612" s="10" t="s">
        <v>2620</v>
      </c>
      <c r="B2612" s="11"/>
      <c r="C2612" s="13">
        <f>SKEW(C2:C2603)</f>
        <v>1.2682737277533673</v>
      </c>
      <c r="D2612" s="13"/>
      <c r="E2612" s="13"/>
      <c r="F2612" s="13"/>
      <c r="G2612" s="13"/>
      <c r="H2612" s="13">
        <f t="shared" ref="D2612:I2612" si="497">SKEW(H2:H2603)</f>
        <v>0.62245991371300535</v>
      </c>
      <c r="I2612" s="13">
        <f t="shared" si="497"/>
        <v>0.44552211001025754</v>
      </c>
      <c r="J2612" s="13"/>
      <c r="K2612" s="13"/>
      <c r="L2612" s="13"/>
      <c r="M2612" s="13"/>
      <c r="N2612" s="13"/>
    </row>
    <row r="2613" spans="1:14" s="12" customFormat="1" x14ac:dyDescent="0.35">
      <c r="A2613" s="10" t="s">
        <v>2621</v>
      </c>
      <c r="B2613" s="11"/>
      <c r="C2613" s="13">
        <f>KURT(C2:C2603)</f>
        <v>1.1375532079319415</v>
      </c>
      <c r="D2613" s="13"/>
      <c r="E2613" s="13"/>
      <c r="F2613" s="13"/>
      <c r="G2613" s="13"/>
      <c r="H2613" s="13">
        <f t="shared" ref="D2613:I2613" si="498">KURT(H2:H2603)</f>
        <v>9.0973231442893585</v>
      </c>
      <c r="I2613" s="13">
        <f t="shared" si="498"/>
        <v>8.4996978206582039</v>
      </c>
      <c r="J2613" s="13"/>
      <c r="K2613" s="13"/>
      <c r="L2613" s="13"/>
      <c r="M2613" s="13"/>
      <c r="N2613" s="13"/>
    </row>
  </sheetData>
  <sortState xmlns:xlrd2="http://schemas.microsoft.com/office/spreadsheetml/2017/richdata2" ref="A2:A2603">
    <sortCondition ref="A2:A26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FTSE_JSE All Share Historical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Maingo Israel</dc:creator>
  <cp:lastModifiedBy>Israel Maingo</cp:lastModifiedBy>
  <cp:lastPrinted>2026-06-04T01:49:01Z</cp:lastPrinted>
  <dcterms:created xsi:type="dcterms:W3CDTF">2026-06-03T09:04:51Z</dcterms:created>
  <dcterms:modified xsi:type="dcterms:W3CDTF">2026-06-04T02:09:57Z</dcterms:modified>
</cp:coreProperties>
</file>